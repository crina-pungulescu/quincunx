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5"/>
    <sheet state="visible" name="Daily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IFERROR(__xludf.DUMMYFUNCTION("GOOGLEFINANCE(""SMCI"", ""all"", DATE(2000, 1, 1), DATE(2025, 12, 31), ""WEEKLY"")"),"Date")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IFERROR(__xludf.DUMMYFUNCTION("""COMPUTED_VALUE"""),39171.666666666664)</f>
        <v>39171.66667</v>
      </c>
      <c r="B2" s="1">
        <f>IFERROR(__xludf.DUMMYFUNCTION("""COMPUTED_VALUE"""),0.89)</f>
        <v>0.89</v>
      </c>
      <c r="C2" s="1">
        <f>IFERROR(__xludf.DUMMYFUNCTION("""COMPUTED_VALUE"""),0.93)</f>
        <v>0.93</v>
      </c>
      <c r="D2" s="1">
        <f>IFERROR(__xludf.DUMMYFUNCTION("""COMPUTED_VALUE"""),0.86)</f>
        <v>0.86</v>
      </c>
      <c r="E2" s="1">
        <f>IFERROR(__xludf.DUMMYFUNCTION("""COMPUTED_VALUE"""),0.9)</f>
        <v>0.9</v>
      </c>
      <c r="F2" s="1">
        <f>IFERROR(__xludf.DUMMYFUNCTION("""COMPUTED_VALUE"""),6500079.0)</f>
        <v>6500079</v>
      </c>
    </row>
    <row r="3">
      <c r="A3" s="2">
        <f>IFERROR(__xludf.DUMMYFUNCTION("""COMPUTED_VALUE"""),39177.666666666664)</f>
        <v>39177.66667</v>
      </c>
      <c r="B3" s="1">
        <f>IFERROR(__xludf.DUMMYFUNCTION("""COMPUTED_VALUE"""),0.9)</f>
        <v>0.9</v>
      </c>
      <c r="C3" s="1">
        <f>IFERROR(__xludf.DUMMYFUNCTION("""COMPUTED_VALUE"""),1.17)</f>
        <v>1.17</v>
      </c>
      <c r="D3" s="1">
        <f>IFERROR(__xludf.DUMMYFUNCTION("""COMPUTED_VALUE"""),0.9)</f>
        <v>0.9</v>
      </c>
      <c r="E3" s="1">
        <f>IFERROR(__xludf.DUMMYFUNCTION("""COMPUTED_VALUE"""),0.98)</f>
        <v>0.98</v>
      </c>
      <c r="F3" s="1">
        <f>IFERROR(__xludf.DUMMYFUNCTION("""COMPUTED_VALUE"""),2320973.0)</f>
        <v>2320973</v>
      </c>
    </row>
    <row r="4">
      <c r="A4" s="2">
        <f>IFERROR(__xludf.DUMMYFUNCTION("""COMPUTED_VALUE"""),39185.666666666664)</f>
        <v>39185.66667</v>
      </c>
      <c r="B4" s="1">
        <f>IFERROR(__xludf.DUMMYFUNCTION("""COMPUTED_VALUE"""),1.0)</f>
        <v>1</v>
      </c>
      <c r="C4" s="1">
        <f>IFERROR(__xludf.DUMMYFUNCTION("""COMPUTED_VALUE"""),1.04)</f>
        <v>1.04</v>
      </c>
      <c r="D4" s="1">
        <f>IFERROR(__xludf.DUMMYFUNCTION("""COMPUTED_VALUE"""),0.95)</f>
        <v>0.95</v>
      </c>
      <c r="E4" s="1">
        <f>IFERROR(__xludf.DUMMYFUNCTION("""COMPUTED_VALUE"""),0.97)</f>
        <v>0.97</v>
      </c>
      <c r="F4" s="1">
        <f>IFERROR(__xludf.DUMMYFUNCTION("""COMPUTED_VALUE"""),536975.0)</f>
        <v>536975</v>
      </c>
    </row>
    <row r="5">
      <c r="A5" s="2">
        <f>IFERROR(__xludf.DUMMYFUNCTION("""COMPUTED_VALUE"""),39192.666666666664)</f>
        <v>39192.66667</v>
      </c>
      <c r="B5" s="1">
        <f>IFERROR(__xludf.DUMMYFUNCTION("""COMPUTED_VALUE"""),0.97)</f>
        <v>0.97</v>
      </c>
      <c r="C5" s="1">
        <f>IFERROR(__xludf.DUMMYFUNCTION("""COMPUTED_VALUE"""),1.08)</f>
        <v>1.08</v>
      </c>
      <c r="D5" s="1">
        <f>IFERROR(__xludf.DUMMYFUNCTION("""COMPUTED_VALUE"""),0.96)</f>
        <v>0.96</v>
      </c>
      <c r="E5" s="1">
        <f>IFERROR(__xludf.DUMMYFUNCTION("""COMPUTED_VALUE"""),0.99)</f>
        <v>0.99</v>
      </c>
      <c r="F5" s="1">
        <f>IFERROR(__xludf.DUMMYFUNCTION("""COMPUTED_VALUE"""),537787.0)</f>
        <v>537787</v>
      </c>
    </row>
    <row r="6">
      <c r="A6" s="2">
        <f>IFERROR(__xludf.DUMMYFUNCTION("""COMPUTED_VALUE"""),39199.666666666664)</f>
        <v>39199.66667</v>
      </c>
      <c r="B6" s="1">
        <f>IFERROR(__xludf.DUMMYFUNCTION("""COMPUTED_VALUE"""),0.98)</f>
        <v>0.98</v>
      </c>
      <c r="C6" s="1">
        <f>IFERROR(__xludf.DUMMYFUNCTION("""COMPUTED_VALUE"""),1.05)</f>
        <v>1.05</v>
      </c>
      <c r="D6" s="1">
        <f>IFERROR(__xludf.DUMMYFUNCTION("""COMPUTED_VALUE"""),0.97)</f>
        <v>0.97</v>
      </c>
      <c r="E6" s="1">
        <f>IFERROR(__xludf.DUMMYFUNCTION("""COMPUTED_VALUE"""),1.02)</f>
        <v>1.02</v>
      </c>
      <c r="F6" s="1">
        <f>IFERROR(__xludf.DUMMYFUNCTION("""COMPUTED_VALUE"""),495003.0)</f>
        <v>495003</v>
      </c>
    </row>
    <row r="7">
      <c r="A7" s="2">
        <f>IFERROR(__xludf.DUMMYFUNCTION("""COMPUTED_VALUE"""),39206.666666666664)</f>
        <v>39206.66667</v>
      </c>
      <c r="B7" s="1">
        <f>IFERROR(__xludf.DUMMYFUNCTION("""COMPUTED_VALUE"""),1.02)</f>
        <v>1.02</v>
      </c>
      <c r="C7" s="1">
        <f>IFERROR(__xludf.DUMMYFUNCTION("""COMPUTED_VALUE"""),1.11)</f>
        <v>1.11</v>
      </c>
      <c r="D7" s="1">
        <f>IFERROR(__xludf.DUMMYFUNCTION("""COMPUTED_VALUE"""),1.01)</f>
        <v>1.01</v>
      </c>
      <c r="E7" s="1">
        <f>IFERROR(__xludf.DUMMYFUNCTION("""COMPUTED_VALUE"""),1.06)</f>
        <v>1.06</v>
      </c>
      <c r="F7" s="1">
        <f>IFERROR(__xludf.DUMMYFUNCTION("""COMPUTED_VALUE"""),613116.0)</f>
        <v>613116</v>
      </c>
    </row>
    <row r="8">
      <c r="A8" s="2">
        <f>IFERROR(__xludf.DUMMYFUNCTION("""COMPUTED_VALUE"""),39213.666666666664)</f>
        <v>39213.66667</v>
      </c>
      <c r="B8" s="1">
        <f>IFERROR(__xludf.DUMMYFUNCTION("""COMPUTED_VALUE"""),1.08)</f>
        <v>1.08</v>
      </c>
      <c r="C8" s="1">
        <f>IFERROR(__xludf.DUMMYFUNCTION("""COMPUTED_VALUE"""),1.14)</f>
        <v>1.14</v>
      </c>
      <c r="D8" s="1">
        <f>IFERROR(__xludf.DUMMYFUNCTION("""COMPUTED_VALUE"""),1.0)</f>
        <v>1</v>
      </c>
      <c r="E8" s="1">
        <f>IFERROR(__xludf.DUMMYFUNCTION("""COMPUTED_VALUE"""),1.04)</f>
        <v>1.04</v>
      </c>
      <c r="F8" s="1">
        <f>IFERROR(__xludf.DUMMYFUNCTION("""COMPUTED_VALUE"""),1495617.0)</f>
        <v>1495617</v>
      </c>
    </row>
    <row r="9">
      <c r="A9" s="2">
        <f>IFERROR(__xludf.DUMMYFUNCTION("""COMPUTED_VALUE"""),39220.666666666664)</f>
        <v>39220.66667</v>
      </c>
      <c r="B9" s="1">
        <f>IFERROR(__xludf.DUMMYFUNCTION("""COMPUTED_VALUE"""),1.04)</f>
        <v>1.04</v>
      </c>
      <c r="C9" s="1">
        <f>IFERROR(__xludf.DUMMYFUNCTION("""COMPUTED_VALUE"""),1.05)</f>
        <v>1.05</v>
      </c>
      <c r="D9" s="1">
        <f>IFERROR(__xludf.DUMMYFUNCTION("""COMPUTED_VALUE"""),0.97)</f>
        <v>0.97</v>
      </c>
      <c r="E9" s="1">
        <f>IFERROR(__xludf.DUMMYFUNCTION("""COMPUTED_VALUE"""),1.0)</f>
        <v>1</v>
      </c>
      <c r="F9" s="1">
        <f>IFERROR(__xludf.DUMMYFUNCTION("""COMPUTED_VALUE"""),727355.0)</f>
        <v>727355</v>
      </c>
    </row>
    <row r="10">
      <c r="A10" s="2">
        <f>IFERROR(__xludf.DUMMYFUNCTION("""COMPUTED_VALUE"""),39227.666666666664)</f>
        <v>39227.66667</v>
      </c>
      <c r="B10" s="1">
        <f>IFERROR(__xludf.DUMMYFUNCTION("""COMPUTED_VALUE"""),1.0)</f>
        <v>1</v>
      </c>
      <c r="C10" s="1">
        <f>IFERROR(__xludf.DUMMYFUNCTION("""COMPUTED_VALUE"""),1.01)</f>
        <v>1.01</v>
      </c>
      <c r="D10" s="1">
        <f>IFERROR(__xludf.DUMMYFUNCTION("""COMPUTED_VALUE"""),0.91)</f>
        <v>0.91</v>
      </c>
      <c r="E10" s="1">
        <f>IFERROR(__xludf.DUMMYFUNCTION("""COMPUTED_VALUE"""),1.0)</f>
        <v>1</v>
      </c>
      <c r="F10" s="1">
        <f>IFERROR(__xludf.DUMMYFUNCTION("""COMPUTED_VALUE"""),496474.0)</f>
        <v>496474</v>
      </c>
    </row>
    <row r="11">
      <c r="A11" s="2">
        <f>IFERROR(__xludf.DUMMYFUNCTION("""COMPUTED_VALUE"""),39234.666666666664)</f>
        <v>39234.66667</v>
      </c>
      <c r="B11" s="1">
        <f>IFERROR(__xludf.DUMMYFUNCTION("""COMPUTED_VALUE"""),1.0)</f>
        <v>1</v>
      </c>
      <c r="C11" s="1">
        <f>IFERROR(__xludf.DUMMYFUNCTION("""COMPUTED_VALUE"""),1.01)</f>
        <v>1.01</v>
      </c>
      <c r="D11" s="1">
        <f>IFERROR(__xludf.DUMMYFUNCTION("""COMPUTED_VALUE"""),0.99)</f>
        <v>0.99</v>
      </c>
      <c r="E11" s="1">
        <f>IFERROR(__xludf.DUMMYFUNCTION("""COMPUTED_VALUE"""),1.0)</f>
        <v>1</v>
      </c>
      <c r="F11" s="1">
        <f>IFERROR(__xludf.DUMMYFUNCTION("""COMPUTED_VALUE"""),343288.0)</f>
        <v>343288</v>
      </c>
    </row>
    <row r="12">
      <c r="A12" s="2">
        <f>IFERROR(__xludf.DUMMYFUNCTION("""COMPUTED_VALUE"""),39241.666666666664)</f>
        <v>39241.66667</v>
      </c>
      <c r="B12" s="1">
        <f>IFERROR(__xludf.DUMMYFUNCTION("""COMPUTED_VALUE"""),1.0)</f>
        <v>1</v>
      </c>
      <c r="C12" s="1">
        <f>IFERROR(__xludf.DUMMYFUNCTION("""COMPUTED_VALUE"""),1.19)</f>
        <v>1.19</v>
      </c>
      <c r="D12" s="1">
        <f>IFERROR(__xludf.DUMMYFUNCTION("""COMPUTED_VALUE"""),1.0)</f>
        <v>1</v>
      </c>
      <c r="E12" s="1">
        <f>IFERROR(__xludf.DUMMYFUNCTION("""COMPUTED_VALUE"""),1.07)</f>
        <v>1.07</v>
      </c>
      <c r="F12" s="1">
        <f>IFERROR(__xludf.DUMMYFUNCTION("""COMPUTED_VALUE"""),2045502.0)</f>
        <v>2045502</v>
      </c>
    </row>
    <row r="13">
      <c r="A13" s="2">
        <f>IFERROR(__xludf.DUMMYFUNCTION("""COMPUTED_VALUE"""),39248.666666666664)</f>
        <v>39248.66667</v>
      </c>
      <c r="B13" s="1">
        <f>IFERROR(__xludf.DUMMYFUNCTION("""COMPUTED_VALUE"""),1.08)</f>
        <v>1.08</v>
      </c>
      <c r="C13" s="1">
        <f>IFERROR(__xludf.DUMMYFUNCTION("""COMPUTED_VALUE"""),1.11)</f>
        <v>1.11</v>
      </c>
      <c r="D13" s="1">
        <f>IFERROR(__xludf.DUMMYFUNCTION("""COMPUTED_VALUE"""),1.02)</f>
        <v>1.02</v>
      </c>
      <c r="E13" s="1">
        <f>IFERROR(__xludf.DUMMYFUNCTION("""COMPUTED_VALUE"""),1.07)</f>
        <v>1.07</v>
      </c>
      <c r="F13" s="1">
        <f>IFERROR(__xludf.DUMMYFUNCTION("""COMPUTED_VALUE"""),611718.0)</f>
        <v>611718</v>
      </c>
    </row>
    <row r="14">
      <c r="A14" s="2">
        <f>IFERROR(__xludf.DUMMYFUNCTION("""COMPUTED_VALUE"""),39255.666666666664)</f>
        <v>39255.66667</v>
      </c>
      <c r="B14" s="1">
        <f>IFERROR(__xludf.DUMMYFUNCTION("""COMPUTED_VALUE"""),1.08)</f>
        <v>1.08</v>
      </c>
      <c r="C14" s="1">
        <f>IFERROR(__xludf.DUMMYFUNCTION("""COMPUTED_VALUE"""),1.14)</f>
        <v>1.14</v>
      </c>
      <c r="D14" s="1">
        <f>IFERROR(__xludf.DUMMYFUNCTION("""COMPUTED_VALUE"""),1.05)</f>
        <v>1.05</v>
      </c>
      <c r="E14" s="1">
        <f>IFERROR(__xludf.DUMMYFUNCTION("""COMPUTED_VALUE"""),1.05)</f>
        <v>1.05</v>
      </c>
      <c r="F14" s="1">
        <f>IFERROR(__xludf.DUMMYFUNCTION("""COMPUTED_VALUE"""),1626522.0)</f>
        <v>1626522</v>
      </c>
    </row>
    <row r="15">
      <c r="A15" s="2">
        <f>IFERROR(__xludf.DUMMYFUNCTION("""COMPUTED_VALUE"""),39262.666666666664)</f>
        <v>39262.66667</v>
      </c>
      <c r="B15" s="1">
        <f>IFERROR(__xludf.DUMMYFUNCTION("""COMPUTED_VALUE"""),1.06)</f>
        <v>1.06</v>
      </c>
      <c r="C15" s="1">
        <f>IFERROR(__xludf.DUMMYFUNCTION("""COMPUTED_VALUE"""),1.08)</f>
        <v>1.08</v>
      </c>
      <c r="D15" s="1">
        <f>IFERROR(__xludf.DUMMYFUNCTION("""COMPUTED_VALUE"""),0.99)</f>
        <v>0.99</v>
      </c>
      <c r="E15" s="1">
        <f>IFERROR(__xludf.DUMMYFUNCTION("""COMPUTED_VALUE"""),1.0)</f>
        <v>1</v>
      </c>
      <c r="F15" s="1">
        <f>IFERROR(__xludf.DUMMYFUNCTION("""COMPUTED_VALUE"""),738813.0)</f>
        <v>738813</v>
      </c>
    </row>
    <row r="16">
      <c r="A16" s="2">
        <f>IFERROR(__xludf.DUMMYFUNCTION("""COMPUTED_VALUE"""),39269.666666666664)</f>
        <v>39269.66667</v>
      </c>
      <c r="B16" s="1">
        <f>IFERROR(__xludf.DUMMYFUNCTION("""COMPUTED_VALUE"""),1.01)</f>
        <v>1.01</v>
      </c>
      <c r="C16" s="1">
        <f>IFERROR(__xludf.DUMMYFUNCTION("""COMPUTED_VALUE"""),1.05)</f>
        <v>1.05</v>
      </c>
      <c r="D16" s="1">
        <f>IFERROR(__xludf.DUMMYFUNCTION("""COMPUTED_VALUE"""),1.0)</f>
        <v>1</v>
      </c>
      <c r="E16" s="1">
        <f>IFERROR(__xludf.DUMMYFUNCTION("""COMPUTED_VALUE"""),1.02)</f>
        <v>1.02</v>
      </c>
      <c r="F16" s="1">
        <f>IFERROR(__xludf.DUMMYFUNCTION("""COMPUTED_VALUE"""),470523.0)</f>
        <v>470523</v>
      </c>
    </row>
    <row r="17">
      <c r="A17" s="2">
        <f>IFERROR(__xludf.DUMMYFUNCTION("""COMPUTED_VALUE"""),39276.666666666664)</f>
        <v>39276.66667</v>
      </c>
      <c r="B17" s="1">
        <f>IFERROR(__xludf.DUMMYFUNCTION("""COMPUTED_VALUE"""),1.01)</f>
        <v>1.01</v>
      </c>
      <c r="C17" s="1">
        <f>IFERROR(__xludf.DUMMYFUNCTION("""COMPUTED_VALUE"""),1.03)</f>
        <v>1.03</v>
      </c>
      <c r="D17" s="1">
        <f>IFERROR(__xludf.DUMMYFUNCTION("""COMPUTED_VALUE"""),0.93)</f>
        <v>0.93</v>
      </c>
      <c r="E17" s="1">
        <f>IFERROR(__xludf.DUMMYFUNCTION("""COMPUTED_VALUE"""),0.94)</f>
        <v>0.94</v>
      </c>
      <c r="F17" s="1">
        <f>IFERROR(__xludf.DUMMYFUNCTION("""COMPUTED_VALUE"""),1395943.0)</f>
        <v>1395943</v>
      </c>
    </row>
    <row r="18">
      <c r="A18" s="2">
        <f>IFERROR(__xludf.DUMMYFUNCTION("""COMPUTED_VALUE"""),39283.666666666664)</f>
        <v>39283.66667</v>
      </c>
      <c r="B18" s="1">
        <f>IFERROR(__xludf.DUMMYFUNCTION("""COMPUTED_VALUE"""),0.94)</f>
        <v>0.94</v>
      </c>
      <c r="C18" s="1">
        <f>IFERROR(__xludf.DUMMYFUNCTION("""COMPUTED_VALUE"""),1.0)</f>
        <v>1</v>
      </c>
      <c r="D18" s="1">
        <f>IFERROR(__xludf.DUMMYFUNCTION("""COMPUTED_VALUE"""),0.94)</f>
        <v>0.94</v>
      </c>
      <c r="E18" s="1">
        <f>IFERROR(__xludf.DUMMYFUNCTION("""COMPUTED_VALUE"""),1.0)</f>
        <v>1</v>
      </c>
      <c r="F18" s="1">
        <f>IFERROR(__xludf.DUMMYFUNCTION("""COMPUTED_VALUE"""),533217.0)</f>
        <v>533217</v>
      </c>
    </row>
    <row r="19">
      <c r="A19" s="2">
        <f>IFERROR(__xludf.DUMMYFUNCTION("""COMPUTED_VALUE"""),39290.666666666664)</f>
        <v>39290.66667</v>
      </c>
      <c r="B19" s="1">
        <f>IFERROR(__xludf.DUMMYFUNCTION("""COMPUTED_VALUE"""),1.0)</f>
        <v>1</v>
      </c>
      <c r="C19" s="1">
        <f>IFERROR(__xludf.DUMMYFUNCTION("""COMPUTED_VALUE"""),1.01)</f>
        <v>1.01</v>
      </c>
      <c r="D19" s="1">
        <f>IFERROR(__xludf.DUMMYFUNCTION("""COMPUTED_VALUE"""),0.93)</f>
        <v>0.93</v>
      </c>
      <c r="E19" s="1">
        <f>IFERROR(__xludf.DUMMYFUNCTION("""COMPUTED_VALUE"""),0.93)</f>
        <v>0.93</v>
      </c>
      <c r="F19" s="1">
        <f>IFERROR(__xludf.DUMMYFUNCTION("""COMPUTED_VALUE"""),439581.0)</f>
        <v>439581</v>
      </c>
    </row>
    <row r="20">
      <c r="A20" s="2">
        <f>IFERROR(__xludf.DUMMYFUNCTION("""COMPUTED_VALUE"""),39297.666666666664)</f>
        <v>39297.66667</v>
      </c>
      <c r="B20" s="1">
        <f>IFERROR(__xludf.DUMMYFUNCTION("""COMPUTED_VALUE"""),0.93)</f>
        <v>0.93</v>
      </c>
      <c r="C20" s="1">
        <f>IFERROR(__xludf.DUMMYFUNCTION("""COMPUTED_VALUE"""),0.94)</f>
        <v>0.94</v>
      </c>
      <c r="D20" s="1">
        <f>IFERROR(__xludf.DUMMYFUNCTION("""COMPUTED_VALUE"""),0.86)</f>
        <v>0.86</v>
      </c>
      <c r="E20" s="1">
        <f>IFERROR(__xludf.DUMMYFUNCTION("""COMPUTED_VALUE"""),0.89)</f>
        <v>0.89</v>
      </c>
      <c r="F20" s="1">
        <f>IFERROR(__xludf.DUMMYFUNCTION("""COMPUTED_VALUE"""),586438.0)</f>
        <v>586438</v>
      </c>
    </row>
    <row r="21">
      <c r="A21" s="2">
        <f>IFERROR(__xludf.DUMMYFUNCTION("""COMPUTED_VALUE"""),39304.666666666664)</f>
        <v>39304.66667</v>
      </c>
      <c r="B21" s="1">
        <f>IFERROR(__xludf.DUMMYFUNCTION("""COMPUTED_VALUE"""),0.9)</f>
        <v>0.9</v>
      </c>
      <c r="C21" s="1">
        <f>IFERROR(__xludf.DUMMYFUNCTION("""COMPUTED_VALUE"""),0.93)</f>
        <v>0.93</v>
      </c>
      <c r="D21" s="1">
        <f>IFERROR(__xludf.DUMMYFUNCTION("""COMPUTED_VALUE"""),0.85)</f>
        <v>0.85</v>
      </c>
      <c r="E21" s="1">
        <f>IFERROR(__xludf.DUMMYFUNCTION("""COMPUTED_VALUE"""),0.88)</f>
        <v>0.88</v>
      </c>
      <c r="F21" s="1">
        <f>IFERROR(__xludf.DUMMYFUNCTION("""COMPUTED_VALUE"""),928997.0)</f>
        <v>928997</v>
      </c>
    </row>
    <row r="22">
      <c r="A22" s="2">
        <f>IFERROR(__xludf.DUMMYFUNCTION("""COMPUTED_VALUE"""),39311.666666666664)</f>
        <v>39311.66667</v>
      </c>
      <c r="B22" s="1">
        <f>IFERROR(__xludf.DUMMYFUNCTION("""COMPUTED_VALUE"""),0.88)</f>
        <v>0.88</v>
      </c>
      <c r="C22" s="1">
        <f>IFERROR(__xludf.DUMMYFUNCTION("""COMPUTED_VALUE"""),0.89)</f>
        <v>0.89</v>
      </c>
      <c r="D22" s="1">
        <f>IFERROR(__xludf.DUMMYFUNCTION("""COMPUTED_VALUE"""),0.82)</f>
        <v>0.82</v>
      </c>
      <c r="E22" s="1">
        <f>IFERROR(__xludf.DUMMYFUNCTION("""COMPUTED_VALUE"""),0.85)</f>
        <v>0.85</v>
      </c>
      <c r="F22" s="1">
        <f>IFERROR(__xludf.DUMMYFUNCTION("""COMPUTED_VALUE"""),550072.0)</f>
        <v>550072</v>
      </c>
    </row>
    <row r="23">
      <c r="A23" s="2">
        <f>IFERROR(__xludf.DUMMYFUNCTION("""COMPUTED_VALUE"""),39318.666666666664)</f>
        <v>39318.66667</v>
      </c>
      <c r="B23" s="1">
        <f>IFERROR(__xludf.DUMMYFUNCTION("""COMPUTED_VALUE"""),0.86)</f>
        <v>0.86</v>
      </c>
      <c r="C23" s="1">
        <f>IFERROR(__xludf.DUMMYFUNCTION("""COMPUTED_VALUE"""),0.86)</f>
        <v>0.86</v>
      </c>
      <c r="D23" s="1">
        <f>IFERROR(__xludf.DUMMYFUNCTION("""COMPUTED_VALUE"""),0.82)</f>
        <v>0.82</v>
      </c>
      <c r="E23" s="1">
        <f>IFERROR(__xludf.DUMMYFUNCTION("""COMPUTED_VALUE"""),0.84)</f>
        <v>0.84</v>
      </c>
      <c r="F23" s="1">
        <f>IFERROR(__xludf.DUMMYFUNCTION("""COMPUTED_VALUE"""),229242.0)</f>
        <v>229242</v>
      </c>
    </row>
    <row r="24">
      <c r="A24" s="2">
        <f>IFERROR(__xludf.DUMMYFUNCTION("""COMPUTED_VALUE"""),39325.666666666664)</f>
        <v>39325.66667</v>
      </c>
      <c r="B24" s="1">
        <f>IFERROR(__xludf.DUMMYFUNCTION("""COMPUTED_VALUE"""),0.84)</f>
        <v>0.84</v>
      </c>
      <c r="C24" s="1">
        <f>IFERROR(__xludf.DUMMYFUNCTION("""COMPUTED_VALUE"""),0.85)</f>
        <v>0.85</v>
      </c>
      <c r="D24" s="1">
        <f>IFERROR(__xludf.DUMMYFUNCTION("""COMPUTED_VALUE"""),0.83)</f>
        <v>0.83</v>
      </c>
      <c r="E24" s="1">
        <f>IFERROR(__xludf.DUMMYFUNCTION("""COMPUTED_VALUE"""),0.83)</f>
        <v>0.83</v>
      </c>
      <c r="F24" s="1">
        <f>IFERROR(__xludf.DUMMYFUNCTION("""COMPUTED_VALUE"""),567603.0)</f>
        <v>567603</v>
      </c>
    </row>
    <row r="25">
      <c r="A25" s="2">
        <f>IFERROR(__xludf.DUMMYFUNCTION("""COMPUTED_VALUE"""),39332.666666666664)</f>
        <v>39332.66667</v>
      </c>
      <c r="B25" s="1">
        <f>IFERROR(__xludf.DUMMYFUNCTION("""COMPUTED_VALUE"""),0.84)</f>
        <v>0.84</v>
      </c>
      <c r="C25" s="1">
        <f>IFERROR(__xludf.DUMMYFUNCTION("""COMPUTED_VALUE"""),0.86)</f>
        <v>0.86</v>
      </c>
      <c r="D25" s="1">
        <f>IFERROR(__xludf.DUMMYFUNCTION("""COMPUTED_VALUE"""),0.83)</f>
        <v>0.83</v>
      </c>
      <c r="E25" s="1">
        <f>IFERROR(__xludf.DUMMYFUNCTION("""COMPUTED_VALUE"""),0.85)</f>
        <v>0.85</v>
      </c>
      <c r="F25" s="1">
        <f>IFERROR(__xludf.DUMMYFUNCTION("""COMPUTED_VALUE"""),990622.0)</f>
        <v>990622</v>
      </c>
    </row>
    <row r="26">
      <c r="A26" s="2">
        <f>IFERROR(__xludf.DUMMYFUNCTION("""COMPUTED_VALUE"""),39339.666666666664)</f>
        <v>39339.66667</v>
      </c>
      <c r="B26" s="1">
        <f>IFERROR(__xludf.DUMMYFUNCTION("""COMPUTED_VALUE"""),0.85)</f>
        <v>0.85</v>
      </c>
      <c r="C26" s="1">
        <f>IFERROR(__xludf.DUMMYFUNCTION("""COMPUTED_VALUE"""),0.96)</f>
        <v>0.96</v>
      </c>
      <c r="D26" s="1">
        <f>IFERROR(__xludf.DUMMYFUNCTION("""COMPUTED_VALUE"""),0.85)</f>
        <v>0.85</v>
      </c>
      <c r="E26" s="1">
        <f>IFERROR(__xludf.DUMMYFUNCTION("""COMPUTED_VALUE"""),0.92)</f>
        <v>0.92</v>
      </c>
      <c r="F26" s="1">
        <f>IFERROR(__xludf.DUMMYFUNCTION("""COMPUTED_VALUE"""),612195.0)</f>
        <v>612195</v>
      </c>
    </row>
    <row r="27">
      <c r="A27" s="2">
        <f>IFERROR(__xludf.DUMMYFUNCTION("""COMPUTED_VALUE"""),39346.666666666664)</f>
        <v>39346.66667</v>
      </c>
      <c r="B27" s="1">
        <f>IFERROR(__xludf.DUMMYFUNCTION("""COMPUTED_VALUE"""),0.93)</f>
        <v>0.93</v>
      </c>
      <c r="C27" s="1">
        <f>IFERROR(__xludf.DUMMYFUNCTION("""COMPUTED_VALUE"""),1.0)</f>
        <v>1</v>
      </c>
      <c r="D27" s="1">
        <f>IFERROR(__xludf.DUMMYFUNCTION("""COMPUTED_VALUE"""),0.9)</f>
        <v>0.9</v>
      </c>
      <c r="E27" s="1">
        <f>IFERROR(__xludf.DUMMYFUNCTION("""COMPUTED_VALUE"""),0.98)</f>
        <v>0.98</v>
      </c>
      <c r="F27" s="1">
        <f>IFERROR(__xludf.DUMMYFUNCTION("""COMPUTED_VALUE"""),499729.0)</f>
        <v>499729</v>
      </c>
    </row>
    <row r="28">
      <c r="A28" s="2">
        <f>IFERROR(__xludf.DUMMYFUNCTION("""COMPUTED_VALUE"""),39353.666666666664)</f>
        <v>39353.66667</v>
      </c>
      <c r="B28" s="1">
        <f>IFERROR(__xludf.DUMMYFUNCTION("""COMPUTED_VALUE"""),0.98)</f>
        <v>0.98</v>
      </c>
      <c r="C28" s="1">
        <f>IFERROR(__xludf.DUMMYFUNCTION("""COMPUTED_VALUE"""),1.02)</f>
        <v>1.02</v>
      </c>
      <c r="D28" s="1">
        <f>IFERROR(__xludf.DUMMYFUNCTION("""COMPUTED_VALUE"""),0.93)</f>
        <v>0.93</v>
      </c>
      <c r="E28" s="1">
        <f>IFERROR(__xludf.DUMMYFUNCTION("""COMPUTED_VALUE"""),0.98)</f>
        <v>0.98</v>
      </c>
      <c r="F28" s="1">
        <f>IFERROR(__xludf.DUMMYFUNCTION("""COMPUTED_VALUE"""),694730.0)</f>
        <v>694730</v>
      </c>
    </row>
    <row r="29">
      <c r="A29" s="2">
        <f>IFERROR(__xludf.DUMMYFUNCTION("""COMPUTED_VALUE"""),39360.666666666664)</f>
        <v>39360.66667</v>
      </c>
      <c r="B29" s="1">
        <f>IFERROR(__xludf.DUMMYFUNCTION("""COMPUTED_VALUE"""),0.96)</f>
        <v>0.96</v>
      </c>
      <c r="C29" s="1">
        <f>IFERROR(__xludf.DUMMYFUNCTION("""COMPUTED_VALUE"""),1.01)</f>
        <v>1.01</v>
      </c>
      <c r="D29" s="1">
        <f>IFERROR(__xludf.DUMMYFUNCTION("""COMPUTED_VALUE"""),0.95)</f>
        <v>0.95</v>
      </c>
      <c r="E29" s="1">
        <f>IFERROR(__xludf.DUMMYFUNCTION("""COMPUTED_VALUE"""),0.99)</f>
        <v>0.99</v>
      </c>
      <c r="F29" s="1">
        <f>IFERROR(__xludf.DUMMYFUNCTION("""COMPUTED_VALUE"""),605687.0)</f>
        <v>605687</v>
      </c>
    </row>
    <row r="30">
      <c r="A30" s="2">
        <f>IFERROR(__xludf.DUMMYFUNCTION("""COMPUTED_VALUE"""),39367.666666666664)</f>
        <v>39367.66667</v>
      </c>
      <c r="B30" s="1">
        <f>IFERROR(__xludf.DUMMYFUNCTION("""COMPUTED_VALUE"""),0.98)</f>
        <v>0.98</v>
      </c>
      <c r="C30" s="1">
        <f>IFERROR(__xludf.DUMMYFUNCTION("""COMPUTED_VALUE"""),1.02)</f>
        <v>1.02</v>
      </c>
      <c r="D30" s="1">
        <f>IFERROR(__xludf.DUMMYFUNCTION("""COMPUTED_VALUE"""),0.97)</f>
        <v>0.97</v>
      </c>
      <c r="E30" s="1">
        <f>IFERROR(__xludf.DUMMYFUNCTION("""COMPUTED_VALUE"""),1.0)</f>
        <v>1</v>
      </c>
      <c r="F30" s="1">
        <f>IFERROR(__xludf.DUMMYFUNCTION("""COMPUTED_VALUE"""),353942.0)</f>
        <v>353942</v>
      </c>
    </row>
    <row r="31">
      <c r="A31" s="2">
        <f>IFERROR(__xludf.DUMMYFUNCTION("""COMPUTED_VALUE"""),39374.666666666664)</f>
        <v>39374.66667</v>
      </c>
      <c r="B31" s="1">
        <f>IFERROR(__xludf.DUMMYFUNCTION("""COMPUTED_VALUE"""),0.99)</f>
        <v>0.99</v>
      </c>
      <c r="C31" s="1">
        <f>IFERROR(__xludf.DUMMYFUNCTION("""COMPUTED_VALUE"""),1.0)</f>
        <v>1</v>
      </c>
      <c r="D31" s="1">
        <f>IFERROR(__xludf.DUMMYFUNCTION("""COMPUTED_VALUE"""),0.98)</f>
        <v>0.98</v>
      </c>
      <c r="E31" s="1">
        <f>IFERROR(__xludf.DUMMYFUNCTION("""COMPUTED_VALUE"""),0.98)</f>
        <v>0.98</v>
      </c>
      <c r="F31" s="1">
        <f>IFERROR(__xludf.DUMMYFUNCTION("""COMPUTED_VALUE"""),232912.0)</f>
        <v>232912</v>
      </c>
    </row>
    <row r="32">
      <c r="A32" s="2">
        <f>IFERROR(__xludf.DUMMYFUNCTION("""COMPUTED_VALUE"""),39381.666666666664)</f>
        <v>39381.66667</v>
      </c>
      <c r="B32" s="1">
        <f>IFERROR(__xludf.DUMMYFUNCTION("""COMPUTED_VALUE"""),0.97)</f>
        <v>0.97</v>
      </c>
      <c r="C32" s="1">
        <f>IFERROR(__xludf.DUMMYFUNCTION("""COMPUTED_VALUE"""),1.01)</f>
        <v>1.01</v>
      </c>
      <c r="D32" s="1">
        <f>IFERROR(__xludf.DUMMYFUNCTION("""COMPUTED_VALUE"""),0.94)</f>
        <v>0.94</v>
      </c>
      <c r="E32" s="1">
        <f>IFERROR(__xludf.DUMMYFUNCTION("""COMPUTED_VALUE"""),1.0)</f>
        <v>1</v>
      </c>
      <c r="F32" s="1">
        <f>IFERROR(__xludf.DUMMYFUNCTION("""COMPUTED_VALUE"""),286695.0)</f>
        <v>286695</v>
      </c>
    </row>
    <row r="33">
      <c r="A33" s="2">
        <f>IFERROR(__xludf.DUMMYFUNCTION("""COMPUTED_VALUE"""),39388.666666666664)</f>
        <v>39388.66667</v>
      </c>
      <c r="B33" s="1">
        <f>IFERROR(__xludf.DUMMYFUNCTION("""COMPUTED_VALUE"""),1.01)</f>
        <v>1.01</v>
      </c>
      <c r="C33" s="1">
        <f>IFERROR(__xludf.DUMMYFUNCTION("""COMPUTED_VALUE"""),1.04)</f>
        <v>1.04</v>
      </c>
      <c r="D33" s="1">
        <f>IFERROR(__xludf.DUMMYFUNCTION("""COMPUTED_VALUE"""),0.9)</f>
        <v>0.9</v>
      </c>
      <c r="E33" s="1">
        <f>IFERROR(__xludf.DUMMYFUNCTION("""COMPUTED_VALUE"""),0.95)</f>
        <v>0.95</v>
      </c>
      <c r="F33" s="1">
        <f>IFERROR(__xludf.DUMMYFUNCTION("""COMPUTED_VALUE"""),486612.0)</f>
        <v>486612</v>
      </c>
    </row>
    <row r="34">
      <c r="A34" s="2">
        <f>IFERROR(__xludf.DUMMYFUNCTION("""COMPUTED_VALUE"""),39395.666666666664)</f>
        <v>39395.66667</v>
      </c>
      <c r="B34" s="1">
        <f>IFERROR(__xludf.DUMMYFUNCTION("""COMPUTED_VALUE"""),0.95)</f>
        <v>0.95</v>
      </c>
      <c r="C34" s="1">
        <f>IFERROR(__xludf.DUMMYFUNCTION("""COMPUTED_VALUE"""),0.95)</f>
        <v>0.95</v>
      </c>
      <c r="D34" s="1">
        <f>IFERROR(__xludf.DUMMYFUNCTION("""COMPUTED_VALUE"""),0.81)</f>
        <v>0.81</v>
      </c>
      <c r="E34" s="1">
        <f>IFERROR(__xludf.DUMMYFUNCTION("""COMPUTED_VALUE"""),0.84)</f>
        <v>0.84</v>
      </c>
      <c r="F34" s="1">
        <f>IFERROR(__xludf.DUMMYFUNCTION("""COMPUTED_VALUE"""),1087158.0)</f>
        <v>1087158</v>
      </c>
    </row>
    <row r="35">
      <c r="A35" s="2">
        <f>IFERROR(__xludf.DUMMYFUNCTION("""COMPUTED_VALUE"""),39402.666666666664)</f>
        <v>39402.66667</v>
      </c>
      <c r="B35" s="1">
        <f>IFERROR(__xludf.DUMMYFUNCTION("""COMPUTED_VALUE"""),0.84)</f>
        <v>0.84</v>
      </c>
      <c r="C35" s="1">
        <f>IFERROR(__xludf.DUMMYFUNCTION("""COMPUTED_VALUE"""),0.92)</f>
        <v>0.92</v>
      </c>
      <c r="D35" s="1">
        <f>IFERROR(__xludf.DUMMYFUNCTION("""COMPUTED_VALUE"""),0.82)</f>
        <v>0.82</v>
      </c>
      <c r="E35" s="1">
        <f>IFERROR(__xludf.DUMMYFUNCTION("""COMPUTED_VALUE"""),0.92)</f>
        <v>0.92</v>
      </c>
      <c r="F35" s="1">
        <f>IFERROR(__xludf.DUMMYFUNCTION("""COMPUTED_VALUE"""),1036567.0)</f>
        <v>1036567</v>
      </c>
    </row>
    <row r="36">
      <c r="A36" s="2">
        <f>IFERROR(__xludf.DUMMYFUNCTION("""COMPUTED_VALUE"""),39409.666666666664)</f>
        <v>39409.66667</v>
      </c>
      <c r="B36" s="1">
        <f>IFERROR(__xludf.DUMMYFUNCTION("""COMPUTED_VALUE"""),0.9)</f>
        <v>0.9</v>
      </c>
      <c r="C36" s="1">
        <f>IFERROR(__xludf.DUMMYFUNCTION("""COMPUTED_VALUE"""),0.93)</f>
        <v>0.93</v>
      </c>
      <c r="D36" s="1">
        <f>IFERROR(__xludf.DUMMYFUNCTION("""COMPUTED_VALUE"""),0.85)</f>
        <v>0.85</v>
      </c>
      <c r="E36" s="1">
        <f>IFERROR(__xludf.DUMMYFUNCTION("""COMPUTED_VALUE"""),0.88)</f>
        <v>0.88</v>
      </c>
      <c r="F36" s="1">
        <f>IFERROR(__xludf.DUMMYFUNCTION("""COMPUTED_VALUE"""),756827.0)</f>
        <v>756827</v>
      </c>
    </row>
    <row r="37">
      <c r="A37" s="2">
        <f>IFERROR(__xludf.DUMMYFUNCTION("""COMPUTED_VALUE"""),39416.666666666664)</f>
        <v>39416.66667</v>
      </c>
      <c r="B37" s="1">
        <f>IFERROR(__xludf.DUMMYFUNCTION("""COMPUTED_VALUE"""),0.87)</f>
        <v>0.87</v>
      </c>
      <c r="C37" s="1">
        <f>IFERROR(__xludf.DUMMYFUNCTION("""COMPUTED_VALUE"""),0.91)</f>
        <v>0.91</v>
      </c>
      <c r="D37" s="1">
        <f>IFERROR(__xludf.DUMMYFUNCTION("""COMPUTED_VALUE"""),0.83)</f>
        <v>0.83</v>
      </c>
      <c r="E37" s="1">
        <f>IFERROR(__xludf.DUMMYFUNCTION("""COMPUTED_VALUE"""),0.83)</f>
        <v>0.83</v>
      </c>
      <c r="F37" s="1">
        <f>IFERROR(__xludf.DUMMYFUNCTION("""COMPUTED_VALUE"""),999366.0)</f>
        <v>999366</v>
      </c>
    </row>
    <row r="38">
      <c r="A38" s="2">
        <f>IFERROR(__xludf.DUMMYFUNCTION("""COMPUTED_VALUE"""),39423.666666666664)</f>
        <v>39423.66667</v>
      </c>
      <c r="B38" s="1">
        <f>IFERROR(__xludf.DUMMYFUNCTION("""COMPUTED_VALUE"""),0.83)</f>
        <v>0.83</v>
      </c>
      <c r="C38" s="1">
        <f>IFERROR(__xludf.DUMMYFUNCTION("""COMPUTED_VALUE"""),0.91)</f>
        <v>0.91</v>
      </c>
      <c r="D38" s="1">
        <f>IFERROR(__xludf.DUMMYFUNCTION("""COMPUTED_VALUE"""),0.83)</f>
        <v>0.83</v>
      </c>
      <c r="E38" s="1">
        <f>IFERROR(__xludf.DUMMYFUNCTION("""COMPUTED_VALUE"""),0.89)</f>
        <v>0.89</v>
      </c>
      <c r="F38" s="1">
        <f>IFERROR(__xludf.DUMMYFUNCTION("""COMPUTED_VALUE"""),488765.0)</f>
        <v>488765</v>
      </c>
    </row>
    <row r="39">
      <c r="A39" s="2">
        <f>IFERROR(__xludf.DUMMYFUNCTION("""COMPUTED_VALUE"""),39430.666666666664)</f>
        <v>39430.66667</v>
      </c>
      <c r="B39" s="1">
        <f>IFERROR(__xludf.DUMMYFUNCTION("""COMPUTED_VALUE"""),0.88)</f>
        <v>0.88</v>
      </c>
      <c r="C39" s="1">
        <f>IFERROR(__xludf.DUMMYFUNCTION("""COMPUTED_VALUE"""),0.91)</f>
        <v>0.91</v>
      </c>
      <c r="D39" s="1">
        <f>IFERROR(__xludf.DUMMYFUNCTION("""COMPUTED_VALUE"""),0.83)</f>
        <v>0.83</v>
      </c>
      <c r="E39" s="1">
        <f>IFERROR(__xludf.DUMMYFUNCTION("""COMPUTED_VALUE"""),0.84)</f>
        <v>0.84</v>
      </c>
      <c r="F39" s="1">
        <f>IFERROR(__xludf.DUMMYFUNCTION("""COMPUTED_VALUE"""),348043.0)</f>
        <v>348043</v>
      </c>
    </row>
    <row r="40">
      <c r="A40" s="2">
        <f>IFERROR(__xludf.DUMMYFUNCTION("""COMPUTED_VALUE"""),39437.666666666664)</f>
        <v>39437.66667</v>
      </c>
      <c r="B40" s="1">
        <f>IFERROR(__xludf.DUMMYFUNCTION("""COMPUTED_VALUE"""),0.84)</f>
        <v>0.84</v>
      </c>
      <c r="C40" s="1">
        <f>IFERROR(__xludf.DUMMYFUNCTION("""COMPUTED_VALUE"""),0.86)</f>
        <v>0.86</v>
      </c>
      <c r="D40" s="1">
        <f>IFERROR(__xludf.DUMMYFUNCTION("""COMPUTED_VALUE"""),0.81)</f>
        <v>0.81</v>
      </c>
      <c r="E40" s="1">
        <f>IFERROR(__xludf.DUMMYFUNCTION("""COMPUTED_VALUE"""),0.85)</f>
        <v>0.85</v>
      </c>
      <c r="F40" s="1">
        <f>IFERROR(__xludf.DUMMYFUNCTION("""COMPUTED_VALUE"""),411139.0)</f>
        <v>411139</v>
      </c>
    </row>
    <row r="41">
      <c r="A41" s="2">
        <f>IFERROR(__xludf.DUMMYFUNCTION("""COMPUTED_VALUE"""),39444.666666666664)</f>
        <v>39444.66667</v>
      </c>
      <c r="B41" s="1">
        <f>IFERROR(__xludf.DUMMYFUNCTION("""COMPUTED_VALUE"""),0.86)</f>
        <v>0.86</v>
      </c>
      <c r="C41" s="1">
        <f>IFERROR(__xludf.DUMMYFUNCTION("""COMPUTED_VALUE"""),0.86)</f>
        <v>0.86</v>
      </c>
      <c r="D41" s="1">
        <f>IFERROR(__xludf.DUMMYFUNCTION("""COMPUTED_VALUE"""),0.81)</f>
        <v>0.81</v>
      </c>
      <c r="E41" s="1">
        <f>IFERROR(__xludf.DUMMYFUNCTION("""COMPUTED_VALUE"""),0.81)</f>
        <v>0.81</v>
      </c>
      <c r="F41" s="1">
        <f>IFERROR(__xludf.DUMMYFUNCTION("""COMPUTED_VALUE"""),291617.0)</f>
        <v>291617</v>
      </c>
    </row>
    <row r="42">
      <c r="A42" s="2">
        <f>IFERROR(__xludf.DUMMYFUNCTION("""COMPUTED_VALUE"""),39451.666666666664)</f>
        <v>39451.66667</v>
      </c>
      <c r="B42" s="1">
        <f>IFERROR(__xludf.DUMMYFUNCTION("""COMPUTED_VALUE"""),0.82)</f>
        <v>0.82</v>
      </c>
      <c r="C42" s="1">
        <f>IFERROR(__xludf.DUMMYFUNCTION("""COMPUTED_VALUE"""),0.91)</f>
        <v>0.91</v>
      </c>
      <c r="D42" s="1">
        <f>IFERROR(__xludf.DUMMYFUNCTION("""COMPUTED_VALUE"""),0.77)</f>
        <v>0.77</v>
      </c>
      <c r="E42" s="1">
        <f>IFERROR(__xludf.DUMMYFUNCTION("""COMPUTED_VALUE"""),0.87)</f>
        <v>0.87</v>
      </c>
      <c r="F42" s="1">
        <f>IFERROR(__xludf.DUMMYFUNCTION("""COMPUTED_VALUE"""),652153.0)</f>
        <v>652153</v>
      </c>
    </row>
    <row r="43">
      <c r="A43" s="2">
        <f>IFERROR(__xludf.DUMMYFUNCTION("""COMPUTED_VALUE"""),39458.666666666664)</f>
        <v>39458.66667</v>
      </c>
      <c r="B43" s="1">
        <f>IFERROR(__xludf.DUMMYFUNCTION("""COMPUTED_VALUE"""),0.88)</f>
        <v>0.88</v>
      </c>
      <c r="C43" s="1">
        <f>IFERROR(__xludf.DUMMYFUNCTION("""COMPUTED_VALUE"""),0.92)</f>
        <v>0.92</v>
      </c>
      <c r="D43" s="1">
        <f>IFERROR(__xludf.DUMMYFUNCTION("""COMPUTED_VALUE"""),0.87)</f>
        <v>0.87</v>
      </c>
      <c r="E43" s="1">
        <f>IFERROR(__xludf.DUMMYFUNCTION("""COMPUTED_VALUE"""),0.88)</f>
        <v>0.88</v>
      </c>
      <c r="F43" s="1">
        <f>IFERROR(__xludf.DUMMYFUNCTION("""COMPUTED_VALUE"""),751945.0)</f>
        <v>751945</v>
      </c>
    </row>
    <row r="44">
      <c r="A44" s="2">
        <f>IFERROR(__xludf.DUMMYFUNCTION("""COMPUTED_VALUE"""),39465.666666666664)</f>
        <v>39465.66667</v>
      </c>
      <c r="B44" s="1">
        <f>IFERROR(__xludf.DUMMYFUNCTION("""COMPUTED_VALUE"""),0.89)</f>
        <v>0.89</v>
      </c>
      <c r="C44" s="1">
        <f>IFERROR(__xludf.DUMMYFUNCTION("""COMPUTED_VALUE"""),0.9)</f>
        <v>0.9</v>
      </c>
      <c r="D44" s="1">
        <f>IFERROR(__xludf.DUMMYFUNCTION("""COMPUTED_VALUE"""),0.81)</f>
        <v>0.81</v>
      </c>
      <c r="E44" s="1">
        <f>IFERROR(__xludf.DUMMYFUNCTION("""COMPUTED_VALUE"""),0.83)</f>
        <v>0.83</v>
      </c>
      <c r="F44" s="1">
        <f>IFERROR(__xludf.DUMMYFUNCTION("""COMPUTED_VALUE"""),529990.0)</f>
        <v>529990</v>
      </c>
    </row>
    <row r="45">
      <c r="A45" s="2">
        <f>IFERROR(__xludf.DUMMYFUNCTION("""COMPUTED_VALUE"""),39472.666666666664)</f>
        <v>39472.66667</v>
      </c>
      <c r="B45" s="1">
        <f>IFERROR(__xludf.DUMMYFUNCTION("""COMPUTED_VALUE"""),0.77)</f>
        <v>0.77</v>
      </c>
      <c r="C45" s="1">
        <f>IFERROR(__xludf.DUMMYFUNCTION("""COMPUTED_VALUE"""),0.84)</f>
        <v>0.84</v>
      </c>
      <c r="D45" s="1">
        <f>IFERROR(__xludf.DUMMYFUNCTION("""COMPUTED_VALUE"""),0.77)</f>
        <v>0.77</v>
      </c>
      <c r="E45" s="1">
        <f>IFERROR(__xludf.DUMMYFUNCTION("""COMPUTED_VALUE"""),0.83)</f>
        <v>0.83</v>
      </c>
      <c r="F45" s="1">
        <f>IFERROR(__xludf.DUMMYFUNCTION("""COMPUTED_VALUE"""),543876.0)</f>
        <v>543876</v>
      </c>
    </row>
    <row r="46">
      <c r="A46" s="2">
        <f>IFERROR(__xludf.DUMMYFUNCTION("""COMPUTED_VALUE"""),39479.666666666664)</f>
        <v>39479.66667</v>
      </c>
      <c r="B46" s="1">
        <f>IFERROR(__xludf.DUMMYFUNCTION("""COMPUTED_VALUE"""),0.82)</f>
        <v>0.82</v>
      </c>
      <c r="C46" s="1">
        <f>IFERROR(__xludf.DUMMYFUNCTION("""COMPUTED_VALUE"""),1.0)</f>
        <v>1</v>
      </c>
      <c r="D46" s="1">
        <f>IFERROR(__xludf.DUMMYFUNCTION("""COMPUTED_VALUE"""),0.81)</f>
        <v>0.81</v>
      </c>
      <c r="E46" s="1">
        <f>IFERROR(__xludf.DUMMYFUNCTION("""COMPUTED_VALUE"""),0.96)</f>
        <v>0.96</v>
      </c>
      <c r="F46" s="1">
        <f>IFERROR(__xludf.DUMMYFUNCTION("""COMPUTED_VALUE"""),899763.0)</f>
        <v>899763</v>
      </c>
    </row>
    <row r="47">
      <c r="A47" s="2">
        <f>IFERROR(__xludf.DUMMYFUNCTION("""COMPUTED_VALUE"""),39486.666666666664)</f>
        <v>39486.66667</v>
      </c>
      <c r="B47" s="1">
        <f>IFERROR(__xludf.DUMMYFUNCTION("""COMPUTED_VALUE"""),0.95)</f>
        <v>0.95</v>
      </c>
      <c r="C47" s="1">
        <f>IFERROR(__xludf.DUMMYFUNCTION("""COMPUTED_VALUE"""),0.95)</f>
        <v>0.95</v>
      </c>
      <c r="D47" s="1">
        <f>IFERROR(__xludf.DUMMYFUNCTION("""COMPUTED_VALUE"""),0.86)</f>
        <v>0.86</v>
      </c>
      <c r="E47" s="1">
        <f>IFERROR(__xludf.DUMMYFUNCTION("""COMPUTED_VALUE"""),0.88)</f>
        <v>0.88</v>
      </c>
      <c r="F47" s="1">
        <f>IFERROR(__xludf.DUMMYFUNCTION("""COMPUTED_VALUE"""),764213.0)</f>
        <v>764213</v>
      </c>
    </row>
    <row r="48">
      <c r="A48" s="2">
        <f>IFERROR(__xludf.DUMMYFUNCTION("""COMPUTED_VALUE"""),39493.666666666664)</f>
        <v>39493.66667</v>
      </c>
      <c r="B48" s="1">
        <f>IFERROR(__xludf.DUMMYFUNCTION("""COMPUTED_VALUE"""),0.89)</f>
        <v>0.89</v>
      </c>
      <c r="C48" s="1">
        <f>IFERROR(__xludf.DUMMYFUNCTION("""COMPUTED_VALUE"""),0.92)</f>
        <v>0.92</v>
      </c>
      <c r="D48" s="1">
        <f>IFERROR(__xludf.DUMMYFUNCTION("""COMPUTED_VALUE"""),0.89)</f>
        <v>0.89</v>
      </c>
      <c r="E48" s="1">
        <f>IFERROR(__xludf.DUMMYFUNCTION("""COMPUTED_VALUE"""),0.89)</f>
        <v>0.89</v>
      </c>
      <c r="F48" s="1">
        <f>IFERROR(__xludf.DUMMYFUNCTION("""COMPUTED_VALUE"""),750164.0)</f>
        <v>750164</v>
      </c>
    </row>
    <row r="49">
      <c r="A49" s="2">
        <f>IFERROR(__xludf.DUMMYFUNCTION("""COMPUTED_VALUE"""),39500.666666666664)</f>
        <v>39500.66667</v>
      </c>
      <c r="B49" s="1">
        <f>IFERROR(__xludf.DUMMYFUNCTION("""COMPUTED_VALUE"""),0.9)</f>
        <v>0.9</v>
      </c>
      <c r="C49" s="1">
        <f>IFERROR(__xludf.DUMMYFUNCTION("""COMPUTED_VALUE"""),0.91)</f>
        <v>0.91</v>
      </c>
      <c r="D49" s="1">
        <f>IFERROR(__xludf.DUMMYFUNCTION("""COMPUTED_VALUE"""),0.89)</f>
        <v>0.89</v>
      </c>
      <c r="E49" s="1">
        <f>IFERROR(__xludf.DUMMYFUNCTION("""COMPUTED_VALUE"""),0.9)</f>
        <v>0.9</v>
      </c>
      <c r="F49" s="1">
        <f>IFERROR(__xludf.DUMMYFUNCTION("""COMPUTED_VALUE"""),419945.0)</f>
        <v>419945</v>
      </c>
    </row>
    <row r="50">
      <c r="A50" s="2">
        <f>IFERROR(__xludf.DUMMYFUNCTION("""COMPUTED_VALUE"""),39507.666666666664)</f>
        <v>39507.66667</v>
      </c>
      <c r="B50" s="1">
        <f>IFERROR(__xludf.DUMMYFUNCTION("""COMPUTED_VALUE"""),0.89)</f>
        <v>0.89</v>
      </c>
      <c r="C50" s="1">
        <f>IFERROR(__xludf.DUMMYFUNCTION("""COMPUTED_VALUE"""),0.91)</f>
        <v>0.91</v>
      </c>
      <c r="D50" s="1">
        <f>IFERROR(__xludf.DUMMYFUNCTION("""COMPUTED_VALUE"""),0.89)</f>
        <v>0.89</v>
      </c>
      <c r="E50" s="1">
        <f>IFERROR(__xludf.DUMMYFUNCTION("""COMPUTED_VALUE"""),0.9)</f>
        <v>0.9</v>
      </c>
      <c r="F50" s="1">
        <f>IFERROR(__xludf.DUMMYFUNCTION("""COMPUTED_VALUE"""),1020191.0)</f>
        <v>1020191</v>
      </c>
    </row>
    <row r="51">
      <c r="A51" s="2">
        <f>IFERROR(__xludf.DUMMYFUNCTION("""COMPUTED_VALUE"""),39514.666666666664)</f>
        <v>39514.66667</v>
      </c>
      <c r="B51" s="1">
        <f>IFERROR(__xludf.DUMMYFUNCTION("""COMPUTED_VALUE"""),0.9)</f>
        <v>0.9</v>
      </c>
      <c r="C51" s="1">
        <f>IFERROR(__xludf.DUMMYFUNCTION("""COMPUTED_VALUE"""),0.97)</f>
        <v>0.97</v>
      </c>
      <c r="D51" s="1">
        <f>IFERROR(__xludf.DUMMYFUNCTION("""COMPUTED_VALUE"""),0.89)</f>
        <v>0.89</v>
      </c>
      <c r="E51" s="1">
        <f>IFERROR(__xludf.DUMMYFUNCTION("""COMPUTED_VALUE"""),0.93)</f>
        <v>0.93</v>
      </c>
      <c r="F51" s="1">
        <f>IFERROR(__xludf.DUMMYFUNCTION("""COMPUTED_VALUE"""),553817.0)</f>
        <v>553817</v>
      </c>
    </row>
    <row r="52">
      <c r="A52" s="2">
        <f>IFERROR(__xludf.DUMMYFUNCTION("""COMPUTED_VALUE"""),39521.666666666664)</f>
        <v>39521.66667</v>
      </c>
      <c r="B52" s="1">
        <f>IFERROR(__xludf.DUMMYFUNCTION("""COMPUTED_VALUE"""),0.93)</f>
        <v>0.93</v>
      </c>
      <c r="C52" s="1">
        <f>IFERROR(__xludf.DUMMYFUNCTION("""COMPUTED_VALUE"""),0.94)</f>
        <v>0.94</v>
      </c>
      <c r="D52" s="1">
        <f>IFERROR(__xludf.DUMMYFUNCTION("""COMPUTED_VALUE"""),0.88)</f>
        <v>0.88</v>
      </c>
      <c r="E52" s="1">
        <f>IFERROR(__xludf.DUMMYFUNCTION("""COMPUTED_VALUE"""),0.9)</f>
        <v>0.9</v>
      </c>
      <c r="F52" s="1">
        <f>IFERROR(__xludf.DUMMYFUNCTION("""COMPUTED_VALUE"""),485210.0)</f>
        <v>485210</v>
      </c>
    </row>
    <row r="53">
      <c r="A53" s="2">
        <f>IFERROR(__xludf.DUMMYFUNCTION("""COMPUTED_VALUE"""),39527.666666666664)</f>
        <v>39527.66667</v>
      </c>
      <c r="B53" s="1">
        <f>IFERROR(__xludf.DUMMYFUNCTION("""COMPUTED_VALUE"""),0.87)</f>
        <v>0.87</v>
      </c>
      <c r="C53" s="1">
        <f>IFERROR(__xludf.DUMMYFUNCTION("""COMPUTED_VALUE"""),0.91)</f>
        <v>0.91</v>
      </c>
      <c r="D53" s="1">
        <f>IFERROR(__xludf.DUMMYFUNCTION("""COMPUTED_VALUE"""),0.84)</f>
        <v>0.84</v>
      </c>
      <c r="E53" s="1">
        <f>IFERROR(__xludf.DUMMYFUNCTION("""COMPUTED_VALUE"""),0.89)</f>
        <v>0.89</v>
      </c>
      <c r="F53" s="1">
        <f>IFERROR(__xludf.DUMMYFUNCTION("""COMPUTED_VALUE"""),560791.0)</f>
        <v>560791</v>
      </c>
    </row>
    <row r="54">
      <c r="A54" s="2">
        <f>IFERROR(__xludf.DUMMYFUNCTION("""COMPUTED_VALUE"""),39535.666666666664)</f>
        <v>39535.66667</v>
      </c>
      <c r="B54" s="1">
        <f>IFERROR(__xludf.DUMMYFUNCTION("""COMPUTED_VALUE"""),0.89)</f>
        <v>0.89</v>
      </c>
      <c r="C54" s="1">
        <f>IFERROR(__xludf.DUMMYFUNCTION("""COMPUTED_VALUE"""),0.9)</f>
        <v>0.9</v>
      </c>
      <c r="D54" s="1">
        <f>IFERROR(__xludf.DUMMYFUNCTION("""COMPUTED_VALUE"""),0.83)</f>
        <v>0.83</v>
      </c>
      <c r="E54" s="1">
        <f>IFERROR(__xludf.DUMMYFUNCTION("""COMPUTED_VALUE"""),0.83)</f>
        <v>0.83</v>
      </c>
      <c r="F54" s="1">
        <f>IFERROR(__xludf.DUMMYFUNCTION("""COMPUTED_VALUE"""),628097.0)</f>
        <v>628097</v>
      </c>
    </row>
    <row r="55">
      <c r="A55" s="2">
        <f>IFERROR(__xludf.DUMMYFUNCTION("""COMPUTED_VALUE"""),39542.666666666664)</f>
        <v>39542.66667</v>
      </c>
      <c r="B55" s="1">
        <f>IFERROR(__xludf.DUMMYFUNCTION("""COMPUTED_VALUE"""),0.83)</f>
        <v>0.83</v>
      </c>
      <c r="C55" s="1">
        <f>IFERROR(__xludf.DUMMYFUNCTION("""COMPUTED_VALUE"""),0.95)</f>
        <v>0.95</v>
      </c>
      <c r="D55" s="1">
        <f>IFERROR(__xludf.DUMMYFUNCTION("""COMPUTED_VALUE"""),0.83)</f>
        <v>0.83</v>
      </c>
      <c r="E55" s="1">
        <f>IFERROR(__xludf.DUMMYFUNCTION("""COMPUTED_VALUE"""),0.93)</f>
        <v>0.93</v>
      </c>
      <c r="F55" s="1">
        <f>IFERROR(__xludf.DUMMYFUNCTION("""COMPUTED_VALUE"""),923853.0)</f>
        <v>923853</v>
      </c>
    </row>
    <row r="56">
      <c r="A56" s="2">
        <f>IFERROR(__xludf.DUMMYFUNCTION("""COMPUTED_VALUE"""),39549.666666666664)</f>
        <v>39549.66667</v>
      </c>
      <c r="B56" s="1">
        <f>IFERROR(__xludf.DUMMYFUNCTION("""COMPUTED_VALUE"""),0.93)</f>
        <v>0.93</v>
      </c>
      <c r="C56" s="1">
        <f>IFERROR(__xludf.DUMMYFUNCTION("""COMPUTED_VALUE"""),0.98)</f>
        <v>0.98</v>
      </c>
      <c r="D56" s="1">
        <f>IFERROR(__xludf.DUMMYFUNCTION("""COMPUTED_VALUE"""),0.73)</f>
        <v>0.73</v>
      </c>
      <c r="E56" s="1">
        <f>IFERROR(__xludf.DUMMYFUNCTION("""COMPUTED_VALUE"""),0.74)</f>
        <v>0.74</v>
      </c>
      <c r="F56" s="1">
        <f>IFERROR(__xludf.DUMMYFUNCTION("""COMPUTED_VALUE"""),2741885.0)</f>
        <v>2741885</v>
      </c>
    </row>
    <row r="57">
      <c r="A57" s="2">
        <f>IFERROR(__xludf.DUMMYFUNCTION("""COMPUTED_VALUE"""),39556.666666666664)</f>
        <v>39556.66667</v>
      </c>
      <c r="B57" s="1">
        <f>IFERROR(__xludf.DUMMYFUNCTION("""COMPUTED_VALUE"""),0.74)</f>
        <v>0.74</v>
      </c>
      <c r="C57" s="1">
        <f>IFERROR(__xludf.DUMMYFUNCTION("""COMPUTED_VALUE"""),0.75)</f>
        <v>0.75</v>
      </c>
      <c r="D57" s="1">
        <f>IFERROR(__xludf.DUMMYFUNCTION("""COMPUTED_VALUE"""),0.67)</f>
        <v>0.67</v>
      </c>
      <c r="E57" s="1">
        <f>IFERROR(__xludf.DUMMYFUNCTION("""COMPUTED_VALUE"""),0.75)</f>
        <v>0.75</v>
      </c>
      <c r="F57" s="1">
        <f>IFERROR(__xludf.DUMMYFUNCTION("""COMPUTED_VALUE"""),1082296.0)</f>
        <v>1082296</v>
      </c>
    </row>
    <row r="58">
      <c r="A58" s="2">
        <f>IFERROR(__xludf.DUMMYFUNCTION("""COMPUTED_VALUE"""),39563.666666666664)</f>
        <v>39563.66667</v>
      </c>
      <c r="B58" s="1">
        <f>IFERROR(__xludf.DUMMYFUNCTION("""COMPUTED_VALUE"""),0.75)</f>
        <v>0.75</v>
      </c>
      <c r="C58" s="1">
        <f>IFERROR(__xludf.DUMMYFUNCTION("""COMPUTED_VALUE"""),0.75)</f>
        <v>0.75</v>
      </c>
      <c r="D58" s="1">
        <f>IFERROR(__xludf.DUMMYFUNCTION("""COMPUTED_VALUE"""),0.72)</f>
        <v>0.72</v>
      </c>
      <c r="E58" s="1">
        <f>IFERROR(__xludf.DUMMYFUNCTION("""COMPUTED_VALUE"""),0.74)</f>
        <v>0.74</v>
      </c>
      <c r="F58" s="1">
        <f>IFERROR(__xludf.DUMMYFUNCTION("""COMPUTED_VALUE"""),476063.0)</f>
        <v>476063</v>
      </c>
    </row>
    <row r="59">
      <c r="A59" s="2">
        <f>IFERROR(__xludf.DUMMYFUNCTION("""COMPUTED_VALUE"""),39570.666666666664)</f>
        <v>39570.66667</v>
      </c>
      <c r="B59" s="1">
        <f>IFERROR(__xludf.DUMMYFUNCTION("""COMPUTED_VALUE"""),0.73)</f>
        <v>0.73</v>
      </c>
      <c r="C59" s="1">
        <f>IFERROR(__xludf.DUMMYFUNCTION("""COMPUTED_VALUE"""),0.78)</f>
        <v>0.78</v>
      </c>
      <c r="D59" s="1">
        <f>IFERROR(__xludf.DUMMYFUNCTION("""COMPUTED_VALUE"""),0.71)</f>
        <v>0.71</v>
      </c>
      <c r="E59" s="1">
        <f>IFERROR(__xludf.DUMMYFUNCTION("""COMPUTED_VALUE"""),0.73)</f>
        <v>0.73</v>
      </c>
      <c r="F59" s="1">
        <f>IFERROR(__xludf.DUMMYFUNCTION("""COMPUTED_VALUE"""),819067.0)</f>
        <v>819067</v>
      </c>
    </row>
    <row r="60">
      <c r="A60" s="2">
        <f>IFERROR(__xludf.DUMMYFUNCTION("""COMPUTED_VALUE"""),39577.666666666664)</f>
        <v>39577.66667</v>
      </c>
      <c r="B60" s="1">
        <f>IFERROR(__xludf.DUMMYFUNCTION("""COMPUTED_VALUE"""),0.73)</f>
        <v>0.73</v>
      </c>
      <c r="C60" s="1">
        <f>IFERROR(__xludf.DUMMYFUNCTION("""COMPUTED_VALUE"""),0.76)</f>
        <v>0.76</v>
      </c>
      <c r="D60" s="1">
        <f>IFERROR(__xludf.DUMMYFUNCTION("""COMPUTED_VALUE"""),0.72)</f>
        <v>0.72</v>
      </c>
      <c r="E60" s="1">
        <f>IFERROR(__xludf.DUMMYFUNCTION("""COMPUTED_VALUE"""),0.75)</f>
        <v>0.75</v>
      </c>
      <c r="F60" s="1">
        <f>IFERROR(__xludf.DUMMYFUNCTION("""COMPUTED_VALUE"""),674629.0)</f>
        <v>674629</v>
      </c>
    </row>
    <row r="61">
      <c r="A61" s="2">
        <f>IFERROR(__xludf.DUMMYFUNCTION("""COMPUTED_VALUE"""),39584.666666666664)</f>
        <v>39584.66667</v>
      </c>
      <c r="B61" s="1">
        <f>IFERROR(__xludf.DUMMYFUNCTION("""COMPUTED_VALUE"""),0.75)</f>
        <v>0.75</v>
      </c>
      <c r="C61" s="1">
        <f>IFERROR(__xludf.DUMMYFUNCTION("""COMPUTED_VALUE"""),0.76)</f>
        <v>0.76</v>
      </c>
      <c r="D61" s="1">
        <f>IFERROR(__xludf.DUMMYFUNCTION("""COMPUTED_VALUE"""),0.74)</f>
        <v>0.74</v>
      </c>
      <c r="E61" s="1">
        <f>IFERROR(__xludf.DUMMYFUNCTION("""COMPUTED_VALUE"""),0.75)</f>
        <v>0.75</v>
      </c>
      <c r="F61" s="1">
        <f>IFERROR(__xludf.DUMMYFUNCTION("""COMPUTED_VALUE"""),727078.0)</f>
        <v>727078</v>
      </c>
    </row>
    <row r="62">
      <c r="A62" s="2">
        <f>IFERROR(__xludf.DUMMYFUNCTION("""COMPUTED_VALUE"""),39591.666666666664)</f>
        <v>39591.66667</v>
      </c>
      <c r="B62" s="1">
        <f>IFERROR(__xludf.DUMMYFUNCTION("""COMPUTED_VALUE"""),0.74)</f>
        <v>0.74</v>
      </c>
      <c r="C62" s="1">
        <f>IFERROR(__xludf.DUMMYFUNCTION("""COMPUTED_VALUE"""),0.75)</f>
        <v>0.75</v>
      </c>
      <c r="D62" s="1">
        <f>IFERROR(__xludf.DUMMYFUNCTION("""COMPUTED_VALUE"""),0.72)</f>
        <v>0.72</v>
      </c>
      <c r="E62" s="1">
        <f>IFERROR(__xludf.DUMMYFUNCTION("""COMPUTED_VALUE"""),0.73)</f>
        <v>0.73</v>
      </c>
      <c r="F62" s="1">
        <f>IFERROR(__xludf.DUMMYFUNCTION("""COMPUTED_VALUE"""),488191.0)</f>
        <v>488191</v>
      </c>
    </row>
    <row r="63">
      <c r="A63" s="2">
        <f>IFERROR(__xludf.DUMMYFUNCTION("""COMPUTED_VALUE"""),39598.666666666664)</f>
        <v>39598.66667</v>
      </c>
      <c r="B63" s="1">
        <f>IFERROR(__xludf.DUMMYFUNCTION("""COMPUTED_VALUE"""),0.73)</f>
        <v>0.73</v>
      </c>
      <c r="C63" s="1">
        <f>IFERROR(__xludf.DUMMYFUNCTION("""COMPUTED_VALUE"""),0.73)</f>
        <v>0.73</v>
      </c>
      <c r="D63" s="1">
        <f>IFERROR(__xludf.DUMMYFUNCTION("""COMPUTED_VALUE"""),0.71)</f>
        <v>0.71</v>
      </c>
      <c r="E63" s="1">
        <f>IFERROR(__xludf.DUMMYFUNCTION("""COMPUTED_VALUE"""),0.72)</f>
        <v>0.72</v>
      </c>
      <c r="F63" s="1">
        <f>IFERROR(__xludf.DUMMYFUNCTION("""COMPUTED_VALUE"""),465738.0)</f>
        <v>465738</v>
      </c>
    </row>
    <row r="64">
      <c r="A64" s="2">
        <f>IFERROR(__xludf.DUMMYFUNCTION("""COMPUTED_VALUE"""),39605.666666666664)</f>
        <v>39605.66667</v>
      </c>
      <c r="B64" s="1">
        <f>IFERROR(__xludf.DUMMYFUNCTION("""COMPUTED_VALUE"""),0.72)</f>
        <v>0.72</v>
      </c>
      <c r="C64" s="1">
        <f>IFERROR(__xludf.DUMMYFUNCTION("""COMPUTED_VALUE"""),0.74)</f>
        <v>0.74</v>
      </c>
      <c r="D64" s="1">
        <f>IFERROR(__xludf.DUMMYFUNCTION("""COMPUTED_VALUE"""),0.69)</f>
        <v>0.69</v>
      </c>
      <c r="E64" s="1">
        <f>IFERROR(__xludf.DUMMYFUNCTION("""COMPUTED_VALUE"""),0.73)</f>
        <v>0.73</v>
      </c>
      <c r="F64" s="1">
        <f>IFERROR(__xludf.DUMMYFUNCTION("""COMPUTED_VALUE"""),653929.0)</f>
        <v>653929</v>
      </c>
    </row>
    <row r="65">
      <c r="A65" s="2">
        <f>IFERROR(__xludf.DUMMYFUNCTION("""COMPUTED_VALUE"""),39612.666666666664)</f>
        <v>39612.66667</v>
      </c>
      <c r="B65" s="1">
        <f>IFERROR(__xludf.DUMMYFUNCTION("""COMPUTED_VALUE"""),0.73)</f>
        <v>0.73</v>
      </c>
      <c r="C65" s="1">
        <f>IFERROR(__xludf.DUMMYFUNCTION("""COMPUTED_VALUE"""),0.77)</f>
        <v>0.77</v>
      </c>
      <c r="D65" s="1">
        <f>IFERROR(__xludf.DUMMYFUNCTION("""COMPUTED_VALUE"""),0.73)</f>
        <v>0.73</v>
      </c>
      <c r="E65" s="1">
        <f>IFERROR(__xludf.DUMMYFUNCTION("""COMPUTED_VALUE"""),0.76)</f>
        <v>0.76</v>
      </c>
      <c r="F65" s="1">
        <f>IFERROR(__xludf.DUMMYFUNCTION("""COMPUTED_VALUE"""),595160.0)</f>
        <v>595160</v>
      </c>
    </row>
    <row r="66">
      <c r="A66" s="2">
        <f>IFERROR(__xludf.DUMMYFUNCTION("""COMPUTED_VALUE"""),39619.666666666664)</f>
        <v>39619.66667</v>
      </c>
      <c r="B66" s="1">
        <f>IFERROR(__xludf.DUMMYFUNCTION("""COMPUTED_VALUE"""),0.76)</f>
        <v>0.76</v>
      </c>
      <c r="C66" s="1">
        <f>IFERROR(__xludf.DUMMYFUNCTION("""COMPUTED_VALUE"""),0.78)</f>
        <v>0.78</v>
      </c>
      <c r="D66" s="1">
        <f>IFERROR(__xludf.DUMMYFUNCTION("""COMPUTED_VALUE"""),0.75)</f>
        <v>0.75</v>
      </c>
      <c r="E66" s="1">
        <f>IFERROR(__xludf.DUMMYFUNCTION("""COMPUTED_VALUE"""),0.76)</f>
        <v>0.76</v>
      </c>
      <c r="F66" s="1">
        <f>IFERROR(__xludf.DUMMYFUNCTION("""COMPUTED_VALUE"""),401241.0)</f>
        <v>401241</v>
      </c>
    </row>
    <row r="67">
      <c r="A67" s="2">
        <f>IFERROR(__xludf.DUMMYFUNCTION("""COMPUTED_VALUE"""),39626.666666666664)</f>
        <v>39626.66667</v>
      </c>
      <c r="B67" s="1">
        <f>IFERROR(__xludf.DUMMYFUNCTION("""COMPUTED_VALUE"""),0.76)</f>
        <v>0.76</v>
      </c>
      <c r="C67" s="1">
        <f>IFERROR(__xludf.DUMMYFUNCTION("""COMPUTED_VALUE"""),0.79)</f>
        <v>0.79</v>
      </c>
      <c r="D67" s="1">
        <f>IFERROR(__xludf.DUMMYFUNCTION("""COMPUTED_VALUE"""),0.72)</f>
        <v>0.72</v>
      </c>
      <c r="E67" s="1">
        <f>IFERROR(__xludf.DUMMYFUNCTION("""COMPUTED_VALUE"""),0.73)</f>
        <v>0.73</v>
      </c>
      <c r="F67" s="1">
        <f>IFERROR(__xludf.DUMMYFUNCTION("""COMPUTED_VALUE"""),2150072.0)</f>
        <v>2150072</v>
      </c>
    </row>
    <row r="68">
      <c r="A68" s="2">
        <f>IFERROR(__xludf.DUMMYFUNCTION("""COMPUTED_VALUE"""),39632.666666666664)</f>
        <v>39632.66667</v>
      </c>
      <c r="B68" s="1">
        <f>IFERROR(__xludf.DUMMYFUNCTION("""COMPUTED_VALUE"""),0.73)</f>
        <v>0.73</v>
      </c>
      <c r="C68" s="1">
        <f>IFERROR(__xludf.DUMMYFUNCTION("""COMPUTED_VALUE"""),0.77)</f>
        <v>0.77</v>
      </c>
      <c r="D68" s="1">
        <f>IFERROR(__xludf.DUMMYFUNCTION("""COMPUTED_VALUE"""),0.71)</f>
        <v>0.71</v>
      </c>
      <c r="E68" s="1">
        <f>IFERROR(__xludf.DUMMYFUNCTION("""COMPUTED_VALUE"""),0.76)</f>
        <v>0.76</v>
      </c>
      <c r="F68" s="1">
        <f>IFERROR(__xludf.DUMMYFUNCTION("""COMPUTED_VALUE"""),694247.0)</f>
        <v>694247</v>
      </c>
    </row>
    <row r="69">
      <c r="A69" s="2">
        <f>IFERROR(__xludf.DUMMYFUNCTION("""COMPUTED_VALUE"""),39640.666666666664)</f>
        <v>39640.66667</v>
      </c>
      <c r="B69" s="1">
        <f>IFERROR(__xludf.DUMMYFUNCTION("""COMPUTED_VALUE"""),0.76)</f>
        <v>0.76</v>
      </c>
      <c r="C69" s="1">
        <f>IFERROR(__xludf.DUMMYFUNCTION("""COMPUTED_VALUE"""),0.77)</f>
        <v>0.77</v>
      </c>
      <c r="D69" s="1">
        <f>IFERROR(__xludf.DUMMYFUNCTION("""COMPUTED_VALUE"""),0.72)</f>
        <v>0.72</v>
      </c>
      <c r="E69" s="1">
        <f>IFERROR(__xludf.DUMMYFUNCTION("""COMPUTED_VALUE"""),0.77)</f>
        <v>0.77</v>
      </c>
      <c r="F69" s="1">
        <f>IFERROR(__xludf.DUMMYFUNCTION("""COMPUTED_VALUE"""),426087.0)</f>
        <v>426087</v>
      </c>
    </row>
    <row r="70">
      <c r="A70" s="2">
        <f>IFERROR(__xludf.DUMMYFUNCTION("""COMPUTED_VALUE"""),39647.666666666664)</f>
        <v>39647.66667</v>
      </c>
      <c r="B70" s="1">
        <f>IFERROR(__xludf.DUMMYFUNCTION("""COMPUTED_VALUE"""),0.77)</f>
        <v>0.77</v>
      </c>
      <c r="C70" s="1">
        <f>IFERROR(__xludf.DUMMYFUNCTION("""COMPUTED_VALUE"""),0.78)</f>
        <v>0.78</v>
      </c>
      <c r="D70" s="1">
        <f>IFERROR(__xludf.DUMMYFUNCTION("""COMPUTED_VALUE"""),0.74)</f>
        <v>0.74</v>
      </c>
      <c r="E70" s="1">
        <f>IFERROR(__xludf.DUMMYFUNCTION("""COMPUTED_VALUE"""),0.76)</f>
        <v>0.76</v>
      </c>
      <c r="F70" s="1">
        <f>IFERROR(__xludf.DUMMYFUNCTION("""COMPUTED_VALUE"""),368911.0)</f>
        <v>368911</v>
      </c>
    </row>
    <row r="71">
      <c r="A71" s="2">
        <f>IFERROR(__xludf.DUMMYFUNCTION("""COMPUTED_VALUE"""),39654.666666666664)</f>
        <v>39654.66667</v>
      </c>
      <c r="B71" s="1">
        <f>IFERROR(__xludf.DUMMYFUNCTION("""COMPUTED_VALUE"""),0.77)</f>
        <v>0.77</v>
      </c>
      <c r="C71" s="1">
        <f>IFERROR(__xludf.DUMMYFUNCTION("""COMPUTED_VALUE"""),0.79)</f>
        <v>0.79</v>
      </c>
      <c r="D71" s="1">
        <f>IFERROR(__xludf.DUMMYFUNCTION("""COMPUTED_VALUE"""),0.76)</f>
        <v>0.76</v>
      </c>
      <c r="E71" s="1">
        <f>IFERROR(__xludf.DUMMYFUNCTION("""COMPUTED_VALUE"""),0.78)</f>
        <v>0.78</v>
      </c>
      <c r="F71" s="1">
        <f>IFERROR(__xludf.DUMMYFUNCTION("""COMPUTED_VALUE"""),230956.0)</f>
        <v>230956</v>
      </c>
    </row>
    <row r="72">
      <c r="A72" s="2">
        <f>IFERROR(__xludf.DUMMYFUNCTION("""COMPUTED_VALUE"""),39661.666666666664)</f>
        <v>39661.66667</v>
      </c>
      <c r="B72" s="1">
        <f>IFERROR(__xludf.DUMMYFUNCTION("""COMPUTED_VALUE"""),0.78)</f>
        <v>0.78</v>
      </c>
      <c r="C72" s="1">
        <f>IFERROR(__xludf.DUMMYFUNCTION("""COMPUTED_VALUE"""),0.8)</f>
        <v>0.8</v>
      </c>
      <c r="D72" s="1">
        <f>IFERROR(__xludf.DUMMYFUNCTION("""COMPUTED_VALUE"""),0.75)</f>
        <v>0.75</v>
      </c>
      <c r="E72" s="1">
        <f>IFERROR(__xludf.DUMMYFUNCTION("""COMPUTED_VALUE"""),0.79)</f>
        <v>0.79</v>
      </c>
      <c r="F72" s="1">
        <f>IFERROR(__xludf.DUMMYFUNCTION("""COMPUTED_VALUE"""),322822.0)</f>
        <v>322822</v>
      </c>
    </row>
    <row r="73">
      <c r="A73" s="2">
        <f>IFERROR(__xludf.DUMMYFUNCTION("""COMPUTED_VALUE"""),39668.666666666664)</f>
        <v>39668.66667</v>
      </c>
      <c r="B73" s="1">
        <f>IFERROR(__xludf.DUMMYFUNCTION("""COMPUTED_VALUE"""),0.79)</f>
        <v>0.79</v>
      </c>
      <c r="C73" s="1">
        <f>IFERROR(__xludf.DUMMYFUNCTION("""COMPUTED_VALUE"""),0.93)</f>
        <v>0.93</v>
      </c>
      <c r="D73" s="1">
        <f>IFERROR(__xludf.DUMMYFUNCTION("""COMPUTED_VALUE"""),0.76)</f>
        <v>0.76</v>
      </c>
      <c r="E73" s="1">
        <f>IFERROR(__xludf.DUMMYFUNCTION("""COMPUTED_VALUE"""),0.9)</f>
        <v>0.9</v>
      </c>
      <c r="F73" s="1">
        <f>IFERROR(__xludf.DUMMYFUNCTION("""COMPUTED_VALUE"""),1175710.0)</f>
        <v>1175710</v>
      </c>
    </row>
    <row r="74">
      <c r="A74" s="2">
        <f>IFERROR(__xludf.DUMMYFUNCTION("""COMPUTED_VALUE"""),39675.666666666664)</f>
        <v>39675.66667</v>
      </c>
      <c r="B74" s="1">
        <f>IFERROR(__xludf.DUMMYFUNCTION("""COMPUTED_VALUE"""),0.9)</f>
        <v>0.9</v>
      </c>
      <c r="C74" s="1">
        <f>IFERROR(__xludf.DUMMYFUNCTION("""COMPUTED_VALUE"""),0.91)</f>
        <v>0.91</v>
      </c>
      <c r="D74" s="1">
        <f>IFERROR(__xludf.DUMMYFUNCTION("""COMPUTED_VALUE"""),0.86)</f>
        <v>0.86</v>
      </c>
      <c r="E74" s="1">
        <f>IFERROR(__xludf.DUMMYFUNCTION("""COMPUTED_VALUE"""),0.9)</f>
        <v>0.9</v>
      </c>
      <c r="F74" s="1">
        <f>IFERROR(__xludf.DUMMYFUNCTION("""COMPUTED_VALUE"""),1026603.0)</f>
        <v>1026603</v>
      </c>
    </row>
    <row r="75">
      <c r="A75" s="2">
        <f>IFERROR(__xludf.DUMMYFUNCTION("""COMPUTED_VALUE"""),39682.666666666664)</f>
        <v>39682.66667</v>
      </c>
      <c r="B75" s="1">
        <f>IFERROR(__xludf.DUMMYFUNCTION("""COMPUTED_VALUE"""),0.9)</f>
        <v>0.9</v>
      </c>
      <c r="C75" s="1">
        <f>IFERROR(__xludf.DUMMYFUNCTION("""COMPUTED_VALUE"""),1.01)</f>
        <v>1.01</v>
      </c>
      <c r="D75" s="1">
        <f>IFERROR(__xludf.DUMMYFUNCTION("""COMPUTED_VALUE"""),0.88)</f>
        <v>0.88</v>
      </c>
      <c r="E75" s="1">
        <f>IFERROR(__xludf.DUMMYFUNCTION("""COMPUTED_VALUE"""),1.01)</f>
        <v>1.01</v>
      </c>
      <c r="F75" s="1">
        <f>IFERROR(__xludf.DUMMYFUNCTION("""COMPUTED_VALUE"""),1519444.0)</f>
        <v>1519444</v>
      </c>
    </row>
    <row r="76">
      <c r="A76" s="2">
        <f>IFERROR(__xludf.DUMMYFUNCTION("""COMPUTED_VALUE"""),39689.666666666664)</f>
        <v>39689.66667</v>
      </c>
      <c r="B76" s="1">
        <f>IFERROR(__xludf.DUMMYFUNCTION("""COMPUTED_VALUE"""),1.01)</f>
        <v>1.01</v>
      </c>
      <c r="C76" s="1">
        <f>IFERROR(__xludf.DUMMYFUNCTION("""COMPUTED_VALUE"""),1.07)</f>
        <v>1.07</v>
      </c>
      <c r="D76" s="1">
        <f>IFERROR(__xludf.DUMMYFUNCTION("""COMPUTED_VALUE"""),0.98)</f>
        <v>0.98</v>
      </c>
      <c r="E76" s="1">
        <f>IFERROR(__xludf.DUMMYFUNCTION("""COMPUTED_VALUE"""),1.0)</f>
        <v>1</v>
      </c>
      <c r="F76" s="1">
        <f>IFERROR(__xludf.DUMMYFUNCTION("""COMPUTED_VALUE"""),1889382.0)</f>
        <v>1889382</v>
      </c>
    </row>
    <row r="77">
      <c r="A77" s="2">
        <f>IFERROR(__xludf.DUMMYFUNCTION("""COMPUTED_VALUE"""),39696.666666666664)</f>
        <v>39696.66667</v>
      </c>
      <c r="B77" s="1">
        <f>IFERROR(__xludf.DUMMYFUNCTION("""COMPUTED_VALUE"""),1.0)</f>
        <v>1</v>
      </c>
      <c r="C77" s="1">
        <f>IFERROR(__xludf.DUMMYFUNCTION("""COMPUTED_VALUE"""),1.09)</f>
        <v>1.09</v>
      </c>
      <c r="D77" s="1">
        <f>IFERROR(__xludf.DUMMYFUNCTION("""COMPUTED_VALUE"""),0.99)</f>
        <v>0.99</v>
      </c>
      <c r="E77" s="1">
        <f>IFERROR(__xludf.DUMMYFUNCTION("""COMPUTED_VALUE"""),1.05)</f>
        <v>1.05</v>
      </c>
      <c r="F77" s="1">
        <f>IFERROR(__xludf.DUMMYFUNCTION("""COMPUTED_VALUE"""),1835693.0)</f>
        <v>1835693</v>
      </c>
    </row>
    <row r="78">
      <c r="A78" s="2">
        <f>IFERROR(__xludf.DUMMYFUNCTION("""COMPUTED_VALUE"""),39703.666666666664)</f>
        <v>39703.66667</v>
      </c>
      <c r="B78" s="1">
        <f>IFERROR(__xludf.DUMMYFUNCTION("""COMPUTED_VALUE"""),1.05)</f>
        <v>1.05</v>
      </c>
      <c r="C78" s="1">
        <f>IFERROR(__xludf.DUMMYFUNCTION("""COMPUTED_VALUE"""),1.09)</f>
        <v>1.09</v>
      </c>
      <c r="D78" s="1">
        <f>IFERROR(__xludf.DUMMYFUNCTION("""COMPUTED_VALUE"""),1.04)</f>
        <v>1.04</v>
      </c>
      <c r="E78" s="1">
        <f>IFERROR(__xludf.DUMMYFUNCTION("""COMPUTED_VALUE"""),1.06)</f>
        <v>1.06</v>
      </c>
      <c r="F78" s="1">
        <f>IFERROR(__xludf.DUMMYFUNCTION("""COMPUTED_VALUE"""),1249339.0)</f>
        <v>1249339</v>
      </c>
    </row>
    <row r="79">
      <c r="A79" s="2">
        <f>IFERROR(__xludf.DUMMYFUNCTION("""COMPUTED_VALUE"""),39710.666666666664)</f>
        <v>39710.66667</v>
      </c>
      <c r="B79" s="1">
        <f>IFERROR(__xludf.DUMMYFUNCTION("""COMPUTED_VALUE"""),1.03)</f>
        <v>1.03</v>
      </c>
      <c r="C79" s="1">
        <f>IFERROR(__xludf.DUMMYFUNCTION("""COMPUTED_VALUE"""),1.05)</f>
        <v>1.05</v>
      </c>
      <c r="D79" s="1">
        <f>IFERROR(__xludf.DUMMYFUNCTION("""COMPUTED_VALUE"""),0.93)</f>
        <v>0.93</v>
      </c>
      <c r="E79" s="1">
        <f>IFERROR(__xludf.DUMMYFUNCTION("""COMPUTED_VALUE"""),1.04)</f>
        <v>1.04</v>
      </c>
      <c r="F79" s="1">
        <f>IFERROR(__xludf.DUMMYFUNCTION("""COMPUTED_VALUE"""),1368366.0)</f>
        <v>1368366</v>
      </c>
    </row>
    <row r="80">
      <c r="A80" s="2">
        <f>IFERROR(__xludf.DUMMYFUNCTION("""COMPUTED_VALUE"""),39717.666666666664)</f>
        <v>39717.66667</v>
      </c>
      <c r="B80" s="1">
        <f>IFERROR(__xludf.DUMMYFUNCTION("""COMPUTED_VALUE"""),1.04)</f>
        <v>1.04</v>
      </c>
      <c r="C80" s="1">
        <f>IFERROR(__xludf.DUMMYFUNCTION("""COMPUTED_VALUE"""),1.06)</f>
        <v>1.06</v>
      </c>
      <c r="D80" s="1">
        <f>IFERROR(__xludf.DUMMYFUNCTION("""COMPUTED_VALUE"""),0.88)</f>
        <v>0.88</v>
      </c>
      <c r="E80" s="1">
        <f>IFERROR(__xludf.DUMMYFUNCTION("""COMPUTED_VALUE"""),0.94)</f>
        <v>0.94</v>
      </c>
      <c r="F80" s="1">
        <f>IFERROR(__xludf.DUMMYFUNCTION("""COMPUTED_VALUE"""),1300677.0)</f>
        <v>1300677</v>
      </c>
    </row>
    <row r="81">
      <c r="A81" s="2">
        <f>IFERROR(__xludf.DUMMYFUNCTION("""COMPUTED_VALUE"""),39724.666666666664)</f>
        <v>39724.66667</v>
      </c>
      <c r="B81" s="1">
        <f>IFERROR(__xludf.DUMMYFUNCTION("""COMPUTED_VALUE"""),0.93)</f>
        <v>0.93</v>
      </c>
      <c r="C81" s="1">
        <f>IFERROR(__xludf.DUMMYFUNCTION("""COMPUTED_VALUE"""),0.93)</f>
        <v>0.93</v>
      </c>
      <c r="D81" s="1">
        <f>IFERROR(__xludf.DUMMYFUNCTION("""COMPUTED_VALUE"""),0.85)</f>
        <v>0.85</v>
      </c>
      <c r="E81" s="1">
        <f>IFERROR(__xludf.DUMMYFUNCTION("""COMPUTED_VALUE"""),0.88)</f>
        <v>0.88</v>
      </c>
      <c r="F81" s="1">
        <f>IFERROR(__xludf.DUMMYFUNCTION("""COMPUTED_VALUE"""),823339.0)</f>
        <v>823339</v>
      </c>
    </row>
    <row r="82">
      <c r="A82" s="2">
        <f>IFERROR(__xludf.DUMMYFUNCTION("""COMPUTED_VALUE"""),39731.666666666664)</f>
        <v>39731.66667</v>
      </c>
      <c r="B82" s="1">
        <f>IFERROR(__xludf.DUMMYFUNCTION("""COMPUTED_VALUE"""),0.87)</f>
        <v>0.87</v>
      </c>
      <c r="C82" s="1">
        <f>IFERROR(__xludf.DUMMYFUNCTION("""COMPUTED_VALUE"""),0.89)</f>
        <v>0.89</v>
      </c>
      <c r="D82" s="1">
        <f>IFERROR(__xludf.DUMMYFUNCTION("""COMPUTED_VALUE"""),0.65)</f>
        <v>0.65</v>
      </c>
      <c r="E82" s="1">
        <f>IFERROR(__xludf.DUMMYFUNCTION("""COMPUTED_VALUE"""),0.71)</f>
        <v>0.71</v>
      </c>
      <c r="F82" s="1">
        <f>IFERROR(__xludf.DUMMYFUNCTION("""COMPUTED_VALUE"""),1312473.0)</f>
        <v>1312473</v>
      </c>
    </row>
    <row r="83">
      <c r="A83" s="2">
        <f>IFERROR(__xludf.DUMMYFUNCTION("""COMPUTED_VALUE"""),39738.666666666664)</f>
        <v>39738.66667</v>
      </c>
      <c r="B83" s="1">
        <f>IFERROR(__xludf.DUMMYFUNCTION("""COMPUTED_VALUE"""),0.73)</f>
        <v>0.73</v>
      </c>
      <c r="C83" s="1">
        <f>IFERROR(__xludf.DUMMYFUNCTION("""COMPUTED_VALUE"""),0.89)</f>
        <v>0.89</v>
      </c>
      <c r="D83" s="1">
        <f>IFERROR(__xludf.DUMMYFUNCTION("""COMPUTED_VALUE"""),0.71)</f>
        <v>0.71</v>
      </c>
      <c r="E83" s="1">
        <f>IFERROR(__xludf.DUMMYFUNCTION("""COMPUTED_VALUE"""),0.78)</f>
        <v>0.78</v>
      </c>
      <c r="F83" s="1">
        <f>IFERROR(__xludf.DUMMYFUNCTION("""COMPUTED_VALUE"""),1277477.0)</f>
        <v>1277477</v>
      </c>
    </row>
    <row r="84">
      <c r="A84" s="2">
        <f>IFERROR(__xludf.DUMMYFUNCTION("""COMPUTED_VALUE"""),39745.666666666664)</f>
        <v>39745.66667</v>
      </c>
      <c r="B84" s="1">
        <f>IFERROR(__xludf.DUMMYFUNCTION("""COMPUTED_VALUE"""),0.79)</f>
        <v>0.79</v>
      </c>
      <c r="C84" s="1">
        <f>IFERROR(__xludf.DUMMYFUNCTION("""COMPUTED_VALUE"""),0.82)</f>
        <v>0.82</v>
      </c>
      <c r="D84" s="1">
        <f>IFERROR(__xludf.DUMMYFUNCTION("""COMPUTED_VALUE"""),0.61)</f>
        <v>0.61</v>
      </c>
      <c r="E84" s="1">
        <f>IFERROR(__xludf.DUMMYFUNCTION("""COMPUTED_VALUE"""),0.61)</f>
        <v>0.61</v>
      </c>
      <c r="F84" s="1">
        <f>IFERROR(__xludf.DUMMYFUNCTION("""COMPUTED_VALUE"""),666884.0)</f>
        <v>666884</v>
      </c>
    </row>
    <row r="85">
      <c r="A85" s="2">
        <f>IFERROR(__xludf.DUMMYFUNCTION("""COMPUTED_VALUE"""),39752.666666666664)</f>
        <v>39752.66667</v>
      </c>
      <c r="B85" s="1">
        <f>IFERROR(__xludf.DUMMYFUNCTION("""COMPUTED_VALUE"""),0.62)</f>
        <v>0.62</v>
      </c>
      <c r="C85" s="1">
        <f>IFERROR(__xludf.DUMMYFUNCTION("""COMPUTED_VALUE"""),0.67)</f>
        <v>0.67</v>
      </c>
      <c r="D85" s="1">
        <f>IFERROR(__xludf.DUMMYFUNCTION("""COMPUTED_VALUE"""),0.49)</f>
        <v>0.49</v>
      </c>
      <c r="E85" s="1">
        <f>IFERROR(__xludf.DUMMYFUNCTION("""COMPUTED_VALUE"""),0.63)</f>
        <v>0.63</v>
      </c>
      <c r="F85" s="1">
        <f>IFERROR(__xludf.DUMMYFUNCTION("""COMPUTED_VALUE"""),1896554.0)</f>
        <v>1896554</v>
      </c>
    </row>
    <row r="86">
      <c r="A86" s="2">
        <f>IFERROR(__xludf.DUMMYFUNCTION("""COMPUTED_VALUE"""),39759.666666666664)</f>
        <v>39759.66667</v>
      </c>
      <c r="B86" s="1">
        <f>IFERROR(__xludf.DUMMYFUNCTION("""COMPUTED_VALUE"""),0.62)</f>
        <v>0.62</v>
      </c>
      <c r="C86" s="1">
        <f>IFERROR(__xludf.DUMMYFUNCTION("""COMPUTED_VALUE"""),0.63)</f>
        <v>0.63</v>
      </c>
      <c r="D86" s="1">
        <f>IFERROR(__xludf.DUMMYFUNCTION("""COMPUTED_VALUE"""),0.53)</f>
        <v>0.53</v>
      </c>
      <c r="E86" s="1">
        <f>IFERROR(__xludf.DUMMYFUNCTION("""COMPUTED_VALUE"""),0.54)</f>
        <v>0.54</v>
      </c>
      <c r="F86" s="1">
        <f>IFERROR(__xludf.DUMMYFUNCTION("""COMPUTED_VALUE"""),864070.0)</f>
        <v>864070</v>
      </c>
    </row>
    <row r="87">
      <c r="A87" s="2">
        <f>IFERROR(__xludf.DUMMYFUNCTION("""COMPUTED_VALUE"""),39766.666666666664)</f>
        <v>39766.66667</v>
      </c>
      <c r="B87" s="1">
        <f>IFERROR(__xludf.DUMMYFUNCTION("""COMPUTED_VALUE"""),0.55)</f>
        <v>0.55</v>
      </c>
      <c r="C87" s="1">
        <f>IFERROR(__xludf.DUMMYFUNCTION("""COMPUTED_VALUE"""),0.57)</f>
        <v>0.57</v>
      </c>
      <c r="D87" s="1">
        <f>IFERROR(__xludf.DUMMYFUNCTION("""COMPUTED_VALUE"""),0.36)</f>
        <v>0.36</v>
      </c>
      <c r="E87" s="1">
        <f>IFERROR(__xludf.DUMMYFUNCTION("""COMPUTED_VALUE"""),0.41)</f>
        <v>0.41</v>
      </c>
      <c r="F87" s="1">
        <f>IFERROR(__xludf.DUMMYFUNCTION("""COMPUTED_VALUE"""),1918832.0)</f>
        <v>1918832</v>
      </c>
    </row>
    <row r="88">
      <c r="A88" s="2">
        <f>IFERROR(__xludf.DUMMYFUNCTION("""COMPUTED_VALUE"""),39773.666666666664)</f>
        <v>39773.66667</v>
      </c>
      <c r="B88" s="1">
        <f>IFERROR(__xludf.DUMMYFUNCTION("""COMPUTED_VALUE"""),0.41)</f>
        <v>0.41</v>
      </c>
      <c r="C88" s="1">
        <f>IFERROR(__xludf.DUMMYFUNCTION("""COMPUTED_VALUE"""),0.49)</f>
        <v>0.49</v>
      </c>
      <c r="D88" s="1">
        <f>IFERROR(__xludf.DUMMYFUNCTION("""COMPUTED_VALUE"""),0.4)</f>
        <v>0.4</v>
      </c>
      <c r="E88" s="1">
        <f>IFERROR(__xludf.DUMMYFUNCTION("""COMPUTED_VALUE"""),0.44)</f>
        <v>0.44</v>
      </c>
      <c r="F88" s="1">
        <f>IFERROR(__xludf.DUMMYFUNCTION("""COMPUTED_VALUE"""),1078946.0)</f>
        <v>1078946</v>
      </c>
    </row>
    <row r="89">
      <c r="A89" s="2">
        <f>IFERROR(__xludf.DUMMYFUNCTION("""COMPUTED_VALUE"""),39780.666666666664)</f>
        <v>39780.66667</v>
      </c>
      <c r="B89" s="1">
        <f>IFERROR(__xludf.DUMMYFUNCTION("""COMPUTED_VALUE"""),0.45)</f>
        <v>0.45</v>
      </c>
      <c r="C89" s="1">
        <f>IFERROR(__xludf.DUMMYFUNCTION("""COMPUTED_VALUE"""),0.53)</f>
        <v>0.53</v>
      </c>
      <c r="D89" s="1">
        <f>IFERROR(__xludf.DUMMYFUNCTION("""COMPUTED_VALUE"""),0.42)</f>
        <v>0.42</v>
      </c>
      <c r="E89" s="1">
        <f>IFERROR(__xludf.DUMMYFUNCTION("""COMPUTED_VALUE"""),0.52)</f>
        <v>0.52</v>
      </c>
      <c r="F89" s="1">
        <f>IFERROR(__xludf.DUMMYFUNCTION("""COMPUTED_VALUE"""),723327.0)</f>
        <v>723327</v>
      </c>
    </row>
    <row r="90">
      <c r="A90" s="2">
        <f>IFERROR(__xludf.DUMMYFUNCTION("""COMPUTED_VALUE"""),39787.666666666664)</f>
        <v>39787.66667</v>
      </c>
      <c r="B90" s="1">
        <f>IFERROR(__xludf.DUMMYFUNCTION("""COMPUTED_VALUE"""),0.51)</f>
        <v>0.51</v>
      </c>
      <c r="C90" s="1">
        <f>IFERROR(__xludf.DUMMYFUNCTION("""COMPUTED_VALUE"""),0.57)</f>
        <v>0.57</v>
      </c>
      <c r="D90" s="1">
        <f>IFERROR(__xludf.DUMMYFUNCTION("""COMPUTED_VALUE"""),0.43)</f>
        <v>0.43</v>
      </c>
      <c r="E90" s="1">
        <f>IFERROR(__xludf.DUMMYFUNCTION("""COMPUTED_VALUE"""),0.57)</f>
        <v>0.57</v>
      </c>
      <c r="F90" s="1">
        <f>IFERROR(__xludf.DUMMYFUNCTION("""COMPUTED_VALUE"""),762809.0)</f>
        <v>762809</v>
      </c>
    </row>
    <row r="91">
      <c r="A91" s="2">
        <f>IFERROR(__xludf.DUMMYFUNCTION("""COMPUTED_VALUE"""),39794.666666666664)</f>
        <v>39794.66667</v>
      </c>
      <c r="B91" s="1">
        <f>IFERROR(__xludf.DUMMYFUNCTION("""COMPUTED_VALUE"""),0.58)</f>
        <v>0.58</v>
      </c>
      <c r="C91" s="1">
        <f>IFERROR(__xludf.DUMMYFUNCTION("""COMPUTED_VALUE"""),0.65)</f>
        <v>0.65</v>
      </c>
      <c r="D91" s="1">
        <f>IFERROR(__xludf.DUMMYFUNCTION("""COMPUTED_VALUE"""),0.56)</f>
        <v>0.56</v>
      </c>
      <c r="E91" s="1">
        <f>IFERROR(__xludf.DUMMYFUNCTION("""COMPUTED_VALUE"""),0.65)</f>
        <v>0.65</v>
      </c>
      <c r="F91" s="1">
        <f>IFERROR(__xludf.DUMMYFUNCTION("""COMPUTED_VALUE"""),686740.0)</f>
        <v>686740</v>
      </c>
    </row>
    <row r="92">
      <c r="A92" s="2">
        <f>IFERROR(__xludf.DUMMYFUNCTION("""COMPUTED_VALUE"""),39801.666666666664)</f>
        <v>39801.66667</v>
      </c>
      <c r="B92" s="1">
        <f>IFERROR(__xludf.DUMMYFUNCTION("""COMPUTED_VALUE"""),0.65)</f>
        <v>0.65</v>
      </c>
      <c r="C92" s="1">
        <f>IFERROR(__xludf.DUMMYFUNCTION("""COMPUTED_VALUE"""),0.73)</f>
        <v>0.73</v>
      </c>
      <c r="D92" s="1">
        <f>IFERROR(__xludf.DUMMYFUNCTION("""COMPUTED_VALUE"""),0.63)</f>
        <v>0.63</v>
      </c>
      <c r="E92" s="1">
        <f>IFERROR(__xludf.DUMMYFUNCTION("""COMPUTED_VALUE"""),0.66)</f>
        <v>0.66</v>
      </c>
      <c r="F92" s="1">
        <f>IFERROR(__xludf.DUMMYFUNCTION("""COMPUTED_VALUE"""),793507.0)</f>
        <v>793507</v>
      </c>
    </row>
    <row r="93">
      <c r="A93" s="2">
        <f>IFERROR(__xludf.DUMMYFUNCTION("""COMPUTED_VALUE"""),39808.666666666664)</f>
        <v>39808.66667</v>
      </c>
      <c r="B93" s="1">
        <f>IFERROR(__xludf.DUMMYFUNCTION("""COMPUTED_VALUE"""),0.66)</f>
        <v>0.66</v>
      </c>
      <c r="C93" s="1">
        <f>IFERROR(__xludf.DUMMYFUNCTION("""COMPUTED_VALUE"""),0.68)</f>
        <v>0.68</v>
      </c>
      <c r="D93" s="1">
        <f>IFERROR(__xludf.DUMMYFUNCTION("""COMPUTED_VALUE"""),0.6)</f>
        <v>0.6</v>
      </c>
      <c r="E93" s="1">
        <f>IFERROR(__xludf.DUMMYFUNCTION("""COMPUTED_VALUE"""),0.68)</f>
        <v>0.68</v>
      </c>
      <c r="F93" s="1">
        <f>IFERROR(__xludf.DUMMYFUNCTION("""COMPUTED_VALUE"""),197296.0)</f>
        <v>197296</v>
      </c>
    </row>
    <row r="94">
      <c r="A94" s="2">
        <f>IFERROR(__xludf.DUMMYFUNCTION("""COMPUTED_VALUE"""),39815.666666666664)</f>
        <v>39815.66667</v>
      </c>
      <c r="B94" s="1">
        <f>IFERROR(__xludf.DUMMYFUNCTION("""COMPUTED_VALUE"""),0.68)</f>
        <v>0.68</v>
      </c>
      <c r="C94" s="1">
        <f>IFERROR(__xludf.DUMMYFUNCTION("""COMPUTED_VALUE"""),0.68)</f>
        <v>0.68</v>
      </c>
      <c r="D94" s="1">
        <f>IFERROR(__xludf.DUMMYFUNCTION("""COMPUTED_VALUE"""),0.6)</f>
        <v>0.6</v>
      </c>
      <c r="E94" s="1">
        <f>IFERROR(__xludf.DUMMYFUNCTION("""COMPUTED_VALUE"""),0.64)</f>
        <v>0.64</v>
      </c>
      <c r="F94" s="1">
        <f>IFERROR(__xludf.DUMMYFUNCTION("""COMPUTED_VALUE"""),468677.0)</f>
        <v>468677</v>
      </c>
    </row>
    <row r="95">
      <c r="A95" s="2">
        <f>IFERROR(__xludf.DUMMYFUNCTION("""COMPUTED_VALUE"""),39822.666666666664)</f>
        <v>39822.66667</v>
      </c>
      <c r="B95" s="1">
        <f>IFERROR(__xludf.DUMMYFUNCTION("""COMPUTED_VALUE"""),0.65)</f>
        <v>0.65</v>
      </c>
      <c r="C95" s="1">
        <f>IFERROR(__xludf.DUMMYFUNCTION("""COMPUTED_VALUE"""),0.71)</f>
        <v>0.71</v>
      </c>
      <c r="D95" s="1">
        <f>IFERROR(__xludf.DUMMYFUNCTION("""COMPUTED_VALUE"""),0.54)</f>
        <v>0.54</v>
      </c>
      <c r="E95" s="1">
        <f>IFERROR(__xludf.DUMMYFUNCTION("""COMPUTED_VALUE"""),0.65)</f>
        <v>0.65</v>
      </c>
      <c r="F95" s="1">
        <f>IFERROR(__xludf.DUMMYFUNCTION("""COMPUTED_VALUE"""),1309468.0)</f>
        <v>1309468</v>
      </c>
    </row>
    <row r="96">
      <c r="A96" s="2">
        <f>IFERROR(__xludf.DUMMYFUNCTION("""COMPUTED_VALUE"""),39829.666666666664)</f>
        <v>39829.66667</v>
      </c>
      <c r="B96" s="1">
        <f>IFERROR(__xludf.DUMMYFUNCTION("""COMPUTED_VALUE"""),0.65)</f>
        <v>0.65</v>
      </c>
      <c r="C96" s="1">
        <f>IFERROR(__xludf.DUMMYFUNCTION("""COMPUTED_VALUE"""),0.66)</f>
        <v>0.66</v>
      </c>
      <c r="D96" s="1">
        <f>IFERROR(__xludf.DUMMYFUNCTION("""COMPUTED_VALUE"""),0.53)</f>
        <v>0.53</v>
      </c>
      <c r="E96" s="1">
        <f>IFERROR(__xludf.DUMMYFUNCTION("""COMPUTED_VALUE"""),0.57)</f>
        <v>0.57</v>
      </c>
      <c r="F96" s="1">
        <f>IFERROR(__xludf.DUMMYFUNCTION("""COMPUTED_VALUE"""),660500.0)</f>
        <v>660500</v>
      </c>
    </row>
    <row r="97">
      <c r="A97" s="2">
        <f>IFERROR(__xludf.DUMMYFUNCTION("""COMPUTED_VALUE"""),39836.666666666664)</f>
        <v>39836.66667</v>
      </c>
      <c r="B97" s="1">
        <f>IFERROR(__xludf.DUMMYFUNCTION("""COMPUTED_VALUE"""),0.56)</f>
        <v>0.56</v>
      </c>
      <c r="C97" s="1">
        <f>IFERROR(__xludf.DUMMYFUNCTION("""COMPUTED_VALUE"""),0.58)</f>
        <v>0.58</v>
      </c>
      <c r="D97" s="1">
        <f>IFERROR(__xludf.DUMMYFUNCTION("""COMPUTED_VALUE"""),0.49)</f>
        <v>0.49</v>
      </c>
      <c r="E97" s="1">
        <f>IFERROR(__xludf.DUMMYFUNCTION("""COMPUTED_VALUE"""),0.53)</f>
        <v>0.53</v>
      </c>
      <c r="F97" s="1">
        <f>IFERROR(__xludf.DUMMYFUNCTION("""COMPUTED_VALUE"""),307972.0)</f>
        <v>307972</v>
      </c>
    </row>
    <row r="98">
      <c r="A98" s="2">
        <f>IFERROR(__xludf.DUMMYFUNCTION("""COMPUTED_VALUE"""),39843.666666666664)</f>
        <v>39843.66667</v>
      </c>
      <c r="B98" s="1">
        <f>IFERROR(__xludf.DUMMYFUNCTION("""COMPUTED_VALUE"""),0.53)</f>
        <v>0.53</v>
      </c>
      <c r="C98" s="1">
        <f>IFERROR(__xludf.DUMMYFUNCTION("""COMPUTED_VALUE"""),0.63)</f>
        <v>0.63</v>
      </c>
      <c r="D98" s="1">
        <f>IFERROR(__xludf.DUMMYFUNCTION("""COMPUTED_VALUE"""),0.52)</f>
        <v>0.52</v>
      </c>
      <c r="E98" s="1">
        <f>IFERROR(__xludf.DUMMYFUNCTION("""COMPUTED_VALUE"""),0.53)</f>
        <v>0.53</v>
      </c>
      <c r="F98" s="1">
        <f>IFERROR(__xludf.DUMMYFUNCTION("""COMPUTED_VALUE"""),505740.0)</f>
        <v>505740</v>
      </c>
    </row>
    <row r="99">
      <c r="A99" s="2">
        <f>IFERROR(__xludf.DUMMYFUNCTION("""COMPUTED_VALUE"""),39850.666666666664)</f>
        <v>39850.66667</v>
      </c>
      <c r="B99" s="1">
        <f>IFERROR(__xludf.DUMMYFUNCTION("""COMPUTED_VALUE"""),0.51)</f>
        <v>0.51</v>
      </c>
      <c r="C99" s="1">
        <f>IFERROR(__xludf.DUMMYFUNCTION("""COMPUTED_VALUE"""),0.57)</f>
        <v>0.57</v>
      </c>
      <c r="D99" s="1">
        <f>IFERROR(__xludf.DUMMYFUNCTION("""COMPUTED_VALUE"""),0.5)</f>
        <v>0.5</v>
      </c>
      <c r="E99" s="1">
        <f>IFERROR(__xludf.DUMMYFUNCTION("""COMPUTED_VALUE"""),0.53)</f>
        <v>0.53</v>
      </c>
      <c r="F99" s="1">
        <f>IFERROR(__xludf.DUMMYFUNCTION("""COMPUTED_VALUE"""),804693.0)</f>
        <v>804693</v>
      </c>
    </row>
    <row r="100">
      <c r="A100" s="2">
        <f>IFERROR(__xludf.DUMMYFUNCTION("""COMPUTED_VALUE"""),39857.666666666664)</f>
        <v>39857.66667</v>
      </c>
      <c r="B100" s="1">
        <f>IFERROR(__xludf.DUMMYFUNCTION("""COMPUTED_VALUE"""),0.53)</f>
        <v>0.53</v>
      </c>
      <c r="C100" s="1">
        <f>IFERROR(__xludf.DUMMYFUNCTION("""COMPUTED_VALUE"""),0.55)</f>
        <v>0.55</v>
      </c>
      <c r="D100" s="1">
        <f>IFERROR(__xludf.DUMMYFUNCTION("""COMPUTED_VALUE"""),0.49)</f>
        <v>0.49</v>
      </c>
      <c r="E100" s="1">
        <f>IFERROR(__xludf.DUMMYFUNCTION("""COMPUTED_VALUE"""),0.51)</f>
        <v>0.51</v>
      </c>
      <c r="F100" s="1">
        <f>IFERROR(__xludf.DUMMYFUNCTION("""COMPUTED_VALUE"""),448567.0)</f>
        <v>448567</v>
      </c>
    </row>
    <row r="101">
      <c r="A101" s="2">
        <f>IFERROR(__xludf.DUMMYFUNCTION("""COMPUTED_VALUE"""),39864.666666666664)</f>
        <v>39864.66667</v>
      </c>
      <c r="B101" s="1">
        <f>IFERROR(__xludf.DUMMYFUNCTION("""COMPUTED_VALUE"""),0.49)</f>
        <v>0.49</v>
      </c>
      <c r="C101" s="1">
        <f>IFERROR(__xludf.DUMMYFUNCTION("""COMPUTED_VALUE"""),0.5)</f>
        <v>0.5</v>
      </c>
      <c r="D101" s="1">
        <f>IFERROR(__xludf.DUMMYFUNCTION("""COMPUTED_VALUE"""),0.43)</f>
        <v>0.43</v>
      </c>
      <c r="E101" s="1">
        <f>IFERROR(__xludf.DUMMYFUNCTION("""COMPUTED_VALUE"""),0.45)</f>
        <v>0.45</v>
      </c>
      <c r="F101" s="1">
        <f>IFERROR(__xludf.DUMMYFUNCTION("""COMPUTED_VALUE"""),350359.0)</f>
        <v>350359</v>
      </c>
    </row>
    <row r="102">
      <c r="A102" s="2">
        <f>IFERROR(__xludf.DUMMYFUNCTION("""COMPUTED_VALUE"""),39871.666666666664)</f>
        <v>39871.66667</v>
      </c>
      <c r="B102" s="1">
        <f>IFERROR(__xludf.DUMMYFUNCTION("""COMPUTED_VALUE"""),0.46)</f>
        <v>0.46</v>
      </c>
      <c r="C102" s="1">
        <f>IFERROR(__xludf.DUMMYFUNCTION("""COMPUTED_VALUE"""),0.49)</f>
        <v>0.49</v>
      </c>
      <c r="D102" s="1">
        <f>IFERROR(__xludf.DUMMYFUNCTION("""COMPUTED_VALUE"""),0.43)</f>
        <v>0.43</v>
      </c>
      <c r="E102" s="1">
        <f>IFERROR(__xludf.DUMMYFUNCTION("""COMPUTED_VALUE"""),0.45)</f>
        <v>0.45</v>
      </c>
      <c r="F102" s="1">
        <f>IFERROR(__xludf.DUMMYFUNCTION("""COMPUTED_VALUE"""),711983.0)</f>
        <v>711983</v>
      </c>
    </row>
    <row r="103">
      <c r="A103" s="2">
        <f>IFERROR(__xludf.DUMMYFUNCTION("""COMPUTED_VALUE"""),39878.666666666664)</f>
        <v>39878.66667</v>
      </c>
      <c r="B103" s="1">
        <f>IFERROR(__xludf.DUMMYFUNCTION("""COMPUTED_VALUE"""),0.45)</f>
        <v>0.45</v>
      </c>
      <c r="C103" s="1">
        <f>IFERROR(__xludf.DUMMYFUNCTION("""COMPUTED_VALUE"""),0.5)</f>
        <v>0.5</v>
      </c>
      <c r="D103" s="1">
        <f>IFERROR(__xludf.DUMMYFUNCTION("""COMPUTED_VALUE"""),0.44)</f>
        <v>0.44</v>
      </c>
      <c r="E103" s="1">
        <f>IFERROR(__xludf.DUMMYFUNCTION("""COMPUTED_VALUE"""),0.48)</f>
        <v>0.48</v>
      </c>
      <c r="F103" s="1">
        <f>IFERROR(__xludf.DUMMYFUNCTION("""COMPUTED_VALUE"""),336790.0)</f>
        <v>336790</v>
      </c>
    </row>
    <row r="104">
      <c r="A104" s="2">
        <f>IFERROR(__xludf.DUMMYFUNCTION("""COMPUTED_VALUE"""),39885.666666666664)</f>
        <v>39885.66667</v>
      </c>
      <c r="B104" s="1">
        <f>IFERROR(__xludf.DUMMYFUNCTION("""COMPUTED_VALUE"""),0.48)</f>
        <v>0.48</v>
      </c>
      <c r="C104" s="1">
        <f>IFERROR(__xludf.DUMMYFUNCTION("""COMPUTED_VALUE"""),0.55)</f>
        <v>0.55</v>
      </c>
      <c r="D104" s="1">
        <f>IFERROR(__xludf.DUMMYFUNCTION("""COMPUTED_VALUE"""),0.47)</f>
        <v>0.47</v>
      </c>
      <c r="E104" s="1">
        <f>IFERROR(__xludf.DUMMYFUNCTION("""COMPUTED_VALUE"""),0.52)</f>
        <v>0.52</v>
      </c>
      <c r="F104" s="1">
        <f>IFERROR(__xludf.DUMMYFUNCTION("""COMPUTED_VALUE"""),582933.0)</f>
        <v>582933</v>
      </c>
    </row>
    <row r="105">
      <c r="A105" s="2">
        <f>IFERROR(__xludf.DUMMYFUNCTION("""COMPUTED_VALUE"""),39892.666666666664)</f>
        <v>39892.66667</v>
      </c>
      <c r="B105" s="1">
        <f>IFERROR(__xludf.DUMMYFUNCTION("""COMPUTED_VALUE"""),0.52)</f>
        <v>0.52</v>
      </c>
      <c r="C105" s="1">
        <f>IFERROR(__xludf.DUMMYFUNCTION("""COMPUTED_VALUE"""),0.54)</f>
        <v>0.54</v>
      </c>
      <c r="D105" s="1">
        <f>IFERROR(__xludf.DUMMYFUNCTION("""COMPUTED_VALUE"""),0.45)</f>
        <v>0.45</v>
      </c>
      <c r="E105" s="1">
        <f>IFERROR(__xludf.DUMMYFUNCTION("""COMPUTED_VALUE"""),0.47)</f>
        <v>0.47</v>
      </c>
      <c r="F105" s="1">
        <f>IFERROR(__xludf.DUMMYFUNCTION("""COMPUTED_VALUE"""),341325.0)</f>
        <v>341325</v>
      </c>
    </row>
    <row r="106">
      <c r="A106" s="2">
        <f>IFERROR(__xludf.DUMMYFUNCTION("""COMPUTED_VALUE"""),39899.666666666664)</f>
        <v>39899.66667</v>
      </c>
      <c r="B106" s="1">
        <f>IFERROR(__xludf.DUMMYFUNCTION("""COMPUTED_VALUE"""),0.47)</f>
        <v>0.47</v>
      </c>
      <c r="C106" s="1">
        <f>IFERROR(__xludf.DUMMYFUNCTION("""COMPUTED_VALUE"""),0.51)</f>
        <v>0.51</v>
      </c>
      <c r="D106" s="1">
        <f>IFERROR(__xludf.DUMMYFUNCTION("""COMPUTED_VALUE"""),0.45)</f>
        <v>0.45</v>
      </c>
      <c r="E106" s="1">
        <f>IFERROR(__xludf.DUMMYFUNCTION("""COMPUTED_VALUE"""),0.46)</f>
        <v>0.46</v>
      </c>
      <c r="F106" s="1">
        <f>IFERROR(__xludf.DUMMYFUNCTION("""COMPUTED_VALUE"""),475418.0)</f>
        <v>475418</v>
      </c>
    </row>
    <row r="107">
      <c r="A107" s="2">
        <f>IFERROR(__xludf.DUMMYFUNCTION("""COMPUTED_VALUE"""),39906.666666666664)</f>
        <v>39906.66667</v>
      </c>
      <c r="B107" s="1">
        <f>IFERROR(__xludf.DUMMYFUNCTION("""COMPUTED_VALUE"""),0.45)</f>
        <v>0.45</v>
      </c>
      <c r="C107" s="1">
        <f>IFERROR(__xludf.DUMMYFUNCTION("""COMPUTED_VALUE"""),0.55)</f>
        <v>0.55</v>
      </c>
      <c r="D107" s="1">
        <f>IFERROR(__xludf.DUMMYFUNCTION("""COMPUTED_VALUE"""),0.44)</f>
        <v>0.44</v>
      </c>
      <c r="E107" s="1">
        <f>IFERROR(__xludf.DUMMYFUNCTION("""COMPUTED_VALUE"""),0.55)</f>
        <v>0.55</v>
      </c>
      <c r="F107" s="1">
        <f>IFERROR(__xludf.DUMMYFUNCTION("""COMPUTED_VALUE"""),330686.0)</f>
        <v>330686</v>
      </c>
    </row>
    <row r="108">
      <c r="A108" s="2">
        <f>IFERROR(__xludf.DUMMYFUNCTION("""COMPUTED_VALUE"""),39912.666666666664)</f>
        <v>39912.66667</v>
      </c>
      <c r="B108" s="1">
        <f>IFERROR(__xludf.DUMMYFUNCTION("""COMPUTED_VALUE"""),0.54)</f>
        <v>0.54</v>
      </c>
      <c r="C108" s="1">
        <f>IFERROR(__xludf.DUMMYFUNCTION("""COMPUTED_VALUE"""),0.62)</f>
        <v>0.62</v>
      </c>
      <c r="D108" s="1">
        <f>IFERROR(__xludf.DUMMYFUNCTION("""COMPUTED_VALUE"""),0.5)</f>
        <v>0.5</v>
      </c>
      <c r="E108" s="1">
        <f>IFERROR(__xludf.DUMMYFUNCTION("""COMPUTED_VALUE"""),0.59)</f>
        <v>0.59</v>
      </c>
      <c r="F108" s="1">
        <f>IFERROR(__xludf.DUMMYFUNCTION("""COMPUTED_VALUE"""),380758.0)</f>
        <v>380758</v>
      </c>
    </row>
    <row r="109">
      <c r="A109" s="2">
        <f>IFERROR(__xludf.DUMMYFUNCTION("""COMPUTED_VALUE"""),39920.666666666664)</f>
        <v>39920.66667</v>
      </c>
      <c r="B109" s="1">
        <f>IFERROR(__xludf.DUMMYFUNCTION("""COMPUTED_VALUE"""),0.59)</f>
        <v>0.59</v>
      </c>
      <c r="C109" s="1">
        <f>IFERROR(__xludf.DUMMYFUNCTION("""COMPUTED_VALUE"""),0.6)</f>
        <v>0.6</v>
      </c>
      <c r="D109" s="1">
        <f>IFERROR(__xludf.DUMMYFUNCTION("""COMPUTED_VALUE"""),0.5)</f>
        <v>0.5</v>
      </c>
      <c r="E109" s="1">
        <f>IFERROR(__xludf.DUMMYFUNCTION("""COMPUTED_VALUE"""),0.6)</f>
        <v>0.6</v>
      </c>
      <c r="F109" s="1">
        <f>IFERROR(__xludf.DUMMYFUNCTION("""COMPUTED_VALUE"""),567378.0)</f>
        <v>567378</v>
      </c>
    </row>
    <row r="110">
      <c r="A110" s="2">
        <f>IFERROR(__xludf.DUMMYFUNCTION("""COMPUTED_VALUE"""),39927.666666666664)</f>
        <v>39927.66667</v>
      </c>
      <c r="B110" s="1">
        <f>IFERROR(__xludf.DUMMYFUNCTION("""COMPUTED_VALUE"""),0.59)</f>
        <v>0.59</v>
      </c>
      <c r="C110" s="1">
        <f>IFERROR(__xludf.DUMMYFUNCTION("""COMPUTED_VALUE"""),0.65)</f>
        <v>0.65</v>
      </c>
      <c r="D110" s="1">
        <f>IFERROR(__xludf.DUMMYFUNCTION("""COMPUTED_VALUE"""),0.55)</f>
        <v>0.55</v>
      </c>
      <c r="E110" s="1">
        <f>IFERROR(__xludf.DUMMYFUNCTION("""COMPUTED_VALUE"""),0.55)</f>
        <v>0.55</v>
      </c>
      <c r="F110" s="1">
        <f>IFERROR(__xludf.DUMMYFUNCTION("""COMPUTED_VALUE"""),560096.0)</f>
        <v>560096</v>
      </c>
    </row>
    <row r="111">
      <c r="A111" s="2">
        <f>IFERROR(__xludf.DUMMYFUNCTION("""COMPUTED_VALUE"""),39934.666666666664)</f>
        <v>39934.66667</v>
      </c>
      <c r="B111" s="1">
        <f>IFERROR(__xludf.DUMMYFUNCTION("""COMPUTED_VALUE"""),0.54)</f>
        <v>0.54</v>
      </c>
      <c r="C111" s="1">
        <f>IFERROR(__xludf.DUMMYFUNCTION("""COMPUTED_VALUE"""),0.57)</f>
        <v>0.57</v>
      </c>
      <c r="D111" s="1">
        <f>IFERROR(__xludf.DUMMYFUNCTION("""COMPUTED_VALUE"""),0.49)</f>
        <v>0.49</v>
      </c>
      <c r="E111" s="1">
        <f>IFERROR(__xludf.DUMMYFUNCTION("""COMPUTED_VALUE"""),0.56)</f>
        <v>0.56</v>
      </c>
      <c r="F111" s="1">
        <f>IFERROR(__xludf.DUMMYFUNCTION("""COMPUTED_VALUE"""),468390.0)</f>
        <v>468390</v>
      </c>
    </row>
    <row r="112">
      <c r="A112" s="2">
        <f>IFERROR(__xludf.DUMMYFUNCTION("""COMPUTED_VALUE"""),39941.666666666664)</f>
        <v>39941.66667</v>
      </c>
      <c r="B112" s="1">
        <f>IFERROR(__xludf.DUMMYFUNCTION("""COMPUTED_VALUE"""),0.56)</f>
        <v>0.56</v>
      </c>
      <c r="C112" s="1">
        <f>IFERROR(__xludf.DUMMYFUNCTION("""COMPUTED_VALUE"""),0.6)</f>
        <v>0.6</v>
      </c>
      <c r="D112" s="1">
        <f>IFERROR(__xludf.DUMMYFUNCTION("""COMPUTED_VALUE"""),0.54)</f>
        <v>0.54</v>
      </c>
      <c r="E112" s="1">
        <f>IFERROR(__xludf.DUMMYFUNCTION("""COMPUTED_VALUE"""),0.6)</f>
        <v>0.6</v>
      </c>
      <c r="F112" s="1">
        <f>IFERROR(__xludf.DUMMYFUNCTION("""COMPUTED_VALUE"""),436562.0)</f>
        <v>436562</v>
      </c>
    </row>
    <row r="113">
      <c r="A113" s="2">
        <f>IFERROR(__xludf.DUMMYFUNCTION("""COMPUTED_VALUE"""),39948.666666666664)</f>
        <v>39948.66667</v>
      </c>
      <c r="B113" s="1">
        <f>IFERROR(__xludf.DUMMYFUNCTION("""COMPUTED_VALUE"""),0.59)</f>
        <v>0.59</v>
      </c>
      <c r="C113" s="1">
        <f>IFERROR(__xludf.DUMMYFUNCTION("""COMPUTED_VALUE"""),0.62)</f>
        <v>0.62</v>
      </c>
      <c r="D113" s="1">
        <f>IFERROR(__xludf.DUMMYFUNCTION("""COMPUTED_VALUE"""),0.56)</f>
        <v>0.56</v>
      </c>
      <c r="E113" s="1">
        <f>IFERROR(__xludf.DUMMYFUNCTION("""COMPUTED_VALUE"""),0.61)</f>
        <v>0.61</v>
      </c>
      <c r="F113" s="1">
        <f>IFERROR(__xludf.DUMMYFUNCTION("""COMPUTED_VALUE"""),349435.0)</f>
        <v>349435</v>
      </c>
    </row>
    <row r="114">
      <c r="A114" s="2">
        <f>IFERROR(__xludf.DUMMYFUNCTION("""COMPUTED_VALUE"""),39955.666666666664)</f>
        <v>39955.66667</v>
      </c>
      <c r="B114" s="1">
        <f>IFERROR(__xludf.DUMMYFUNCTION("""COMPUTED_VALUE"""),0.62)</f>
        <v>0.62</v>
      </c>
      <c r="C114" s="1">
        <f>IFERROR(__xludf.DUMMYFUNCTION("""COMPUTED_VALUE"""),0.65)</f>
        <v>0.65</v>
      </c>
      <c r="D114" s="1">
        <f>IFERROR(__xludf.DUMMYFUNCTION("""COMPUTED_VALUE"""),0.61)</f>
        <v>0.61</v>
      </c>
      <c r="E114" s="1">
        <f>IFERROR(__xludf.DUMMYFUNCTION("""COMPUTED_VALUE"""),0.64)</f>
        <v>0.64</v>
      </c>
      <c r="F114" s="1">
        <f>IFERROR(__xludf.DUMMYFUNCTION("""COMPUTED_VALUE"""),750177.0)</f>
        <v>750177</v>
      </c>
    </row>
    <row r="115">
      <c r="A115" s="2">
        <f>IFERROR(__xludf.DUMMYFUNCTION("""COMPUTED_VALUE"""),39962.666666666664)</f>
        <v>39962.66667</v>
      </c>
      <c r="B115" s="1">
        <f>IFERROR(__xludf.DUMMYFUNCTION("""COMPUTED_VALUE"""),0.63)</f>
        <v>0.63</v>
      </c>
      <c r="C115" s="1">
        <f>IFERROR(__xludf.DUMMYFUNCTION("""COMPUTED_VALUE"""),0.67)</f>
        <v>0.67</v>
      </c>
      <c r="D115" s="1">
        <f>IFERROR(__xludf.DUMMYFUNCTION("""COMPUTED_VALUE"""),0.61)</f>
        <v>0.61</v>
      </c>
      <c r="E115" s="1">
        <f>IFERROR(__xludf.DUMMYFUNCTION("""COMPUTED_VALUE"""),0.67)</f>
        <v>0.67</v>
      </c>
      <c r="F115" s="1">
        <f>IFERROR(__xludf.DUMMYFUNCTION("""COMPUTED_VALUE"""),986765.0)</f>
        <v>986765</v>
      </c>
    </row>
    <row r="116">
      <c r="A116" s="2">
        <f>IFERROR(__xludf.DUMMYFUNCTION("""COMPUTED_VALUE"""),39969.666666666664)</f>
        <v>39969.66667</v>
      </c>
      <c r="B116" s="1">
        <f>IFERROR(__xludf.DUMMYFUNCTION("""COMPUTED_VALUE"""),0.66)</f>
        <v>0.66</v>
      </c>
      <c r="C116" s="1">
        <f>IFERROR(__xludf.DUMMYFUNCTION("""COMPUTED_VALUE"""),0.74)</f>
        <v>0.74</v>
      </c>
      <c r="D116" s="1">
        <f>IFERROR(__xludf.DUMMYFUNCTION("""COMPUTED_VALUE"""),0.66)</f>
        <v>0.66</v>
      </c>
      <c r="E116" s="1">
        <f>IFERROR(__xludf.DUMMYFUNCTION("""COMPUTED_VALUE"""),0.74)</f>
        <v>0.74</v>
      </c>
      <c r="F116" s="1">
        <f>IFERROR(__xludf.DUMMYFUNCTION("""COMPUTED_VALUE"""),827388.0)</f>
        <v>827388</v>
      </c>
    </row>
    <row r="117">
      <c r="A117" s="2">
        <f>IFERROR(__xludf.DUMMYFUNCTION("""COMPUTED_VALUE"""),39976.666666666664)</f>
        <v>39976.66667</v>
      </c>
      <c r="B117" s="1">
        <f>IFERROR(__xludf.DUMMYFUNCTION("""COMPUTED_VALUE"""),0.72)</f>
        <v>0.72</v>
      </c>
      <c r="C117" s="1">
        <f>IFERROR(__xludf.DUMMYFUNCTION("""COMPUTED_VALUE"""),0.85)</f>
        <v>0.85</v>
      </c>
      <c r="D117" s="1">
        <f>IFERROR(__xludf.DUMMYFUNCTION("""COMPUTED_VALUE"""),0.71)</f>
        <v>0.71</v>
      </c>
      <c r="E117" s="1">
        <f>IFERROR(__xludf.DUMMYFUNCTION("""COMPUTED_VALUE"""),0.83)</f>
        <v>0.83</v>
      </c>
      <c r="F117" s="1">
        <f>IFERROR(__xludf.DUMMYFUNCTION("""COMPUTED_VALUE"""),1268074.0)</f>
        <v>1268074</v>
      </c>
    </row>
    <row r="118">
      <c r="A118" s="2">
        <f>IFERROR(__xludf.DUMMYFUNCTION("""COMPUTED_VALUE"""),39983.666666666664)</f>
        <v>39983.66667</v>
      </c>
      <c r="B118" s="1">
        <f>IFERROR(__xludf.DUMMYFUNCTION("""COMPUTED_VALUE"""),0.8)</f>
        <v>0.8</v>
      </c>
      <c r="C118" s="1">
        <f>IFERROR(__xludf.DUMMYFUNCTION("""COMPUTED_VALUE"""),0.83)</f>
        <v>0.83</v>
      </c>
      <c r="D118" s="1">
        <f>IFERROR(__xludf.DUMMYFUNCTION("""COMPUTED_VALUE"""),0.75)</f>
        <v>0.75</v>
      </c>
      <c r="E118" s="1">
        <f>IFERROR(__xludf.DUMMYFUNCTION("""COMPUTED_VALUE"""),0.76)</f>
        <v>0.76</v>
      </c>
      <c r="F118" s="1">
        <f>IFERROR(__xludf.DUMMYFUNCTION("""COMPUTED_VALUE"""),739347.0)</f>
        <v>739347</v>
      </c>
    </row>
    <row r="119">
      <c r="A119" s="2">
        <f>IFERROR(__xludf.DUMMYFUNCTION("""COMPUTED_VALUE"""),39990.666666666664)</f>
        <v>39990.66667</v>
      </c>
      <c r="B119" s="1">
        <f>IFERROR(__xludf.DUMMYFUNCTION("""COMPUTED_VALUE"""),0.76)</f>
        <v>0.76</v>
      </c>
      <c r="C119" s="1">
        <f>IFERROR(__xludf.DUMMYFUNCTION("""COMPUTED_VALUE"""),0.81)</f>
        <v>0.81</v>
      </c>
      <c r="D119" s="1">
        <f>IFERROR(__xludf.DUMMYFUNCTION("""COMPUTED_VALUE"""),0.68)</f>
        <v>0.68</v>
      </c>
      <c r="E119" s="1">
        <f>IFERROR(__xludf.DUMMYFUNCTION("""COMPUTED_VALUE"""),0.8)</f>
        <v>0.8</v>
      </c>
      <c r="F119" s="1">
        <f>IFERROR(__xludf.DUMMYFUNCTION("""COMPUTED_VALUE"""),711848.0)</f>
        <v>711848</v>
      </c>
    </row>
    <row r="120">
      <c r="A120" s="2">
        <f>IFERROR(__xludf.DUMMYFUNCTION("""COMPUTED_VALUE"""),39996.666666666664)</f>
        <v>39996.66667</v>
      </c>
      <c r="B120" s="1">
        <f>IFERROR(__xludf.DUMMYFUNCTION("""COMPUTED_VALUE"""),0.8)</f>
        <v>0.8</v>
      </c>
      <c r="C120" s="1">
        <f>IFERROR(__xludf.DUMMYFUNCTION("""COMPUTED_VALUE"""),0.82)</f>
        <v>0.82</v>
      </c>
      <c r="D120" s="1">
        <f>IFERROR(__xludf.DUMMYFUNCTION("""COMPUTED_VALUE"""),0.73)</f>
        <v>0.73</v>
      </c>
      <c r="E120" s="1">
        <f>IFERROR(__xludf.DUMMYFUNCTION("""COMPUTED_VALUE"""),0.76)</f>
        <v>0.76</v>
      </c>
      <c r="F120" s="1">
        <f>IFERROR(__xludf.DUMMYFUNCTION("""COMPUTED_VALUE"""),451764.0)</f>
        <v>451764</v>
      </c>
    </row>
    <row r="121">
      <c r="A121" s="2">
        <f>IFERROR(__xludf.DUMMYFUNCTION("""COMPUTED_VALUE"""),40004.666666666664)</f>
        <v>40004.66667</v>
      </c>
      <c r="B121" s="1">
        <f>IFERROR(__xludf.DUMMYFUNCTION("""COMPUTED_VALUE"""),0.76)</f>
        <v>0.76</v>
      </c>
      <c r="C121" s="1">
        <f>IFERROR(__xludf.DUMMYFUNCTION("""COMPUTED_VALUE"""),0.78)</f>
        <v>0.78</v>
      </c>
      <c r="D121" s="1">
        <f>IFERROR(__xludf.DUMMYFUNCTION("""COMPUTED_VALUE"""),0.69)</f>
        <v>0.69</v>
      </c>
      <c r="E121" s="1">
        <f>IFERROR(__xludf.DUMMYFUNCTION("""COMPUTED_VALUE"""),0.72)</f>
        <v>0.72</v>
      </c>
      <c r="F121" s="1">
        <f>IFERROR(__xludf.DUMMYFUNCTION("""COMPUTED_VALUE"""),218332.0)</f>
        <v>218332</v>
      </c>
    </row>
    <row r="122">
      <c r="A122" s="2">
        <f>IFERROR(__xludf.DUMMYFUNCTION("""COMPUTED_VALUE"""),40011.666666666664)</f>
        <v>40011.66667</v>
      </c>
      <c r="B122" s="1">
        <f>IFERROR(__xludf.DUMMYFUNCTION("""COMPUTED_VALUE"""),0.72)</f>
        <v>0.72</v>
      </c>
      <c r="C122" s="1">
        <f>IFERROR(__xludf.DUMMYFUNCTION("""COMPUTED_VALUE"""),0.83)</f>
        <v>0.83</v>
      </c>
      <c r="D122" s="1">
        <f>IFERROR(__xludf.DUMMYFUNCTION("""COMPUTED_VALUE"""),0.71)</f>
        <v>0.71</v>
      </c>
      <c r="E122" s="1">
        <f>IFERROR(__xludf.DUMMYFUNCTION("""COMPUTED_VALUE"""),0.78)</f>
        <v>0.78</v>
      </c>
      <c r="F122" s="1">
        <f>IFERROR(__xludf.DUMMYFUNCTION("""COMPUTED_VALUE"""),296107.0)</f>
        <v>296107</v>
      </c>
    </row>
    <row r="123">
      <c r="A123" s="2">
        <f>IFERROR(__xludf.DUMMYFUNCTION("""COMPUTED_VALUE"""),40018.666666666664)</f>
        <v>40018.66667</v>
      </c>
      <c r="B123" s="1">
        <f>IFERROR(__xludf.DUMMYFUNCTION("""COMPUTED_VALUE"""),0.79)</f>
        <v>0.79</v>
      </c>
      <c r="C123" s="1">
        <f>IFERROR(__xludf.DUMMYFUNCTION("""COMPUTED_VALUE"""),0.8)</f>
        <v>0.8</v>
      </c>
      <c r="D123" s="1">
        <f>IFERROR(__xludf.DUMMYFUNCTION("""COMPUTED_VALUE"""),0.76)</f>
        <v>0.76</v>
      </c>
      <c r="E123" s="1">
        <f>IFERROR(__xludf.DUMMYFUNCTION("""COMPUTED_VALUE"""),0.77)</f>
        <v>0.77</v>
      </c>
      <c r="F123" s="1">
        <f>IFERROR(__xludf.DUMMYFUNCTION("""COMPUTED_VALUE"""),257663.0)</f>
        <v>257663</v>
      </c>
    </row>
    <row r="124">
      <c r="A124" s="2">
        <f>IFERROR(__xludf.DUMMYFUNCTION("""COMPUTED_VALUE"""),40025.666666666664)</f>
        <v>40025.66667</v>
      </c>
      <c r="B124" s="1">
        <f>IFERROR(__xludf.DUMMYFUNCTION("""COMPUTED_VALUE"""),0.78)</f>
        <v>0.78</v>
      </c>
      <c r="C124" s="1">
        <f>IFERROR(__xludf.DUMMYFUNCTION("""COMPUTED_VALUE"""),0.82)</f>
        <v>0.82</v>
      </c>
      <c r="D124" s="1">
        <f>IFERROR(__xludf.DUMMYFUNCTION("""COMPUTED_VALUE"""),0.77)</f>
        <v>0.77</v>
      </c>
      <c r="E124" s="1">
        <f>IFERROR(__xludf.DUMMYFUNCTION("""COMPUTED_VALUE"""),0.79)</f>
        <v>0.79</v>
      </c>
      <c r="F124" s="1">
        <f>IFERROR(__xludf.DUMMYFUNCTION("""COMPUTED_VALUE"""),205657.0)</f>
        <v>205657</v>
      </c>
    </row>
    <row r="125">
      <c r="A125" s="2">
        <f>IFERROR(__xludf.DUMMYFUNCTION("""COMPUTED_VALUE"""),40032.666666666664)</f>
        <v>40032.66667</v>
      </c>
      <c r="B125" s="1">
        <f>IFERROR(__xludf.DUMMYFUNCTION("""COMPUTED_VALUE"""),0.78)</f>
        <v>0.78</v>
      </c>
      <c r="C125" s="1">
        <f>IFERROR(__xludf.DUMMYFUNCTION("""COMPUTED_VALUE"""),0.81)</f>
        <v>0.81</v>
      </c>
      <c r="D125" s="1">
        <f>IFERROR(__xludf.DUMMYFUNCTION("""COMPUTED_VALUE"""),0.73)</f>
        <v>0.73</v>
      </c>
      <c r="E125" s="1">
        <f>IFERROR(__xludf.DUMMYFUNCTION("""COMPUTED_VALUE"""),0.77)</f>
        <v>0.77</v>
      </c>
      <c r="F125" s="1">
        <f>IFERROR(__xludf.DUMMYFUNCTION("""COMPUTED_VALUE"""),279784.0)</f>
        <v>279784</v>
      </c>
    </row>
    <row r="126">
      <c r="A126" s="2">
        <f>IFERROR(__xludf.DUMMYFUNCTION("""COMPUTED_VALUE"""),40039.666666666664)</f>
        <v>40039.66667</v>
      </c>
      <c r="B126" s="1">
        <f>IFERROR(__xludf.DUMMYFUNCTION("""COMPUTED_VALUE"""),0.76)</f>
        <v>0.76</v>
      </c>
      <c r="C126" s="1">
        <f>IFERROR(__xludf.DUMMYFUNCTION("""COMPUTED_VALUE"""),0.79)</f>
        <v>0.79</v>
      </c>
      <c r="D126" s="1">
        <f>IFERROR(__xludf.DUMMYFUNCTION("""COMPUTED_VALUE"""),0.71)</f>
        <v>0.71</v>
      </c>
      <c r="E126" s="1">
        <f>IFERROR(__xludf.DUMMYFUNCTION("""COMPUTED_VALUE"""),0.76)</f>
        <v>0.76</v>
      </c>
      <c r="F126" s="1">
        <f>IFERROR(__xludf.DUMMYFUNCTION("""COMPUTED_VALUE"""),255675.0)</f>
        <v>255675</v>
      </c>
    </row>
    <row r="127">
      <c r="A127" s="2">
        <f>IFERROR(__xludf.DUMMYFUNCTION("""COMPUTED_VALUE"""),40046.666666666664)</f>
        <v>40046.66667</v>
      </c>
      <c r="B127" s="1">
        <f>IFERROR(__xludf.DUMMYFUNCTION("""COMPUTED_VALUE"""),0.74)</f>
        <v>0.74</v>
      </c>
      <c r="C127" s="1">
        <f>IFERROR(__xludf.DUMMYFUNCTION("""COMPUTED_VALUE"""),0.78)</f>
        <v>0.78</v>
      </c>
      <c r="D127" s="1">
        <f>IFERROR(__xludf.DUMMYFUNCTION("""COMPUTED_VALUE"""),0.73)</f>
        <v>0.73</v>
      </c>
      <c r="E127" s="1">
        <f>IFERROR(__xludf.DUMMYFUNCTION("""COMPUTED_VALUE"""),0.78)</f>
        <v>0.78</v>
      </c>
      <c r="F127" s="1">
        <f>IFERROR(__xludf.DUMMYFUNCTION("""COMPUTED_VALUE"""),443728.0)</f>
        <v>443728</v>
      </c>
    </row>
    <row r="128">
      <c r="A128" s="2">
        <f>IFERROR(__xludf.DUMMYFUNCTION("""COMPUTED_VALUE"""),40053.666666666664)</f>
        <v>40053.66667</v>
      </c>
      <c r="B128" s="1">
        <f>IFERROR(__xludf.DUMMYFUNCTION("""COMPUTED_VALUE"""),0.78)</f>
        <v>0.78</v>
      </c>
      <c r="C128" s="1">
        <f>IFERROR(__xludf.DUMMYFUNCTION("""COMPUTED_VALUE"""),0.81)</f>
        <v>0.81</v>
      </c>
      <c r="D128" s="1">
        <f>IFERROR(__xludf.DUMMYFUNCTION("""COMPUTED_VALUE"""),0.77)</f>
        <v>0.77</v>
      </c>
      <c r="E128" s="1">
        <f>IFERROR(__xludf.DUMMYFUNCTION("""COMPUTED_VALUE"""),0.81)</f>
        <v>0.81</v>
      </c>
      <c r="F128" s="1">
        <f>IFERROR(__xludf.DUMMYFUNCTION("""COMPUTED_VALUE"""),465635.0)</f>
        <v>465635</v>
      </c>
    </row>
    <row r="129">
      <c r="A129" s="2">
        <f>IFERROR(__xludf.DUMMYFUNCTION("""COMPUTED_VALUE"""),40060.666666666664)</f>
        <v>40060.66667</v>
      </c>
      <c r="B129" s="1">
        <f>IFERROR(__xludf.DUMMYFUNCTION("""COMPUTED_VALUE"""),0.8)</f>
        <v>0.8</v>
      </c>
      <c r="C129" s="1">
        <f>IFERROR(__xludf.DUMMYFUNCTION("""COMPUTED_VALUE"""),0.81)</f>
        <v>0.81</v>
      </c>
      <c r="D129" s="1">
        <f>IFERROR(__xludf.DUMMYFUNCTION("""COMPUTED_VALUE"""),0.78)</f>
        <v>0.78</v>
      </c>
      <c r="E129" s="1">
        <f>IFERROR(__xludf.DUMMYFUNCTION("""COMPUTED_VALUE"""),0.8)</f>
        <v>0.8</v>
      </c>
      <c r="F129" s="1">
        <f>IFERROR(__xludf.DUMMYFUNCTION("""COMPUTED_VALUE"""),529421.0)</f>
        <v>529421</v>
      </c>
    </row>
    <row r="130">
      <c r="A130" s="2">
        <f>IFERROR(__xludf.DUMMYFUNCTION("""COMPUTED_VALUE"""),40067.666666666664)</f>
        <v>40067.66667</v>
      </c>
      <c r="B130" s="1">
        <f>IFERROR(__xludf.DUMMYFUNCTION("""COMPUTED_VALUE"""),0.8)</f>
        <v>0.8</v>
      </c>
      <c r="C130" s="1">
        <f>IFERROR(__xludf.DUMMYFUNCTION("""COMPUTED_VALUE"""),0.85)</f>
        <v>0.85</v>
      </c>
      <c r="D130" s="1">
        <f>IFERROR(__xludf.DUMMYFUNCTION("""COMPUTED_VALUE"""),0.79)</f>
        <v>0.79</v>
      </c>
      <c r="E130" s="1">
        <f>IFERROR(__xludf.DUMMYFUNCTION("""COMPUTED_VALUE"""),0.85)</f>
        <v>0.85</v>
      </c>
      <c r="F130" s="1">
        <f>IFERROR(__xludf.DUMMYFUNCTION("""COMPUTED_VALUE"""),424169.0)</f>
        <v>424169</v>
      </c>
    </row>
    <row r="131">
      <c r="A131" s="2">
        <f>IFERROR(__xludf.DUMMYFUNCTION("""COMPUTED_VALUE"""),40074.666666666664)</f>
        <v>40074.66667</v>
      </c>
      <c r="B131" s="1">
        <f>IFERROR(__xludf.DUMMYFUNCTION("""COMPUTED_VALUE"""),0.84)</f>
        <v>0.84</v>
      </c>
      <c r="C131" s="1">
        <f>IFERROR(__xludf.DUMMYFUNCTION("""COMPUTED_VALUE"""),0.89)</f>
        <v>0.89</v>
      </c>
      <c r="D131" s="1">
        <f>IFERROR(__xludf.DUMMYFUNCTION("""COMPUTED_VALUE"""),0.81)</f>
        <v>0.81</v>
      </c>
      <c r="E131" s="1">
        <f>IFERROR(__xludf.DUMMYFUNCTION("""COMPUTED_VALUE"""),0.87)</f>
        <v>0.87</v>
      </c>
      <c r="F131" s="1">
        <f>IFERROR(__xludf.DUMMYFUNCTION("""COMPUTED_VALUE"""),444199.0)</f>
        <v>444199</v>
      </c>
    </row>
    <row r="132">
      <c r="A132" s="2">
        <f>IFERROR(__xludf.DUMMYFUNCTION("""COMPUTED_VALUE"""),40081.666666666664)</f>
        <v>40081.66667</v>
      </c>
      <c r="B132" s="1">
        <f>IFERROR(__xludf.DUMMYFUNCTION("""COMPUTED_VALUE"""),0.86)</f>
        <v>0.86</v>
      </c>
      <c r="C132" s="1">
        <f>IFERROR(__xludf.DUMMYFUNCTION("""COMPUTED_VALUE"""),0.88)</f>
        <v>0.88</v>
      </c>
      <c r="D132" s="1">
        <f>IFERROR(__xludf.DUMMYFUNCTION("""COMPUTED_VALUE"""),0.83)</f>
        <v>0.83</v>
      </c>
      <c r="E132" s="1">
        <f>IFERROR(__xludf.DUMMYFUNCTION("""COMPUTED_VALUE"""),0.85)</f>
        <v>0.85</v>
      </c>
      <c r="F132" s="1">
        <f>IFERROR(__xludf.DUMMYFUNCTION("""COMPUTED_VALUE"""),374732.0)</f>
        <v>374732</v>
      </c>
    </row>
    <row r="133">
      <c r="A133" s="2">
        <f>IFERROR(__xludf.DUMMYFUNCTION("""COMPUTED_VALUE"""),40088.666666666664)</f>
        <v>40088.66667</v>
      </c>
      <c r="B133" s="1">
        <f>IFERROR(__xludf.DUMMYFUNCTION("""COMPUTED_VALUE"""),0.85)</f>
        <v>0.85</v>
      </c>
      <c r="C133" s="1">
        <f>IFERROR(__xludf.DUMMYFUNCTION("""COMPUTED_VALUE"""),0.89)</f>
        <v>0.89</v>
      </c>
      <c r="D133" s="1">
        <f>IFERROR(__xludf.DUMMYFUNCTION("""COMPUTED_VALUE"""),0.78)</f>
        <v>0.78</v>
      </c>
      <c r="E133" s="1">
        <f>IFERROR(__xludf.DUMMYFUNCTION("""COMPUTED_VALUE"""),0.78)</f>
        <v>0.78</v>
      </c>
      <c r="F133" s="1">
        <f>IFERROR(__xludf.DUMMYFUNCTION("""COMPUTED_VALUE"""),392735.0)</f>
        <v>392735</v>
      </c>
    </row>
    <row r="134">
      <c r="A134" s="2">
        <f>IFERROR(__xludf.DUMMYFUNCTION("""COMPUTED_VALUE"""),40095.666666666664)</f>
        <v>40095.66667</v>
      </c>
      <c r="B134" s="1">
        <f>IFERROR(__xludf.DUMMYFUNCTION("""COMPUTED_VALUE"""),0.78)</f>
        <v>0.78</v>
      </c>
      <c r="C134" s="1">
        <f>IFERROR(__xludf.DUMMYFUNCTION("""COMPUTED_VALUE"""),0.85)</f>
        <v>0.85</v>
      </c>
      <c r="D134" s="1">
        <f>IFERROR(__xludf.DUMMYFUNCTION("""COMPUTED_VALUE"""),0.74)</f>
        <v>0.74</v>
      </c>
      <c r="E134" s="1">
        <f>IFERROR(__xludf.DUMMYFUNCTION("""COMPUTED_VALUE"""),0.85)</f>
        <v>0.85</v>
      </c>
      <c r="F134" s="1">
        <f>IFERROR(__xludf.DUMMYFUNCTION("""COMPUTED_VALUE"""),377894.0)</f>
        <v>377894</v>
      </c>
    </row>
    <row r="135">
      <c r="A135" s="2">
        <f>IFERROR(__xludf.DUMMYFUNCTION("""COMPUTED_VALUE"""),40102.666666666664)</f>
        <v>40102.66667</v>
      </c>
      <c r="B135" s="1">
        <f>IFERROR(__xludf.DUMMYFUNCTION("""COMPUTED_VALUE"""),0.85)</f>
        <v>0.85</v>
      </c>
      <c r="C135" s="1">
        <f>IFERROR(__xludf.DUMMYFUNCTION("""COMPUTED_VALUE"""),0.89)</f>
        <v>0.89</v>
      </c>
      <c r="D135" s="1">
        <f>IFERROR(__xludf.DUMMYFUNCTION("""COMPUTED_VALUE"""),0.81)</f>
        <v>0.81</v>
      </c>
      <c r="E135" s="1">
        <f>IFERROR(__xludf.DUMMYFUNCTION("""COMPUTED_VALUE"""),0.88)</f>
        <v>0.88</v>
      </c>
      <c r="F135" s="1">
        <f>IFERROR(__xludf.DUMMYFUNCTION("""COMPUTED_VALUE"""),452576.0)</f>
        <v>452576</v>
      </c>
    </row>
    <row r="136">
      <c r="A136" s="2">
        <f>IFERROR(__xludf.DUMMYFUNCTION("""COMPUTED_VALUE"""),40109.666666666664)</f>
        <v>40109.66667</v>
      </c>
      <c r="B136" s="1">
        <f>IFERROR(__xludf.DUMMYFUNCTION("""COMPUTED_VALUE"""),0.88)</f>
        <v>0.88</v>
      </c>
      <c r="C136" s="1">
        <f>IFERROR(__xludf.DUMMYFUNCTION("""COMPUTED_VALUE"""),0.89)</f>
        <v>0.89</v>
      </c>
      <c r="D136" s="1">
        <f>IFERROR(__xludf.DUMMYFUNCTION("""COMPUTED_VALUE"""),0.87)</f>
        <v>0.87</v>
      </c>
      <c r="E136" s="1">
        <f>IFERROR(__xludf.DUMMYFUNCTION("""COMPUTED_VALUE"""),0.88)</f>
        <v>0.88</v>
      </c>
      <c r="F136" s="1">
        <f>IFERROR(__xludf.DUMMYFUNCTION("""COMPUTED_VALUE"""),288850.0)</f>
        <v>288850</v>
      </c>
    </row>
    <row r="137">
      <c r="A137" s="2">
        <f>IFERROR(__xludf.DUMMYFUNCTION("""COMPUTED_VALUE"""),40116.666666666664)</f>
        <v>40116.66667</v>
      </c>
      <c r="B137" s="1">
        <f>IFERROR(__xludf.DUMMYFUNCTION("""COMPUTED_VALUE"""),0.88)</f>
        <v>0.88</v>
      </c>
      <c r="C137" s="1">
        <f>IFERROR(__xludf.DUMMYFUNCTION("""COMPUTED_VALUE"""),0.9)</f>
        <v>0.9</v>
      </c>
      <c r="D137" s="1">
        <f>IFERROR(__xludf.DUMMYFUNCTION("""COMPUTED_VALUE"""),0.8)</f>
        <v>0.8</v>
      </c>
      <c r="E137" s="1">
        <f>IFERROR(__xludf.DUMMYFUNCTION("""COMPUTED_VALUE"""),0.81)</f>
        <v>0.81</v>
      </c>
      <c r="F137" s="1">
        <f>IFERROR(__xludf.DUMMYFUNCTION("""COMPUTED_VALUE"""),503622.0)</f>
        <v>503622</v>
      </c>
    </row>
    <row r="138">
      <c r="A138" s="2">
        <f>IFERROR(__xludf.DUMMYFUNCTION("""COMPUTED_VALUE"""),40123.666666666664)</f>
        <v>40123.66667</v>
      </c>
      <c r="B138" s="1">
        <f>IFERROR(__xludf.DUMMYFUNCTION("""COMPUTED_VALUE"""),0.8)</f>
        <v>0.8</v>
      </c>
      <c r="C138" s="1">
        <f>IFERROR(__xludf.DUMMYFUNCTION("""COMPUTED_VALUE"""),0.89)</f>
        <v>0.89</v>
      </c>
      <c r="D138" s="1">
        <f>IFERROR(__xludf.DUMMYFUNCTION("""COMPUTED_VALUE"""),0.76)</f>
        <v>0.76</v>
      </c>
      <c r="E138" s="1">
        <f>IFERROR(__xludf.DUMMYFUNCTION("""COMPUTED_VALUE"""),0.89)</f>
        <v>0.89</v>
      </c>
      <c r="F138" s="1">
        <f>IFERROR(__xludf.DUMMYFUNCTION("""COMPUTED_VALUE"""),434217.0)</f>
        <v>434217</v>
      </c>
    </row>
    <row r="139">
      <c r="A139" s="2">
        <f>IFERROR(__xludf.DUMMYFUNCTION("""COMPUTED_VALUE"""),40130.666666666664)</f>
        <v>40130.66667</v>
      </c>
      <c r="B139" s="1">
        <f>IFERROR(__xludf.DUMMYFUNCTION("""COMPUTED_VALUE"""),0.89)</f>
        <v>0.89</v>
      </c>
      <c r="C139" s="1">
        <f>IFERROR(__xludf.DUMMYFUNCTION("""COMPUTED_VALUE"""),0.99)</f>
        <v>0.99</v>
      </c>
      <c r="D139" s="1">
        <f>IFERROR(__xludf.DUMMYFUNCTION("""COMPUTED_VALUE"""),0.89)</f>
        <v>0.89</v>
      </c>
      <c r="E139" s="1">
        <f>IFERROR(__xludf.DUMMYFUNCTION("""COMPUTED_VALUE"""),0.94)</f>
        <v>0.94</v>
      </c>
      <c r="F139" s="1">
        <f>IFERROR(__xludf.DUMMYFUNCTION("""COMPUTED_VALUE"""),856093.0)</f>
        <v>856093</v>
      </c>
    </row>
    <row r="140">
      <c r="A140" s="2">
        <f>IFERROR(__xludf.DUMMYFUNCTION("""COMPUTED_VALUE"""),40137.666666666664)</f>
        <v>40137.66667</v>
      </c>
      <c r="B140" s="1">
        <f>IFERROR(__xludf.DUMMYFUNCTION("""COMPUTED_VALUE"""),0.94)</f>
        <v>0.94</v>
      </c>
      <c r="C140" s="1">
        <f>IFERROR(__xludf.DUMMYFUNCTION("""COMPUTED_VALUE"""),1.01)</f>
        <v>1.01</v>
      </c>
      <c r="D140" s="1">
        <f>IFERROR(__xludf.DUMMYFUNCTION("""COMPUTED_VALUE"""),0.94)</f>
        <v>0.94</v>
      </c>
      <c r="E140" s="1">
        <f>IFERROR(__xludf.DUMMYFUNCTION("""COMPUTED_VALUE"""),0.99)</f>
        <v>0.99</v>
      </c>
      <c r="F140" s="1">
        <f>IFERROR(__xludf.DUMMYFUNCTION("""COMPUTED_VALUE"""),844787.0)</f>
        <v>844787</v>
      </c>
    </row>
    <row r="141">
      <c r="A141" s="2">
        <f>IFERROR(__xludf.DUMMYFUNCTION("""COMPUTED_VALUE"""),40144.666666666664)</f>
        <v>40144.66667</v>
      </c>
      <c r="B141" s="1">
        <f>IFERROR(__xludf.DUMMYFUNCTION("""COMPUTED_VALUE"""),1.0)</f>
        <v>1</v>
      </c>
      <c r="C141" s="1">
        <f>IFERROR(__xludf.DUMMYFUNCTION("""COMPUTED_VALUE"""),1.01)</f>
        <v>1.01</v>
      </c>
      <c r="D141" s="1">
        <f>IFERROR(__xludf.DUMMYFUNCTION("""COMPUTED_VALUE"""),0.96)</f>
        <v>0.96</v>
      </c>
      <c r="E141" s="1">
        <f>IFERROR(__xludf.DUMMYFUNCTION("""COMPUTED_VALUE"""),0.97)</f>
        <v>0.97</v>
      </c>
      <c r="F141" s="1">
        <f>IFERROR(__xludf.DUMMYFUNCTION("""COMPUTED_VALUE"""),684709.0)</f>
        <v>684709</v>
      </c>
    </row>
    <row r="142">
      <c r="A142" s="2">
        <f>IFERROR(__xludf.DUMMYFUNCTION("""COMPUTED_VALUE"""),40151.666666666664)</f>
        <v>40151.66667</v>
      </c>
      <c r="B142" s="1">
        <f>IFERROR(__xludf.DUMMYFUNCTION("""COMPUTED_VALUE"""),0.97)</f>
        <v>0.97</v>
      </c>
      <c r="C142" s="1">
        <f>IFERROR(__xludf.DUMMYFUNCTION("""COMPUTED_VALUE"""),1.03)</f>
        <v>1.03</v>
      </c>
      <c r="D142" s="1">
        <f>IFERROR(__xludf.DUMMYFUNCTION("""COMPUTED_VALUE"""),0.94)</f>
        <v>0.94</v>
      </c>
      <c r="E142" s="1">
        <f>IFERROR(__xludf.DUMMYFUNCTION("""COMPUTED_VALUE"""),1.03)</f>
        <v>1.03</v>
      </c>
      <c r="F142" s="1">
        <f>IFERROR(__xludf.DUMMYFUNCTION("""COMPUTED_VALUE"""),752638.0)</f>
        <v>752638</v>
      </c>
    </row>
    <row r="143">
      <c r="A143" s="2">
        <f>IFERROR(__xludf.DUMMYFUNCTION("""COMPUTED_VALUE"""),40158.666666666664)</f>
        <v>40158.66667</v>
      </c>
      <c r="B143" s="1">
        <f>IFERROR(__xludf.DUMMYFUNCTION("""COMPUTED_VALUE"""),1.03)</f>
        <v>1.03</v>
      </c>
      <c r="C143" s="1">
        <f>IFERROR(__xludf.DUMMYFUNCTION("""COMPUTED_VALUE"""),1.14)</f>
        <v>1.14</v>
      </c>
      <c r="D143" s="1">
        <f>IFERROR(__xludf.DUMMYFUNCTION("""COMPUTED_VALUE"""),1.03)</f>
        <v>1.03</v>
      </c>
      <c r="E143" s="1">
        <f>IFERROR(__xludf.DUMMYFUNCTION("""COMPUTED_VALUE"""),1.13)</f>
        <v>1.13</v>
      </c>
      <c r="F143" s="1">
        <f>IFERROR(__xludf.DUMMYFUNCTION("""COMPUTED_VALUE"""),1161099.0)</f>
        <v>1161099</v>
      </c>
    </row>
    <row r="144">
      <c r="A144" s="2">
        <f>IFERROR(__xludf.DUMMYFUNCTION("""COMPUTED_VALUE"""),40165.666666666664)</f>
        <v>40165.66667</v>
      </c>
      <c r="B144" s="1">
        <f>IFERROR(__xludf.DUMMYFUNCTION("""COMPUTED_VALUE"""),1.13)</f>
        <v>1.13</v>
      </c>
      <c r="C144" s="1">
        <f>IFERROR(__xludf.DUMMYFUNCTION("""COMPUTED_VALUE"""),1.15)</f>
        <v>1.15</v>
      </c>
      <c r="D144" s="1">
        <f>IFERROR(__xludf.DUMMYFUNCTION("""COMPUTED_VALUE"""),1.03)</f>
        <v>1.03</v>
      </c>
      <c r="E144" s="1">
        <f>IFERROR(__xludf.DUMMYFUNCTION("""COMPUTED_VALUE"""),1.09)</f>
        <v>1.09</v>
      </c>
      <c r="F144" s="1">
        <f>IFERROR(__xludf.DUMMYFUNCTION("""COMPUTED_VALUE"""),836118.0)</f>
        <v>836118</v>
      </c>
    </row>
    <row r="145">
      <c r="A145" s="2">
        <f>IFERROR(__xludf.DUMMYFUNCTION("""COMPUTED_VALUE"""),40171.666666666664)</f>
        <v>40171.66667</v>
      </c>
      <c r="B145" s="1">
        <f>IFERROR(__xludf.DUMMYFUNCTION("""COMPUTED_VALUE"""),1.09)</f>
        <v>1.09</v>
      </c>
      <c r="C145" s="1">
        <f>IFERROR(__xludf.DUMMYFUNCTION("""COMPUTED_VALUE"""),1.15)</f>
        <v>1.15</v>
      </c>
      <c r="D145" s="1">
        <f>IFERROR(__xludf.DUMMYFUNCTION("""COMPUTED_VALUE"""),1.08)</f>
        <v>1.08</v>
      </c>
      <c r="E145" s="1">
        <f>IFERROR(__xludf.DUMMYFUNCTION("""COMPUTED_VALUE"""),1.14)</f>
        <v>1.14</v>
      </c>
      <c r="F145" s="1">
        <f>IFERROR(__xludf.DUMMYFUNCTION("""COMPUTED_VALUE"""),366581.0)</f>
        <v>366581</v>
      </c>
    </row>
    <row r="146">
      <c r="A146" s="2">
        <f>IFERROR(__xludf.DUMMYFUNCTION("""COMPUTED_VALUE"""),40178.666666666664)</f>
        <v>40178.66667</v>
      </c>
      <c r="B146" s="1">
        <f>IFERROR(__xludf.DUMMYFUNCTION("""COMPUTED_VALUE"""),1.13)</f>
        <v>1.13</v>
      </c>
      <c r="C146" s="1">
        <f>IFERROR(__xludf.DUMMYFUNCTION("""COMPUTED_VALUE"""),1.15)</f>
        <v>1.15</v>
      </c>
      <c r="D146" s="1">
        <f>IFERROR(__xludf.DUMMYFUNCTION("""COMPUTED_VALUE"""),1.11)</f>
        <v>1.11</v>
      </c>
      <c r="E146" s="1">
        <f>IFERROR(__xludf.DUMMYFUNCTION("""COMPUTED_VALUE"""),1.11)</f>
        <v>1.11</v>
      </c>
      <c r="F146" s="1">
        <f>IFERROR(__xludf.DUMMYFUNCTION("""COMPUTED_VALUE"""),272402.0)</f>
        <v>272402</v>
      </c>
    </row>
    <row r="147">
      <c r="A147" s="2">
        <f>IFERROR(__xludf.DUMMYFUNCTION("""COMPUTED_VALUE"""),40186.666666666664)</f>
        <v>40186.66667</v>
      </c>
      <c r="B147" s="1">
        <f>IFERROR(__xludf.DUMMYFUNCTION("""COMPUTED_VALUE"""),1.12)</f>
        <v>1.12</v>
      </c>
      <c r="C147" s="1">
        <f>IFERROR(__xludf.DUMMYFUNCTION("""COMPUTED_VALUE"""),1.17)</f>
        <v>1.17</v>
      </c>
      <c r="D147" s="1">
        <f>IFERROR(__xludf.DUMMYFUNCTION("""COMPUTED_VALUE"""),1.11)</f>
        <v>1.11</v>
      </c>
      <c r="E147" s="1">
        <f>IFERROR(__xludf.DUMMYFUNCTION("""COMPUTED_VALUE"""),1.17)</f>
        <v>1.17</v>
      </c>
      <c r="F147" s="1">
        <f>IFERROR(__xludf.DUMMYFUNCTION("""COMPUTED_VALUE"""),512907.0)</f>
        <v>512907</v>
      </c>
    </row>
    <row r="148">
      <c r="A148" s="2">
        <f>IFERROR(__xludf.DUMMYFUNCTION("""COMPUTED_VALUE"""),40193.666666666664)</f>
        <v>40193.66667</v>
      </c>
      <c r="B148" s="1">
        <f>IFERROR(__xludf.DUMMYFUNCTION("""COMPUTED_VALUE"""),1.17)</f>
        <v>1.17</v>
      </c>
      <c r="C148" s="1">
        <f>IFERROR(__xludf.DUMMYFUNCTION("""COMPUTED_VALUE"""),1.31)</f>
        <v>1.31</v>
      </c>
      <c r="D148" s="1">
        <f>IFERROR(__xludf.DUMMYFUNCTION("""COMPUTED_VALUE"""),1.15)</f>
        <v>1.15</v>
      </c>
      <c r="E148" s="1">
        <f>IFERROR(__xludf.DUMMYFUNCTION("""COMPUTED_VALUE"""),1.28)</f>
        <v>1.28</v>
      </c>
      <c r="F148" s="1">
        <f>IFERROR(__xludf.DUMMYFUNCTION("""COMPUTED_VALUE"""),877895.0)</f>
        <v>877895</v>
      </c>
    </row>
    <row r="149">
      <c r="A149" s="2">
        <f>IFERROR(__xludf.DUMMYFUNCTION("""COMPUTED_VALUE"""),40200.666666666664)</f>
        <v>40200.66667</v>
      </c>
      <c r="B149" s="1">
        <f>IFERROR(__xludf.DUMMYFUNCTION("""COMPUTED_VALUE"""),1.29)</f>
        <v>1.29</v>
      </c>
      <c r="C149" s="1">
        <f>IFERROR(__xludf.DUMMYFUNCTION("""COMPUTED_VALUE"""),1.31)</f>
        <v>1.31</v>
      </c>
      <c r="D149" s="1">
        <f>IFERROR(__xludf.DUMMYFUNCTION("""COMPUTED_VALUE"""),1.15)</f>
        <v>1.15</v>
      </c>
      <c r="E149" s="1">
        <f>IFERROR(__xludf.DUMMYFUNCTION("""COMPUTED_VALUE"""),1.15)</f>
        <v>1.15</v>
      </c>
      <c r="F149" s="1">
        <f>IFERROR(__xludf.DUMMYFUNCTION("""COMPUTED_VALUE"""),805272.0)</f>
        <v>805272</v>
      </c>
    </row>
    <row r="150">
      <c r="A150" s="2">
        <f>IFERROR(__xludf.DUMMYFUNCTION("""COMPUTED_VALUE"""),40207.666666666664)</f>
        <v>40207.66667</v>
      </c>
      <c r="B150" s="1">
        <f>IFERROR(__xludf.DUMMYFUNCTION("""COMPUTED_VALUE"""),1.17)</f>
        <v>1.17</v>
      </c>
      <c r="C150" s="1">
        <f>IFERROR(__xludf.DUMMYFUNCTION("""COMPUTED_VALUE"""),1.38)</f>
        <v>1.38</v>
      </c>
      <c r="D150" s="1">
        <f>IFERROR(__xludf.DUMMYFUNCTION("""COMPUTED_VALUE"""),1.16)</f>
        <v>1.16</v>
      </c>
      <c r="E150" s="1">
        <f>IFERROR(__xludf.DUMMYFUNCTION("""COMPUTED_VALUE"""),1.24)</f>
        <v>1.24</v>
      </c>
      <c r="F150" s="1">
        <f>IFERROR(__xludf.DUMMYFUNCTION("""COMPUTED_VALUE"""),1626487.0)</f>
        <v>1626487</v>
      </c>
    </row>
    <row r="151">
      <c r="A151" s="2">
        <f>IFERROR(__xludf.DUMMYFUNCTION("""COMPUTED_VALUE"""),40214.666666666664)</f>
        <v>40214.66667</v>
      </c>
      <c r="B151" s="1">
        <f>IFERROR(__xludf.DUMMYFUNCTION("""COMPUTED_VALUE"""),1.25)</f>
        <v>1.25</v>
      </c>
      <c r="C151" s="1">
        <f>IFERROR(__xludf.DUMMYFUNCTION("""COMPUTED_VALUE"""),1.3)</f>
        <v>1.3</v>
      </c>
      <c r="D151" s="1">
        <f>IFERROR(__xludf.DUMMYFUNCTION("""COMPUTED_VALUE"""),1.17)</f>
        <v>1.17</v>
      </c>
      <c r="E151" s="1">
        <f>IFERROR(__xludf.DUMMYFUNCTION("""COMPUTED_VALUE"""),1.24)</f>
        <v>1.24</v>
      </c>
      <c r="F151" s="1">
        <f>IFERROR(__xludf.DUMMYFUNCTION("""COMPUTED_VALUE"""),907298.0)</f>
        <v>907298</v>
      </c>
    </row>
    <row r="152">
      <c r="A152" s="2">
        <f>IFERROR(__xludf.DUMMYFUNCTION("""COMPUTED_VALUE"""),40221.666666666664)</f>
        <v>40221.66667</v>
      </c>
      <c r="B152" s="1">
        <f>IFERROR(__xludf.DUMMYFUNCTION("""COMPUTED_VALUE"""),1.23)</f>
        <v>1.23</v>
      </c>
      <c r="C152" s="1">
        <f>IFERROR(__xludf.DUMMYFUNCTION("""COMPUTED_VALUE"""),1.36)</f>
        <v>1.36</v>
      </c>
      <c r="D152" s="1">
        <f>IFERROR(__xludf.DUMMYFUNCTION("""COMPUTED_VALUE"""),1.22)</f>
        <v>1.22</v>
      </c>
      <c r="E152" s="1">
        <f>IFERROR(__xludf.DUMMYFUNCTION("""COMPUTED_VALUE"""),1.36)</f>
        <v>1.36</v>
      </c>
      <c r="F152" s="1">
        <f>IFERROR(__xludf.DUMMYFUNCTION("""COMPUTED_VALUE"""),1010616.0)</f>
        <v>1010616</v>
      </c>
    </row>
    <row r="153">
      <c r="A153" s="2">
        <f>IFERROR(__xludf.DUMMYFUNCTION("""COMPUTED_VALUE"""),40228.666666666664)</f>
        <v>40228.66667</v>
      </c>
      <c r="B153" s="1">
        <f>IFERROR(__xludf.DUMMYFUNCTION("""COMPUTED_VALUE"""),1.35)</f>
        <v>1.35</v>
      </c>
      <c r="C153" s="1">
        <f>IFERROR(__xludf.DUMMYFUNCTION("""COMPUTED_VALUE"""),1.5)</f>
        <v>1.5</v>
      </c>
      <c r="D153" s="1">
        <f>IFERROR(__xludf.DUMMYFUNCTION("""COMPUTED_VALUE"""),1.35)</f>
        <v>1.35</v>
      </c>
      <c r="E153" s="1">
        <f>IFERROR(__xludf.DUMMYFUNCTION("""COMPUTED_VALUE"""),1.46)</f>
        <v>1.46</v>
      </c>
      <c r="F153" s="1">
        <f>IFERROR(__xludf.DUMMYFUNCTION("""COMPUTED_VALUE"""),1686723.0)</f>
        <v>1686723</v>
      </c>
    </row>
    <row r="154">
      <c r="A154" s="2">
        <f>IFERROR(__xludf.DUMMYFUNCTION("""COMPUTED_VALUE"""),40235.666666666664)</f>
        <v>40235.66667</v>
      </c>
      <c r="B154" s="1">
        <f>IFERROR(__xludf.DUMMYFUNCTION("""COMPUTED_VALUE"""),1.47)</f>
        <v>1.47</v>
      </c>
      <c r="C154" s="1">
        <f>IFERROR(__xludf.DUMMYFUNCTION("""COMPUTED_VALUE"""),1.51)</f>
        <v>1.51</v>
      </c>
      <c r="D154" s="1">
        <f>IFERROR(__xludf.DUMMYFUNCTION("""COMPUTED_VALUE"""),1.41)</f>
        <v>1.41</v>
      </c>
      <c r="E154" s="1">
        <f>IFERROR(__xludf.DUMMYFUNCTION("""COMPUTED_VALUE"""),1.5)</f>
        <v>1.5</v>
      </c>
      <c r="F154" s="1">
        <f>IFERROR(__xludf.DUMMYFUNCTION("""COMPUTED_VALUE"""),1590623.0)</f>
        <v>1590623</v>
      </c>
    </row>
    <row r="155">
      <c r="A155" s="2">
        <f>IFERROR(__xludf.DUMMYFUNCTION("""COMPUTED_VALUE"""),40242.666666666664)</f>
        <v>40242.66667</v>
      </c>
      <c r="B155" s="1">
        <f>IFERROR(__xludf.DUMMYFUNCTION("""COMPUTED_VALUE"""),1.51)</f>
        <v>1.51</v>
      </c>
      <c r="C155" s="1">
        <f>IFERROR(__xludf.DUMMYFUNCTION("""COMPUTED_VALUE"""),1.65)</f>
        <v>1.65</v>
      </c>
      <c r="D155" s="1">
        <f>IFERROR(__xludf.DUMMYFUNCTION("""COMPUTED_VALUE"""),1.5)</f>
        <v>1.5</v>
      </c>
      <c r="E155" s="1">
        <f>IFERROR(__xludf.DUMMYFUNCTION("""COMPUTED_VALUE"""),1.63)</f>
        <v>1.63</v>
      </c>
      <c r="F155" s="1">
        <f>IFERROR(__xludf.DUMMYFUNCTION("""COMPUTED_VALUE"""),2063263.0)</f>
        <v>2063263</v>
      </c>
    </row>
    <row r="156">
      <c r="A156" s="2">
        <f>IFERROR(__xludf.DUMMYFUNCTION("""COMPUTED_VALUE"""),40249.666666666664)</f>
        <v>40249.66667</v>
      </c>
      <c r="B156" s="1">
        <f>IFERROR(__xludf.DUMMYFUNCTION("""COMPUTED_VALUE"""),1.64)</f>
        <v>1.64</v>
      </c>
      <c r="C156" s="1">
        <f>IFERROR(__xludf.DUMMYFUNCTION("""COMPUTED_VALUE"""),1.71)</f>
        <v>1.71</v>
      </c>
      <c r="D156" s="1">
        <f>IFERROR(__xludf.DUMMYFUNCTION("""COMPUTED_VALUE"""),1.62)</f>
        <v>1.62</v>
      </c>
      <c r="E156" s="1">
        <f>IFERROR(__xludf.DUMMYFUNCTION("""COMPUTED_VALUE"""),1.65)</f>
        <v>1.65</v>
      </c>
      <c r="F156" s="1">
        <f>IFERROR(__xludf.DUMMYFUNCTION("""COMPUTED_VALUE"""),819822.0)</f>
        <v>819822</v>
      </c>
    </row>
    <row r="157">
      <c r="A157" s="2">
        <f>IFERROR(__xludf.DUMMYFUNCTION("""COMPUTED_VALUE"""),40256.666666666664)</f>
        <v>40256.66667</v>
      </c>
      <c r="B157" s="1">
        <f>IFERROR(__xludf.DUMMYFUNCTION("""COMPUTED_VALUE"""),1.63)</f>
        <v>1.63</v>
      </c>
      <c r="C157" s="1">
        <f>IFERROR(__xludf.DUMMYFUNCTION("""COMPUTED_VALUE"""),1.79)</f>
        <v>1.79</v>
      </c>
      <c r="D157" s="1">
        <f>IFERROR(__xludf.DUMMYFUNCTION("""COMPUTED_VALUE"""),1.56)</f>
        <v>1.56</v>
      </c>
      <c r="E157" s="1">
        <f>IFERROR(__xludf.DUMMYFUNCTION("""COMPUTED_VALUE"""),1.72)</f>
        <v>1.72</v>
      </c>
      <c r="F157" s="1">
        <f>IFERROR(__xludf.DUMMYFUNCTION("""COMPUTED_VALUE"""),1613071.0)</f>
        <v>1613071</v>
      </c>
    </row>
    <row r="158">
      <c r="A158" s="2">
        <f>IFERROR(__xludf.DUMMYFUNCTION("""COMPUTED_VALUE"""),40263.666666666664)</f>
        <v>40263.66667</v>
      </c>
      <c r="B158" s="1">
        <f>IFERROR(__xludf.DUMMYFUNCTION("""COMPUTED_VALUE"""),1.7)</f>
        <v>1.7</v>
      </c>
      <c r="C158" s="1">
        <f>IFERROR(__xludf.DUMMYFUNCTION("""COMPUTED_VALUE"""),1.81)</f>
        <v>1.81</v>
      </c>
      <c r="D158" s="1">
        <f>IFERROR(__xludf.DUMMYFUNCTION("""COMPUTED_VALUE"""),1.66)</f>
        <v>1.66</v>
      </c>
      <c r="E158" s="1">
        <f>IFERROR(__xludf.DUMMYFUNCTION("""COMPUTED_VALUE"""),1.68)</f>
        <v>1.68</v>
      </c>
      <c r="F158" s="1">
        <f>IFERROR(__xludf.DUMMYFUNCTION("""COMPUTED_VALUE"""),1436402.0)</f>
        <v>1436402</v>
      </c>
    </row>
    <row r="159">
      <c r="A159" s="2">
        <f>IFERROR(__xludf.DUMMYFUNCTION("""COMPUTED_VALUE"""),40269.666666666664)</f>
        <v>40269.66667</v>
      </c>
      <c r="B159" s="1">
        <f>IFERROR(__xludf.DUMMYFUNCTION("""COMPUTED_VALUE"""),1.67)</f>
        <v>1.67</v>
      </c>
      <c r="C159" s="1">
        <f>IFERROR(__xludf.DUMMYFUNCTION("""COMPUTED_VALUE"""),1.8)</f>
        <v>1.8</v>
      </c>
      <c r="D159" s="1">
        <f>IFERROR(__xludf.DUMMYFUNCTION("""COMPUTED_VALUE"""),1.67)</f>
        <v>1.67</v>
      </c>
      <c r="E159" s="1">
        <f>IFERROR(__xludf.DUMMYFUNCTION("""COMPUTED_VALUE"""),1.74)</f>
        <v>1.74</v>
      </c>
      <c r="F159" s="1">
        <f>IFERROR(__xludf.DUMMYFUNCTION("""COMPUTED_VALUE"""),1007658.0)</f>
        <v>1007658</v>
      </c>
    </row>
    <row r="160">
      <c r="A160" s="2">
        <f>IFERROR(__xludf.DUMMYFUNCTION("""COMPUTED_VALUE"""),40277.666666666664)</f>
        <v>40277.66667</v>
      </c>
      <c r="B160" s="1">
        <f>IFERROR(__xludf.DUMMYFUNCTION("""COMPUTED_VALUE"""),1.76)</f>
        <v>1.76</v>
      </c>
      <c r="C160" s="1">
        <f>IFERROR(__xludf.DUMMYFUNCTION("""COMPUTED_VALUE"""),1.77)</f>
        <v>1.77</v>
      </c>
      <c r="D160" s="1">
        <f>IFERROR(__xludf.DUMMYFUNCTION("""COMPUTED_VALUE"""),1.7)</f>
        <v>1.7</v>
      </c>
      <c r="E160" s="1">
        <f>IFERROR(__xludf.DUMMYFUNCTION("""COMPUTED_VALUE"""),1.72)</f>
        <v>1.72</v>
      </c>
      <c r="F160" s="1">
        <f>IFERROR(__xludf.DUMMYFUNCTION("""COMPUTED_VALUE"""),878294.0)</f>
        <v>878294</v>
      </c>
    </row>
    <row r="161">
      <c r="A161" s="2">
        <f>IFERROR(__xludf.DUMMYFUNCTION("""COMPUTED_VALUE"""),40284.666666666664)</f>
        <v>40284.66667</v>
      </c>
      <c r="B161" s="1">
        <f>IFERROR(__xludf.DUMMYFUNCTION("""COMPUTED_VALUE"""),1.75)</f>
        <v>1.75</v>
      </c>
      <c r="C161" s="1">
        <f>IFERROR(__xludf.DUMMYFUNCTION("""COMPUTED_VALUE"""),1.88)</f>
        <v>1.88</v>
      </c>
      <c r="D161" s="1">
        <f>IFERROR(__xludf.DUMMYFUNCTION("""COMPUTED_VALUE"""),1.73)</f>
        <v>1.73</v>
      </c>
      <c r="E161" s="1">
        <f>IFERROR(__xludf.DUMMYFUNCTION("""COMPUTED_VALUE"""),1.79)</f>
        <v>1.79</v>
      </c>
      <c r="F161" s="1">
        <f>IFERROR(__xludf.DUMMYFUNCTION("""COMPUTED_VALUE"""),1255788.0)</f>
        <v>1255788</v>
      </c>
    </row>
    <row r="162">
      <c r="A162" s="2">
        <f>IFERROR(__xludf.DUMMYFUNCTION("""COMPUTED_VALUE"""),40291.666666666664)</f>
        <v>40291.66667</v>
      </c>
      <c r="B162" s="1">
        <f>IFERROR(__xludf.DUMMYFUNCTION("""COMPUTED_VALUE"""),1.78)</f>
        <v>1.78</v>
      </c>
      <c r="C162" s="1">
        <f>IFERROR(__xludf.DUMMYFUNCTION("""COMPUTED_VALUE"""),1.89)</f>
        <v>1.89</v>
      </c>
      <c r="D162" s="1">
        <f>IFERROR(__xludf.DUMMYFUNCTION("""COMPUTED_VALUE"""),1.7)</f>
        <v>1.7</v>
      </c>
      <c r="E162" s="1">
        <f>IFERROR(__xludf.DUMMYFUNCTION("""COMPUTED_VALUE"""),1.89)</f>
        <v>1.89</v>
      </c>
      <c r="F162" s="1">
        <f>IFERROR(__xludf.DUMMYFUNCTION("""COMPUTED_VALUE"""),910031.0)</f>
        <v>910031</v>
      </c>
    </row>
    <row r="163">
      <c r="A163" s="2">
        <f>IFERROR(__xludf.DUMMYFUNCTION("""COMPUTED_VALUE"""),40298.666666666664)</f>
        <v>40298.66667</v>
      </c>
      <c r="B163" s="1">
        <f>IFERROR(__xludf.DUMMYFUNCTION("""COMPUTED_VALUE"""),1.89)</f>
        <v>1.89</v>
      </c>
      <c r="C163" s="1">
        <f>IFERROR(__xludf.DUMMYFUNCTION("""COMPUTED_VALUE"""),1.96)</f>
        <v>1.96</v>
      </c>
      <c r="D163" s="1">
        <f>IFERROR(__xludf.DUMMYFUNCTION("""COMPUTED_VALUE"""),1.42)</f>
        <v>1.42</v>
      </c>
      <c r="E163" s="1">
        <f>IFERROR(__xludf.DUMMYFUNCTION("""COMPUTED_VALUE"""),1.42)</f>
        <v>1.42</v>
      </c>
      <c r="F163" s="1">
        <f>IFERROR(__xludf.DUMMYFUNCTION("""COMPUTED_VALUE"""),4034440.0)</f>
        <v>4034440</v>
      </c>
    </row>
    <row r="164">
      <c r="A164" s="2">
        <f>IFERROR(__xludf.DUMMYFUNCTION("""COMPUTED_VALUE"""),40305.666666666664)</f>
        <v>40305.66667</v>
      </c>
      <c r="B164" s="1">
        <f>IFERROR(__xludf.DUMMYFUNCTION("""COMPUTED_VALUE"""),1.43)</f>
        <v>1.43</v>
      </c>
      <c r="C164" s="1">
        <f>IFERROR(__xludf.DUMMYFUNCTION("""COMPUTED_VALUE"""),1.45)</f>
        <v>1.45</v>
      </c>
      <c r="D164" s="1">
        <f>IFERROR(__xludf.DUMMYFUNCTION("""COMPUTED_VALUE"""),1.28)</f>
        <v>1.28</v>
      </c>
      <c r="E164" s="1">
        <f>IFERROR(__xludf.DUMMYFUNCTION("""COMPUTED_VALUE"""),1.31)</f>
        <v>1.31</v>
      </c>
      <c r="F164" s="1">
        <f>IFERROR(__xludf.DUMMYFUNCTION("""COMPUTED_VALUE"""),1703832.0)</f>
        <v>1703832</v>
      </c>
    </row>
    <row r="165">
      <c r="A165" s="2">
        <f>IFERROR(__xludf.DUMMYFUNCTION("""COMPUTED_VALUE"""),40312.666666666664)</f>
        <v>40312.66667</v>
      </c>
      <c r="B165" s="1">
        <f>IFERROR(__xludf.DUMMYFUNCTION("""COMPUTED_VALUE"""),1.4)</f>
        <v>1.4</v>
      </c>
      <c r="C165" s="1">
        <f>IFERROR(__xludf.DUMMYFUNCTION("""COMPUTED_VALUE"""),1.48)</f>
        <v>1.48</v>
      </c>
      <c r="D165" s="1">
        <f>IFERROR(__xludf.DUMMYFUNCTION("""COMPUTED_VALUE"""),1.34)</f>
        <v>1.34</v>
      </c>
      <c r="E165" s="1">
        <f>IFERROR(__xludf.DUMMYFUNCTION("""COMPUTED_VALUE"""),1.41)</f>
        <v>1.41</v>
      </c>
      <c r="F165" s="1">
        <f>IFERROR(__xludf.DUMMYFUNCTION("""COMPUTED_VALUE"""),1251944.0)</f>
        <v>1251944</v>
      </c>
    </row>
    <row r="166">
      <c r="A166" s="2">
        <f>IFERROR(__xludf.DUMMYFUNCTION("""COMPUTED_VALUE"""),40319.666666666664)</f>
        <v>40319.66667</v>
      </c>
      <c r="B166" s="1">
        <f>IFERROR(__xludf.DUMMYFUNCTION("""COMPUTED_VALUE"""),1.43)</f>
        <v>1.43</v>
      </c>
      <c r="C166" s="1">
        <f>IFERROR(__xludf.DUMMYFUNCTION("""COMPUTED_VALUE"""),1.44)</f>
        <v>1.44</v>
      </c>
      <c r="D166" s="1">
        <f>IFERROR(__xludf.DUMMYFUNCTION("""COMPUTED_VALUE"""),1.26)</f>
        <v>1.26</v>
      </c>
      <c r="E166" s="1">
        <f>IFERROR(__xludf.DUMMYFUNCTION("""COMPUTED_VALUE"""),1.29)</f>
        <v>1.29</v>
      </c>
      <c r="F166" s="1">
        <f>IFERROR(__xludf.DUMMYFUNCTION("""COMPUTED_VALUE"""),1245409.0)</f>
        <v>1245409</v>
      </c>
    </row>
    <row r="167">
      <c r="A167" s="2">
        <f>IFERROR(__xludf.DUMMYFUNCTION("""COMPUTED_VALUE"""),40326.666666666664)</f>
        <v>40326.66667</v>
      </c>
      <c r="B167" s="1">
        <f>IFERROR(__xludf.DUMMYFUNCTION("""COMPUTED_VALUE"""),1.29)</f>
        <v>1.29</v>
      </c>
      <c r="C167" s="1">
        <f>IFERROR(__xludf.DUMMYFUNCTION("""COMPUTED_VALUE"""),1.4)</f>
        <v>1.4</v>
      </c>
      <c r="D167" s="1">
        <f>IFERROR(__xludf.DUMMYFUNCTION("""COMPUTED_VALUE"""),1.2)</f>
        <v>1.2</v>
      </c>
      <c r="E167" s="1">
        <f>IFERROR(__xludf.DUMMYFUNCTION("""COMPUTED_VALUE"""),1.38)</f>
        <v>1.38</v>
      </c>
      <c r="F167" s="1">
        <f>IFERROR(__xludf.DUMMYFUNCTION("""COMPUTED_VALUE"""),1635666.0)</f>
        <v>1635666</v>
      </c>
    </row>
    <row r="168">
      <c r="A168" s="2">
        <f>IFERROR(__xludf.DUMMYFUNCTION("""COMPUTED_VALUE"""),40333.666666666664)</f>
        <v>40333.66667</v>
      </c>
      <c r="B168" s="1">
        <f>IFERROR(__xludf.DUMMYFUNCTION("""COMPUTED_VALUE"""),1.35)</f>
        <v>1.35</v>
      </c>
      <c r="C168" s="1">
        <f>IFERROR(__xludf.DUMMYFUNCTION("""COMPUTED_VALUE"""),1.37)</f>
        <v>1.37</v>
      </c>
      <c r="D168" s="1">
        <f>IFERROR(__xludf.DUMMYFUNCTION("""COMPUTED_VALUE"""),1.2)</f>
        <v>1.2</v>
      </c>
      <c r="E168" s="1">
        <f>IFERROR(__xludf.DUMMYFUNCTION("""COMPUTED_VALUE"""),1.22)</f>
        <v>1.22</v>
      </c>
      <c r="F168" s="1">
        <f>IFERROR(__xludf.DUMMYFUNCTION("""COMPUTED_VALUE"""),913118.0)</f>
        <v>913118</v>
      </c>
    </row>
    <row r="169">
      <c r="A169" s="2">
        <f>IFERROR(__xludf.DUMMYFUNCTION("""COMPUTED_VALUE"""),40340.666666666664)</f>
        <v>40340.66667</v>
      </c>
      <c r="B169" s="1">
        <f>IFERROR(__xludf.DUMMYFUNCTION("""COMPUTED_VALUE"""),1.23)</f>
        <v>1.23</v>
      </c>
      <c r="C169" s="1">
        <f>IFERROR(__xludf.DUMMYFUNCTION("""COMPUTED_VALUE"""),1.35)</f>
        <v>1.35</v>
      </c>
      <c r="D169" s="1">
        <f>IFERROR(__xludf.DUMMYFUNCTION("""COMPUTED_VALUE"""),1.17)</f>
        <v>1.17</v>
      </c>
      <c r="E169" s="1">
        <f>IFERROR(__xludf.DUMMYFUNCTION("""COMPUTED_VALUE"""),1.34)</f>
        <v>1.34</v>
      </c>
      <c r="F169" s="1">
        <f>IFERROR(__xludf.DUMMYFUNCTION("""COMPUTED_VALUE"""),954835.0)</f>
        <v>954835</v>
      </c>
    </row>
    <row r="170">
      <c r="A170" s="2">
        <f>IFERROR(__xludf.DUMMYFUNCTION("""COMPUTED_VALUE"""),40347.666666666664)</f>
        <v>40347.66667</v>
      </c>
      <c r="B170" s="1">
        <f>IFERROR(__xludf.DUMMYFUNCTION("""COMPUTED_VALUE"""),1.36)</f>
        <v>1.36</v>
      </c>
      <c r="C170" s="1">
        <f>IFERROR(__xludf.DUMMYFUNCTION("""COMPUTED_VALUE"""),1.46)</f>
        <v>1.46</v>
      </c>
      <c r="D170" s="1">
        <f>IFERROR(__xludf.DUMMYFUNCTION("""COMPUTED_VALUE"""),1.35)</f>
        <v>1.35</v>
      </c>
      <c r="E170" s="1">
        <f>IFERROR(__xludf.DUMMYFUNCTION("""COMPUTED_VALUE"""),1.45)</f>
        <v>1.45</v>
      </c>
      <c r="F170" s="1">
        <f>IFERROR(__xludf.DUMMYFUNCTION("""COMPUTED_VALUE"""),877872.0)</f>
        <v>877872</v>
      </c>
    </row>
    <row r="171">
      <c r="A171" s="2">
        <f>IFERROR(__xludf.DUMMYFUNCTION("""COMPUTED_VALUE"""),40354.666666666664)</f>
        <v>40354.66667</v>
      </c>
      <c r="B171" s="1">
        <f>IFERROR(__xludf.DUMMYFUNCTION("""COMPUTED_VALUE"""),1.47)</f>
        <v>1.47</v>
      </c>
      <c r="C171" s="1">
        <f>IFERROR(__xludf.DUMMYFUNCTION("""COMPUTED_VALUE"""),1.5)</f>
        <v>1.5</v>
      </c>
      <c r="D171" s="1">
        <f>IFERROR(__xludf.DUMMYFUNCTION("""COMPUTED_VALUE"""),1.37)</f>
        <v>1.37</v>
      </c>
      <c r="E171" s="1">
        <f>IFERROR(__xludf.DUMMYFUNCTION("""COMPUTED_VALUE"""),1.42)</f>
        <v>1.42</v>
      </c>
      <c r="F171" s="1">
        <f>IFERROR(__xludf.DUMMYFUNCTION("""COMPUTED_VALUE"""),1030887.0)</f>
        <v>1030887</v>
      </c>
    </row>
    <row r="172">
      <c r="A172" s="2">
        <f>IFERROR(__xludf.DUMMYFUNCTION("""COMPUTED_VALUE"""),40361.666666666664)</f>
        <v>40361.66667</v>
      </c>
      <c r="B172" s="1">
        <f>IFERROR(__xludf.DUMMYFUNCTION("""COMPUTED_VALUE"""),1.42)</f>
        <v>1.42</v>
      </c>
      <c r="C172" s="1">
        <f>IFERROR(__xludf.DUMMYFUNCTION("""COMPUTED_VALUE"""),1.43)</f>
        <v>1.43</v>
      </c>
      <c r="D172" s="1">
        <f>IFERROR(__xludf.DUMMYFUNCTION("""COMPUTED_VALUE"""),1.26)</f>
        <v>1.26</v>
      </c>
      <c r="E172" s="1">
        <f>IFERROR(__xludf.DUMMYFUNCTION("""COMPUTED_VALUE"""),1.29)</f>
        <v>1.29</v>
      </c>
      <c r="F172" s="1">
        <f>IFERROR(__xludf.DUMMYFUNCTION("""COMPUTED_VALUE"""),757334.0)</f>
        <v>757334</v>
      </c>
    </row>
    <row r="173">
      <c r="A173" s="2">
        <f>IFERROR(__xludf.DUMMYFUNCTION("""COMPUTED_VALUE"""),40368.666666666664)</f>
        <v>40368.66667</v>
      </c>
      <c r="B173" s="1">
        <f>IFERROR(__xludf.DUMMYFUNCTION("""COMPUTED_VALUE"""),1.31)</f>
        <v>1.31</v>
      </c>
      <c r="C173" s="1">
        <f>IFERROR(__xludf.DUMMYFUNCTION("""COMPUTED_VALUE"""),1.43)</f>
        <v>1.43</v>
      </c>
      <c r="D173" s="1">
        <f>IFERROR(__xludf.DUMMYFUNCTION("""COMPUTED_VALUE"""),1.25)</f>
        <v>1.25</v>
      </c>
      <c r="E173" s="1">
        <f>IFERROR(__xludf.DUMMYFUNCTION("""COMPUTED_VALUE"""),1.43)</f>
        <v>1.43</v>
      </c>
      <c r="F173" s="1">
        <f>IFERROR(__xludf.DUMMYFUNCTION("""COMPUTED_VALUE"""),545009.0)</f>
        <v>545009</v>
      </c>
    </row>
    <row r="174">
      <c r="A174" s="2">
        <f>IFERROR(__xludf.DUMMYFUNCTION("""COMPUTED_VALUE"""),40375.666666666664)</f>
        <v>40375.66667</v>
      </c>
      <c r="B174" s="1">
        <f>IFERROR(__xludf.DUMMYFUNCTION("""COMPUTED_VALUE"""),1.42)</f>
        <v>1.42</v>
      </c>
      <c r="C174" s="1">
        <f>IFERROR(__xludf.DUMMYFUNCTION("""COMPUTED_VALUE"""),1.52)</f>
        <v>1.52</v>
      </c>
      <c r="D174" s="1">
        <f>IFERROR(__xludf.DUMMYFUNCTION("""COMPUTED_VALUE"""),1.36)</f>
        <v>1.36</v>
      </c>
      <c r="E174" s="1">
        <f>IFERROR(__xludf.DUMMYFUNCTION("""COMPUTED_VALUE"""),1.39)</f>
        <v>1.39</v>
      </c>
      <c r="F174" s="1">
        <f>IFERROR(__xludf.DUMMYFUNCTION("""COMPUTED_VALUE"""),1192327.0)</f>
        <v>1192327</v>
      </c>
    </row>
    <row r="175">
      <c r="A175" s="2">
        <f>IFERROR(__xludf.DUMMYFUNCTION("""COMPUTED_VALUE"""),40382.666666666664)</f>
        <v>40382.66667</v>
      </c>
      <c r="B175" s="1">
        <f>IFERROR(__xludf.DUMMYFUNCTION("""COMPUTED_VALUE"""),1.39)</f>
        <v>1.39</v>
      </c>
      <c r="C175" s="1">
        <f>IFERROR(__xludf.DUMMYFUNCTION("""COMPUTED_VALUE"""),1.52)</f>
        <v>1.52</v>
      </c>
      <c r="D175" s="1">
        <f>IFERROR(__xludf.DUMMYFUNCTION("""COMPUTED_VALUE"""),1.32)</f>
        <v>1.32</v>
      </c>
      <c r="E175" s="1">
        <f>IFERROR(__xludf.DUMMYFUNCTION("""COMPUTED_VALUE"""),1.5)</f>
        <v>1.5</v>
      </c>
      <c r="F175" s="1">
        <f>IFERROR(__xludf.DUMMYFUNCTION("""COMPUTED_VALUE"""),813345.0)</f>
        <v>813345</v>
      </c>
    </row>
    <row r="176">
      <c r="A176" s="2">
        <f>IFERROR(__xludf.DUMMYFUNCTION("""COMPUTED_VALUE"""),40389.666666666664)</f>
        <v>40389.66667</v>
      </c>
      <c r="B176" s="1">
        <f>IFERROR(__xludf.DUMMYFUNCTION("""COMPUTED_VALUE"""),1.5)</f>
        <v>1.5</v>
      </c>
      <c r="C176" s="1">
        <f>IFERROR(__xludf.DUMMYFUNCTION("""COMPUTED_VALUE"""),1.56)</f>
        <v>1.56</v>
      </c>
      <c r="D176" s="1">
        <f>IFERROR(__xludf.DUMMYFUNCTION("""COMPUTED_VALUE"""),1.4)</f>
        <v>1.4</v>
      </c>
      <c r="E176" s="1">
        <f>IFERROR(__xludf.DUMMYFUNCTION("""COMPUTED_VALUE"""),1.44)</f>
        <v>1.44</v>
      </c>
      <c r="F176" s="1">
        <f>IFERROR(__xludf.DUMMYFUNCTION("""COMPUTED_VALUE"""),818819.0)</f>
        <v>818819</v>
      </c>
    </row>
    <row r="177">
      <c r="A177" s="2">
        <f>IFERROR(__xludf.DUMMYFUNCTION("""COMPUTED_VALUE"""),40396.666666666664)</f>
        <v>40396.66667</v>
      </c>
      <c r="B177" s="1">
        <f>IFERROR(__xludf.DUMMYFUNCTION("""COMPUTED_VALUE"""),1.47)</f>
        <v>1.47</v>
      </c>
      <c r="C177" s="1">
        <f>IFERROR(__xludf.DUMMYFUNCTION("""COMPUTED_VALUE"""),1.5)</f>
        <v>1.5</v>
      </c>
      <c r="D177" s="1">
        <f>IFERROR(__xludf.DUMMYFUNCTION("""COMPUTED_VALUE"""),0.97)</f>
        <v>0.97</v>
      </c>
      <c r="E177" s="1">
        <f>IFERROR(__xludf.DUMMYFUNCTION("""COMPUTED_VALUE"""),1.01)</f>
        <v>1.01</v>
      </c>
      <c r="F177" s="1">
        <f>IFERROR(__xludf.DUMMYFUNCTION("""COMPUTED_VALUE"""),5802752.0)</f>
        <v>5802752</v>
      </c>
    </row>
    <row r="178">
      <c r="A178" s="2">
        <f>IFERROR(__xludf.DUMMYFUNCTION("""COMPUTED_VALUE"""),40403.666666666664)</f>
        <v>40403.66667</v>
      </c>
      <c r="B178" s="1">
        <f>IFERROR(__xludf.DUMMYFUNCTION("""COMPUTED_VALUE"""),1.01)</f>
        <v>1.01</v>
      </c>
      <c r="C178" s="1">
        <f>IFERROR(__xludf.DUMMYFUNCTION("""COMPUTED_VALUE"""),1.02)</f>
        <v>1.02</v>
      </c>
      <c r="D178" s="1">
        <f>IFERROR(__xludf.DUMMYFUNCTION("""COMPUTED_VALUE"""),0.86)</f>
        <v>0.86</v>
      </c>
      <c r="E178" s="1">
        <f>IFERROR(__xludf.DUMMYFUNCTION("""COMPUTED_VALUE"""),0.9)</f>
        <v>0.9</v>
      </c>
      <c r="F178" s="1">
        <f>IFERROR(__xludf.DUMMYFUNCTION("""COMPUTED_VALUE"""),2702684.0)</f>
        <v>2702684</v>
      </c>
    </row>
    <row r="179">
      <c r="A179" s="2">
        <f>IFERROR(__xludf.DUMMYFUNCTION("""COMPUTED_VALUE"""),40410.666666666664)</f>
        <v>40410.66667</v>
      </c>
      <c r="B179" s="1">
        <f>IFERROR(__xludf.DUMMYFUNCTION("""COMPUTED_VALUE"""),0.9)</f>
        <v>0.9</v>
      </c>
      <c r="C179" s="1">
        <f>IFERROR(__xludf.DUMMYFUNCTION("""COMPUTED_VALUE"""),0.96)</f>
        <v>0.96</v>
      </c>
      <c r="D179" s="1">
        <f>IFERROR(__xludf.DUMMYFUNCTION("""COMPUTED_VALUE"""),0.85)</f>
        <v>0.85</v>
      </c>
      <c r="E179" s="1">
        <f>IFERROR(__xludf.DUMMYFUNCTION("""COMPUTED_VALUE"""),0.93)</f>
        <v>0.93</v>
      </c>
      <c r="F179" s="1">
        <f>IFERROR(__xludf.DUMMYFUNCTION("""COMPUTED_VALUE"""),2152515.0)</f>
        <v>2152515</v>
      </c>
    </row>
    <row r="180">
      <c r="A180" s="2">
        <f>IFERROR(__xludf.DUMMYFUNCTION("""COMPUTED_VALUE"""),40417.666666666664)</f>
        <v>40417.66667</v>
      </c>
      <c r="B180" s="1">
        <f>IFERROR(__xludf.DUMMYFUNCTION("""COMPUTED_VALUE"""),0.93)</f>
        <v>0.93</v>
      </c>
      <c r="C180" s="1">
        <f>IFERROR(__xludf.DUMMYFUNCTION("""COMPUTED_VALUE"""),0.95)</f>
        <v>0.95</v>
      </c>
      <c r="D180" s="1">
        <f>IFERROR(__xludf.DUMMYFUNCTION("""COMPUTED_VALUE"""),0.88)</f>
        <v>0.88</v>
      </c>
      <c r="E180" s="1">
        <f>IFERROR(__xludf.DUMMYFUNCTION("""COMPUTED_VALUE"""),0.92)</f>
        <v>0.92</v>
      </c>
      <c r="F180" s="1">
        <f>IFERROR(__xludf.DUMMYFUNCTION("""COMPUTED_VALUE"""),1234846.0)</f>
        <v>1234846</v>
      </c>
    </row>
    <row r="181">
      <c r="A181" s="2">
        <f>IFERROR(__xludf.DUMMYFUNCTION("""COMPUTED_VALUE"""),40424.666666666664)</f>
        <v>40424.66667</v>
      </c>
      <c r="B181" s="1">
        <f>IFERROR(__xludf.DUMMYFUNCTION("""COMPUTED_VALUE"""),0.92)</f>
        <v>0.92</v>
      </c>
      <c r="C181" s="1">
        <f>IFERROR(__xludf.DUMMYFUNCTION("""COMPUTED_VALUE"""),1.0)</f>
        <v>1</v>
      </c>
      <c r="D181" s="1">
        <f>IFERROR(__xludf.DUMMYFUNCTION("""COMPUTED_VALUE"""),0.89)</f>
        <v>0.89</v>
      </c>
      <c r="E181" s="1">
        <f>IFERROR(__xludf.DUMMYFUNCTION("""COMPUTED_VALUE"""),0.99)</f>
        <v>0.99</v>
      </c>
      <c r="F181" s="1">
        <f>IFERROR(__xludf.DUMMYFUNCTION("""COMPUTED_VALUE"""),1013949.0)</f>
        <v>1013949</v>
      </c>
    </row>
    <row r="182">
      <c r="A182" s="2">
        <f>IFERROR(__xludf.DUMMYFUNCTION("""COMPUTED_VALUE"""),40431.666666666664)</f>
        <v>40431.66667</v>
      </c>
      <c r="B182" s="1">
        <f>IFERROR(__xludf.DUMMYFUNCTION("""COMPUTED_VALUE"""),0.99)</f>
        <v>0.99</v>
      </c>
      <c r="C182" s="1">
        <f>IFERROR(__xludf.DUMMYFUNCTION("""COMPUTED_VALUE"""),1.01)</f>
        <v>1.01</v>
      </c>
      <c r="D182" s="1">
        <f>IFERROR(__xludf.DUMMYFUNCTION("""COMPUTED_VALUE"""),0.95)</f>
        <v>0.95</v>
      </c>
      <c r="E182" s="1">
        <f>IFERROR(__xludf.DUMMYFUNCTION("""COMPUTED_VALUE"""),0.98)</f>
        <v>0.98</v>
      </c>
      <c r="F182" s="1">
        <f>IFERROR(__xludf.DUMMYFUNCTION("""COMPUTED_VALUE"""),707036.0)</f>
        <v>707036</v>
      </c>
    </row>
    <row r="183">
      <c r="A183" s="2">
        <f>IFERROR(__xludf.DUMMYFUNCTION("""COMPUTED_VALUE"""),40438.666666666664)</f>
        <v>40438.66667</v>
      </c>
      <c r="B183" s="1">
        <f>IFERROR(__xludf.DUMMYFUNCTION("""COMPUTED_VALUE"""),0.99)</f>
        <v>0.99</v>
      </c>
      <c r="C183" s="1">
        <f>IFERROR(__xludf.DUMMYFUNCTION("""COMPUTED_VALUE"""),1.01)</f>
        <v>1.01</v>
      </c>
      <c r="D183" s="1">
        <f>IFERROR(__xludf.DUMMYFUNCTION("""COMPUTED_VALUE"""),0.93)</f>
        <v>0.93</v>
      </c>
      <c r="E183" s="1">
        <f>IFERROR(__xludf.DUMMYFUNCTION("""COMPUTED_VALUE"""),0.95)</f>
        <v>0.95</v>
      </c>
      <c r="F183" s="1">
        <f>IFERROR(__xludf.DUMMYFUNCTION("""COMPUTED_VALUE"""),1098102.0)</f>
        <v>1098102</v>
      </c>
    </row>
    <row r="184">
      <c r="A184" s="2">
        <f>IFERROR(__xludf.DUMMYFUNCTION("""COMPUTED_VALUE"""),40445.666666666664)</f>
        <v>40445.66667</v>
      </c>
      <c r="B184" s="1">
        <f>IFERROR(__xludf.DUMMYFUNCTION("""COMPUTED_VALUE"""),0.96)</f>
        <v>0.96</v>
      </c>
      <c r="C184" s="1">
        <f>IFERROR(__xludf.DUMMYFUNCTION("""COMPUTED_VALUE"""),1.01)</f>
        <v>1.01</v>
      </c>
      <c r="D184" s="1">
        <f>IFERROR(__xludf.DUMMYFUNCTION("""COMPUTED_VALUE"""),0.94)</f>
        <v>0.94</v>
      </c>
      <c r="E184" s="1">
        <f>IFERROR(__xludf.DUMMYFUNCTION("""COMPUTED_VALUE"""),0.97)</f>
        <v>0.97</v>
      </c>
      <c r="F184" s="1">
        <f>IFERROR(__xludf.DUMMYFUNCTION("""COMPUTED_VALUE"""),932233.0)</f>
        <v>932233</v>
      </c>
    </row>
    <row r="185">
      <c r="A185" s="2">
        <f>IFERROR(__xludf.DUMMYFUNCTION("""COMPUTED_VALUE"""),40452.666666666664)</f>
        <v>40452.66667</v>
      </c>
      <c r="B185" s="1">
        <f>IFERROR(__xludf.DUMMYFUNCTION("""COMPUTED_VALUE"""),0.97)</f>
        <v>0.97</v>
      </c>
      <c r="C185" s="1">
        <f>IFERROR(__xludf.DUMMYFUNCTION("""COMPUTED_VALUE"""),1.17)</f>
        <v>1.17</v>
      </c>
      <c r="D185" s="1">
        <f>IFERROR(__xludf.DUMMYFUNCTION("""COMPUTED_VALUE"""),0.97)</f>
        <v>0.97</v>
      </c>
      <c r="E185" s="1">
        <f>IFERROR(__xludf.DUMMYFUNCTION("""COMPUTED_VALUE"""),1.04)</f>
        <v>1.04</v>
      </c>
      <c r="F185" s="1">
        <f>IFERROR(__xludf.DUMMYFUNCTION("""COMPUTED_VALUE"""),5514574.0)</f>
        <v>5514574</v>
      </c>
    </row>
    <row r="186">
      <c r="A186" s="2">
        <f>IFERROR(__xludf.DUMMYFUNCTION("""COMPUTED_VALUE"""),40459.666666666664)</f>
        <v>40459.66667</v>
      </c>
      <c r="B186" s="1">
        <f>IFERROR(__xludf.DUMMYFUNCTION("""COMPUTED_VALUE"""),1.04)</f>
        <v>1.04</v>
      </c>
      <c r="C186" s="1">
        <f>IFERROR(__xludf.DUMMYFUNCTION("""COMPUTED_VALUE"""),1.12)</f>
        <v>1.12</v>
      </c>
      <c r="D186" s="1">
        <f>IFERROR(__xludf.DUMMYFUNCTION("""COMPUTED_VALUE"""),1.01)</f>
        <v>1.01</v>
      </c>
      <c r="E186" s="1">
        <f>IFERROR(__xludf.DUMMYFUNCTION("""COMPUTED_VALUE"""),1.1)</f>
        <v>1.1</v>
      </c>
      <c r="F186" s="1">
        <f>IFERROR(__xludf.DUMMYFUNCTION("""COMPUTED_VALUE"""),1244510.0)</f>
        <v>1244510</v>
      </c>
    </row>
    <row r="187">
      <c r="A187" s="2">
        <f>IFERROR(__xludf.DUMMYFUNCTION("""COMPUTED_VALUE"""),40466.666666666664)</f>
        <v>40466.66667</v>
      </c>
      <c r="B187" s="1">
        <f>IFERROR(__xludf.DUMMYFUNCTION("""COMPUTED_VALUE"""),1.1)</f>
        <v>1.1</v>
      </c>
      <c r="C187" s="1">
        <f>IFERROR(__xludf.DUMMYFUNCTION("""COMPUTED_VALUE"""),1.17)</f>
        <v>1.17</v>
      </c>
      <c r="D187" s="1">
        <f>IFERROR(__xludf.DUMMYFUNCTION("""COMPUTED_VALUE"""),1.09)</f>
        <v>1.09</v>
      </c>
      <c r="E187" s="1">
        <f>IFERROR(__xludf.DUMMYFUNCTION("""COMPUTED_VALUE"""),1.15)</f>
        <v>1.15</v>
      </c>
      <c r="F187" s="1">
        <f>IFERROR(__xludf.DUMMYFUNCTION("""COMPUTED_VALUE"""),1047610.0)</f>
        <v>1047610</v>
      </c>
    </row>
    <row r="188">
      <c r="A188" s="2">
        <f>IFERROR(__xludf.DUMMYFUNCTION("""COMPUTED_VALUE"""),40473.666666666664)</f>
        <v>40473.66667</v>
      </c>
      <c r="B188" s="1">
        <f>IFERROR(__xludf.DUMMYFUNCTION("""COMPUTED_VALUE"""),1.15)</f>
        <v>1.15</v>
      </c>
      <c r="C188" s="1">
        <f>IFERROR(__xludf.DUMMYFUNCTION("""COMPUTED_VALUE"""),1.16)</f>
        <v>1.16</v>
      </c>
      <c r="D188" s="1">
        <f>IFERROR(__xludf.DUMMYFUNCTION("""COMPUTED_VALUE"""),1.04)</f>
        <v>1.04</v>
      </c>
      <c r="E188" s="1">
        <f>IFERROR(__xludf.DUMMYFUNCTION("""COMPUTED_VALUE"""),1.05)</f>
        <v>1.05</v>
      </c>
      <c r="F188" s="1">
        <f>IFERROR(__xludf.DUMMYFUNCTION("""COMPUTED_VALUE"""),1224292.0)</f>
        <v>1224292</v>
      </c>
    </row>
    <row r="189">
      <c r="A189" s="2">
        <f>IFERROR(__xludf.DUMMYFUNCTION("""COMPUTED_VALUE"""),40480.666666666664)</f>
        <v>40480.66667</v>
      </c>
      <c r="B189" s="1">
        <f>IFERROR(__xludf.DUMMYFUNCTION("""COMPUTED_VALUE"""),1.07)</f>
        <v>1.07</v>
      </c>
      <c r="C189" s="1">
        <f>IFERROR(__xludf.DUMMYFUNCTION("""COMPUTED_VALUE"""),1.16)</f>
        <v>1.16</v>
      </c>
      <c r="D189" s="1">
        <f>IFERROR(__xludf.DUMMYFUNCTION("""COMPUTED_VALUE"""),1.02)</f>
        <v>1.02</v>
      </c>
      <c r="E189" s="1">
        <f>IFERROR(__xludf.DUMMYFUNCTION("""COMPUTED_VALUE"""),1.11)</f>
        <v>1.11</v>
      </c>
      <c r="F189" s="1">
        <f>IFERROR(__xludf.DUMMYFUNCTION("""COMPUTED_VALUE"""),1236928.0)</f>
        <v>1236928</v>
      </c>
    </row>
    <row r="190">
      <c r="A190" s="2">
        <f>IFERROR(__xludf.DUMMYFUNCTION("""COMPUTED_VALUE"""),40487.666666666664)</f>
        <v>40487.66667</v>
      </c>
      <c r="B190" s="1">
        <f>IFERROR(__xludf.DUMMYFUNCTION("""COMPUTED_VALUE"""),1.12)</f>
        <v>1.12</v>
      </c>
      <c r="C190" s="1">
        <f>IFERROR(__xludf.DUMMYFUNCTION("""COMPUTED_VALUE"""),1.18)</f>
        <v>1.18</v>
      </c>
      <c r="D190" s="1">
        <f>IFERROR(__xludf.DUMMYFUNCTION("""COMPUTED_VALUE"""),1.09)</f>
        <v>1.09</v>
      </c>
      <c r="E190" s="1">
        <f>IFERROR(__xludf.DUMMYFUNCTION("""COMPUTED_VALUE"""),1.14)</f>
        <v>1.14</v>
      </c>
      <c r="F190" s="1">
        <f>IFERROR(__xludf.DUMMYFUNCTION("""COMPUTED_VALUE"""),876684.0)</f>
        <v>876684</v>
      </c>
    </row>
    <row r="191">
      <c r="A191" s="2">
        <f>IFERROR(__xludf.DUMMYFUNCTION("""COMPUTED_VALUE"""),40494.666666666664)</f>
        <v>40494.66667</v>
      </c>
      <c r="B191" s="1">
        <f>IFERROR(__xludf.DUMMYFUNCTION("""COMPUTED_VALUE"""),1.14)</f>
        <v>1.14</v>
      </c>
      <c r="C191" s="1">
        <f>IFERROR(__xludf.DUMMYFUNCTION("""COMPUTED_VALUE"""),1.15)</f>
        <v>1.15</v>
      </c>
      <c r="D191" s="1">
        <f>IFERROR(__xludf.DUMMYFUNCTION("""COMPUTED_VALUE"""),1.06)</f>
        <v>1.06</v>
      </c>
      <c r="E191" s="1">
        <f>IFERROR(__xludf.DUMMYFUNCTION("""COMPUTED_VALUE"""),1.06)</f>
        <v>1.06</v>
      </c>
      <c r="F191" s="1">
        <f>IFERROR(__xludf.DUMMYFUNCTION("""COMPUTED_VALUE"""),709312.0)</f>
        <v>709312</v>
      </c>
    </row>
    <row r="192">
      <c r="A192" s="2">
        <f>IFERROR(__xludf.DUMMYFUNCTION("""COMPUTED_VALUE"""),40501.666666666664)</f>
        <v>40501.66667</v>
      </c>
      <c r="B192" s="1">
        <f>IFERROR(__xludf.DUMMYFUNCTION("""COMPUTED_VALUE"""),1.07)</f>
        <v>1.07</v>
      </c>
      <c r="C192" s="1">
        <f>IFERROR(__xludf.DUMMYFUNCTION("""COMPUTED_VALUE"""),1.09)</f>
        <v>1.09</v>
      </c>
      <c r="D192" s="1">
        <f>IFERROR(__xludf.DUMMYFUNCTION("""COMPUTED_VALUE"""),1.01)</f>
        <v>1.01</v>
      </c>
      <c r="E192" s="1">
        <f>IFERROR(__xludf.DUMMYFUNCTION("""COMPUTED_VALUE"""),1.03)</f>
        <v>1.03</v>
      </c>
      <c r="F192" s="1">
        <f>IFERROR(__xludf.DUMMYFUNCTION("""COMPUTED_VALUE"""),870333.0)</f>
        <v>870333</v>
      </c>
    </row>
    <row r="193">
      <c r="A193" s="2">
        <f>IFERROR(__xludf.DUMMYFUNCTION("""COMPUTED_VALUE"""),40508.666666666664)</f>
        <v>40508.66667</v>
      </c>
      <c r="B193" s="1">
        <f>IFERROR(__xludf.DUMMYFUNCTION("""COMPUTED_VALUE"""),1.02)</f>
        <v>1.02</v>
      </c>
      <c r="C193" s="1">
        <f>IFERROR(__xludf.DUMMYFUNCTION("""COMPUTED_VALUE"""),1.07)</f>
        <v>1.07</v>
      </c>
      <c r="D193" s="1">
        <f>IFERROR(__xludf.DUMMYFUNCTION("""COMPUTED_VALUE"""),1.02)</f>
        <v>1.02</v>
      </c>
      <c r="E193" s="1">
        <f>IFERROR(__xludf.DUMMYFUNCTION("""COMPUTED_VALUE"""),1.05)</f>
        <v>1.05</v>
      </c>
      <c r="F193" s="1">
        <f>IFERROR(__xludf.DUMMYFUNCTION("""COMPUTED_VALUE"""),396260.0)</f>
        <v>396260</v>
      </c>
    </row>
    <row r="194">
      <c r="A194" s="2">
        <f>IFERROR(__xludf.DUMMYFUNCTION("""COMPUTED_VALUE"""),40515.666666666664)</f>
        <v>40515.66667</v>
      </c>
      <c r="B194" s="1">
        <f>IFERROR(__xludf.DUMMYFUNCTION("""COMPUTED_VALUE"""),1.04)</f>
        <v>1.04</v>
      </c>
      <c r="C194" s="1">
        <f>IFERROR(__xludf.DUMMYFUNCTION("""COMPUTED_VALUE"""),1.11)</f>
        <v>1.11</v>
      </c>
      <c r="D194" s="1">
        <f>IFERROR(__xludf.DUMMYFUNCTION("""COMPUTED_VALUE"""),1.01)</f>
        <v>1.01</v>
      </c>
      <c r="E194" s="1">
        <f>IFERROR(__xludf.DUMMYFUNCTION("""COMPUTED_VALUE"""),1.11)</f>
        <v>1.11</v>
      </c>
      <c r="F194" s="1">
        <f>IFERROR(__xludf.DUMMYFUNCTION("""COMPUTED_VALUE"""),592129.0)</f>
        <v>592129</v>
      </c>
    </row>
    <row r="195">
      <c r="A195" s="2">
        <f>IFERROR(__xludf.DUMMYFUNCTION("""COMPUTED_VALUE"""),40522.666666666664)</f>
        <v>40522.66667</v>
      </c>
      <c r="B195" s="1">
        <f>IFERROR(__xludf.DUMMYFUNCTION("""COMPUTED_VALUE"""),1.1)</f>
        <v>1.1</v>
      </c>
      <c r="C195" s="1">
        <f>IFERROR(__xludf.DUMMYFUNCTION("""COMPUTED_VALUE"""),1.21)</f>
        <v>1.21</v>
      </c>
      <c r="D195" s="1">
        <f>IFERROR(__xludf.DUMMYFUNCTION("""COMPUTED_VALUE"""),1.09)</f>
        <v>1.09</v>
      </c>
      <c r="E195" s="1">
        <f>IFERROR(__xludf.DUMMYFUNCTION("""COMPUTED_VALUE"""),1.2)</f>
        <v>1.2</v>
      </c>
      <c r="F195" s="1">
        <f>IFERROR(__xludf.DUMMYFUNCTION("""COMPUTED_VALUE"""),862865.0)</f>
        <v>862865</v>
      </c>
    </row>
    <row r="196">
      <c r="A196" s="2">
        <f>IFERROR(__xludf.DUMMYFUNCTION("""COMPUTED_VALUE"""),40529.666666666664)</f>
        <v>40529.66667</v>
      </c>
      <c r="B196" s="1">
        <f>IFERROR(__xludf.DUMMYFUNCTION("""COMPUTED_VALUE"""),1.21)</f>
        <v>1.21</v>
      </c>
      <c r="C196" s="1">
        <f>IFERROR(__xludf.DUMMYFUNCTION("""COMPUTED_VALUE"""),1.22)</f>
        <v>1.22</v>
      </c>
      <c r="D196" s="1">
        <f>IFERROR(__xludf.DUMMYFUNCTION("""COMPUTED_VALUE"""),1.14)</f>
        <v>1.14</v>
      </c>
      <c r="E196" s="1">
        <f>IFERROR(__xludf.DUMMYFUNCTION("""COMPUTED_VALUE"""),1.15)</f>
        <v>1.15</v>
      </c>
      <c r="F196" s="1">
        <f>IFERROR(__xludf.DUMMYFUNCTION("""COMPUTED_VALUE"""),910603.0)</f>
        <v>910603</v>
      </c>
    </row>
    <row r="197">
      <c r="A197" s="2">
        <f>IFERROR(__xludf.DUMMYFUNCTION("""COMPUTED_VALUE"""),40535.666666666664)</f>
        <v>40535.66667</v>
      </c>
      <c r="B197" s="1">
        <f>IFERROR(__xludf.DUMMYFUNCTION("""COMPUTED_VALUE"""),1.15)</f>
        <v>1.15</v>
      </c>
      <c r="C197" s="1">
        <f>IFERROR(__xludf.DUMMYFUNCTION("""COMPUTED_VALUE"""),1.19)</f>
        <v>1.19</v>
      </c>
      <c r="D197" s="1">
        <f>IFERROR(__xludf.DUMMYFUNCTION("""COMPUTED_VALUE"""),1.13)</f>
        <v>1.13</v>
      </c>
      <c r="E197" s="1">
        <f>IFERROR(__xludf.DUMMYFUNCTION("""COMPUTED_VALUE"""),1.15)</f>
        <v>1.15</v>
      </c>
      <c r="F197" s="1">
        <f>IFERROR(__xludf.DUMMYFUNCTION("""COMPUTED_VALUE"""),472785.0)</f>
        <v>472785</v>
      </c>
    </row>
    <row r="198">
      <c r="A198" s="2">
        <f>IFERROR(__xludf.DUMMYFUNCTION("""COMPUTED_VALUE"""),40543.666666666664)</f>
        <v>40543.66667</v>
      </c>
      <c r="B198" s="1">
        <f>IFERROR(__xludf.DUMMYFUNCTION("""COMPUTED_VALUE"""),1.14)</f>
        <v>1.14</v>
      </c>
      <c r="C198" s="1">
        <f>IFERROR(__xludf.DUMMYFUNCTION("""COMPUTED_VALUE"""),1.18)</f>
        <v>1.18</v>
      </c>
      <c r="D198" s="1">
        <f>IFERROR(__xludf.DUMMYFUNCTION("""COMPUTED_VALUE"""),1.13)</f>
        <v>1.13</v>
      </c>
      <c r="E198" s="1">
        <f>IFERROR(__xludf.DUMMYFUNCTION("""COMPUTED_VALUE"""),1.15)</f>
        <v>1.15</v>
      </c>
      <c r="F198" s="1">
        <f>IFERROR(__xludf.DUMMYFUNCTION("""COMPUTED_VALUE"""),365476.0)</f>
        <v>365476</v>
      </c>
    </row>
    <row r="199">
      <c r="A199" s="2">
        <f>IFERROR(__xludf.DUMMYFUNCTION("""COMPUTED_VALUE"""),40550.666666666664)</f>
        <v>40550.66667</v>
      </c>
      <c r="B199" s="1">
        <f>IFERROR(__xludf.DUMMYFUNCTION("""COMPUTED_VALUE"""),1.17)</f>
        <v>1.17</v>
      </c>
      <c r="C199" s="1">
        <f>IFERROR(__xludf.DUMMYFUNCTION("""COMPUTED_VALUE"""),1.2)</f>
        <v>1.2</v>
      </c>
      <c r="D199" s="1">
        <f>IFERROR(__xludf.DUMMYFUNCTION("""COMPUTED_VALUE"""),1.14)</f>
        <v>1.14</v>
      </c>
      <c r="E199" s="1">
        <f>IFERROR(__xludf.DUMMYFUNCTION("""COMPUTED_VALUE"""),1.18)</f>
        <v>1.18</v>
      </c>
      <c r="F199" s="1">
        <f>IFERROR(__xludf.DUMMYFUNCTION("""COMPUTED_VALUE"""),483394.0)</f>
        <v>483394</v>
      </c>
    </row>
    <row r="200">
      <c r="A200" s="2">
        <f>IFERROR(__xludf.DUMMYFUNCTION("""COMPUTED_VALUE"""),40557.666666666664)</f>
        <v>40557.66667</v>
      </c>
      <c r="B200" s="1">
        <f>IFERROR(__xludf.DUMMYFUNCTION("""COMPUTED_VALUE"""),1.18)</f>
        <v>1.18</v>
      </c>
      <c r="C200" s="1">
        <f>IFERROR(__xludf.DUMMYFUNCTION("""COMPUTED_VALUE"""),1.32)</f>
        <v>1.32</v>
      </c>
      <c r="D200" s="1">
        <f>IFERROR(__xludf.DUMMYFUNCTION("""COMPUTED_VALUE"""),1.17)</f>
        <v>1.17</v>
      </c>
      <c r="E200" s="1">
        <f>IFERROR(__xludf.DUMMYFUNCTION("""COMPUTED_VALUE"""),1.32)</f>
        <v>1.32</v>
      </c>
      <c r="F200" s="1">
        <f>IFERROR(__xludf.DUMMYFUNCTION("""COMPUTED_VALUE"""),540126.0)</f>
        <v>540126</v>
      </c>
    </row>
    <row r="201">
      <c r="A201" s="2">
        <f>IFERROR(__xludf.DUMMYFUNCTION("""COMPUTED_VALUE"""),40564.666666666664)</f>
        <v>40564.66667</v>
      </c>
      <c r="B201" s="1">
        <f>IFERROR(__xludf.DUMMYFUNCTION("""COMPUTED_VALUE"""),1.32)</f>
        <v>1.32</v>
      </c>
      <c r="C201" s="1">
        <f>IFERROR(__xludf.DUMMYFUNCTION("""COMPUTED_VALUE"""),1.33)</f>
        <v>1.33</v>
      </c>
      <c r="D201" s="1">
        <f>IFERROR(__xludf.DUMMYFUNCTION("""COMPUTED_VALUE"""),1.24)</f>
        <v>1.24</v>
      </c>
      <c r="E201" s="1">
        <f>IFERROR(__xludf.DUMMYFUNCTION("""COMPUTED_VALUE"""),1.27)</f>
        <v>1.27</v>
      </c>
      <c r="F201" s="1">
        <f>IFERROR(__xludf.DUMMYFUNCTION("""COMPUTED_VALUE"""),686763.0)</f>
        <v>686763</v>
      </c>
    </row>
    <row r="202">
      <c r="A202" s="2">
        <f>IFERROR(__xludf.DUMMYFUNCTION("""COMPUTED_VALUE"""),40571.666666666664)</f>
        <v>40571.66667</v>
      </c>
      <c r="B202" s="1">
        <f>IFERROR(__xludf.DUMMYFUNCTION("""COMPUTED_VALUE"""),1.27)</f>
        <v>1.27</v>
      </c>
      <c r="C202" s="1">
        <f>IFERROR(__xludf.DUMMYFUNCTION("""COMPUTED_VALUE"""),1.46)</f>
        <v>1.46</v>
      </c>
      <c r="D202" s="1">
        <f>IFERROR(__xludf.DUMMYFUNCTION("""COMPUTED_VALUE"""),1.27)</f>
        <v>1.27</v>
      </c>
      <c r="E202" s="1">
        <f>IFERROR(__xludf.DUMMYFUNCTION("""COMPUTED_VALUE"""),1.43)</f>
        <v>1.43</v>
      </c>
      <c r="F202" s="1">
        <f>IFERROR(__xludf.DUMMYFUNCTION("""COMPUTED_VALUE"""),1608478.0)</f>
        <v>1608478</v>
      </c>
    </row>
    <row r="203">
      <c r="A203" s="2">
        <f>IFERROR(__xludf.DUMMYFUNCTION("""COMPUTED_VALUE"""),40578.666666666664)</f>
        <v>40578.66667</v>
      </c>
      <c r="B203" s="1">
        <f>IFERROR(__xludf.DUMMYFUNCTION("""COMPUTED_VALUE"""),1.44)</f>
        <v>1.44</v>
      </c>
      <c r="C203" s="1">
        <f>IFERROR(__xludf.DUMMYFUNCTION("""COMPUTED_VALUE"""),1.56)</f>
        <v>1.56</v>
      </c>
      <c r="D203" s="1">
        <f>IFERROR(__xludf.DUMMYFUNCTION("""COMPUTED_VALUE"""),1.39)</f>
        <v>1.39</v>
      </c>
      <c r="E203" s="1">
        <f>IFERROR(__xludf.DUMMYFUNCTION("""COMPUTED_VALUE"""),1.5)</f>
        <v>1.5</v>
      </c>
      <c r="F203" s="1">
        <f>IFERROR(__xludf.DUMMYFUNCTION("""COMPUTED_VALUE"""),1643364.0)</f>
        <v>1643364</v>
      </c>
    </row>
    <row r="204">
      <c r="A204" s="2">
        <f>IFERROR(__xludf.DUMMYFUNCTION("""COMPUTED_VALUE"""),40585.666666666664)</f>
        <v>40585.66667</v>
      </c>
      <c r="B204" s="1">
        <f>IFERROR(__xludf.DUMMYFUNCTION("""COMPUTED_VALUE"""),1.51)</f>
        <v>1.51</v>
      </c>
      <c r="C204" s="1">
        <f>IFERROR(__xludf.DUMMYFUNCTION("""COMPUTED_VALUE"""),1.61)</f>
        <v>1.61</v>
      </c>
      <c r="D204" s="1">
        <f>IFERROR(__xludf.DUMMYFUNCTION("""COMPUTED_VALUE"""),1.51)</f>
        <v>1.51</v>
      </c>
      <c r="E204" s="1">
        <f>IFERROR(__xludf.DUMMYFUNCTION("""COMPUTED_VALUE"""),1.58)</f>
        <v>1.58</v>
      </c>
      <c r="F204" s="1">
        <f>IFERROR(__xludf.DUMMYFUNCTION("""COMPUTED_VALUE"""),1208934.0)</f>
        <v>1208934</v>
      </c>
    </row>
    <row r="205">
      <c r="A205" s="2">
        <f>IFERROR(__xludf.DUMMYFUNCTION("""COMPUTED_VALUE"""),40592.666666666664)</f>
        <v>40592.66667</v>
      </c>
      <c r="B205" s="1">
        <f>IFERROR(__xludf.DUMMYFUNCTION("""COMPUTED_VALUE"""),1.59)</f>
        <v>1.59</v>
      </c>
      <c r="C205" s="1">
        <f>IFERROR(__xludf.DUMMYFUNCTION("""COMPUTED_VALUE"""),1.6)</f>
        <v>1.6</v>
      </c>
      <c r="D205" s="1">
        <f>IFERROR(__xludf.DUMMYFUNCTION("""COMPUTED_VALUE"""),1.43)</f>
        <v>1.43</v>
      </c>
      <c r="E205" s="1">
        <f>IFERROR(__xludf.DUMMYFUNCTION("""COMPUTED_VALUE"""),1.5)</f>
        <v>1.5</v>
      </c>
      <c r="F205" s="1">
        <f>IFERROR(__xludf.DUMMYFUNCTION("""COMPUTED_VALUE"""),1768845.0)</f>
        <v>1768845</v>
      </c>
    </row>
    <row r="206">
      <c r="A206" s="2">
        <f>IFERROR(__xludf.DUMMYFUNCTION("""COMPUTED_VALUE"""),40599.666666666664)</f>
        <v>40599.66667</v>
      </c>
      <c r="B206" s="1">
        <f>IFERROR(__xludf.DUMMYFUNCTION("""COMPUTED_VALUE"""),1.46)</f>
        <v>1.46</v>
      </c>
      <c r="C206" s="1">
        <f>IFERROR(__xludf.DUMMYFUNCTION("""COMPUTED_VALUE"""),1.54)</f>
        <v>1.54</v>
      </c>
      <c r="D206" s="1">
        <f>IFERROR(__xludf.DUMMYFUNCTION("""COMPUTED_VALUE"""),1.4)</f>
        <v>1.4</v>
      </c>
      <c r="E206" s="1">
        <f>IFERROR(__xludf.DUMMYFUNCTION("""COMPUTED_VALUE"""),1.52)</f>
        <v>1.52</v>
      </c>
      <c r="F206" s="1">
        <f>IFERROR(__xludf.DUMMYFUNCTION("""COMPUTED_VALUE"""),1122867.0)</f>
        <v>1122867</v>
      </c>
    </row>
    <row r="207">
      <c r="A207" s="2">
        <f>IFERROR(__xludf.DUMMYFUNCTION("""COMPUTED_VALUE"""),40606.666666666664)</f>
        <v>40606.66667</v>
      </c>
      <c r="B207" s="1">
        <f>IFERROR(__xludf.DUMMYFUNCTION("""COMPUTED_VALUE"""),1.53)</f>
        <v>1.53</v>
      </c>
      <c r="C207" s="1">
        <f>IFERROR(__xludf.DUMMYFUNCTION("""COMPUTED_VALUE"""),1.58)</f>
        <v>1.58</v>
      </c>
      <c r="D207" s="1">
        <f>IFERROR(__xludf.DUMMYFUNCTION("""COMPUTED_VALUE"""),1.49)</f>
        <v>1.49</v>
      </c>
      <c r="E207" s="1">
        <f>IFERROR(__xludf.DUMMYFUNCTION("""COMPUTED_VALUE"""),1.57)</f>
        <v>1.57</v>
      </c>
      <c r="F207" s="1">
        <f>IFERROR(__xludf.DUMMYFUNCTION("""COMPUTED_VALUE"""),939076.0)</f>
        <v>939076</v>
      </c>
    </row>
    <row r="208">
      <c r="A208" s="2">
        <f>IFERROR(__xludf.DUMMYFUNCTION("""COMPUTED_VALUE"""),40613.666666666664)</f>
        <v>40613.66667</v>
      </c>
      <c r="B208" s="1">
        <f>IFERROR(__xludf.DUMMYFUNCTION("""COMPUTED_VALUE"""),1.57)</f>
        <v>1.57</v>
      </c>
      <c r="C208" s="1">
        <f>IFERROR(__xludf.DUMMYFUNCTION("""COMPUTED_VALUE"""),1.59)</f>
        <v>1.59</v>
      </c>
      <c r="D208" s="1">
        <f>IFERROR(__xludf.DUMMYFUNCTION("""COMPUTED_VALUE"""),1.47)</f>
        <v>1.47</v>
      </c>
      <c r="E208" s="1">
        <f>IFERROR(__xludf.DUMMYFUNCTION("""COMPUTED_VALUE"""),1.47)</f>
        <v>1.47</v>
      </c>
      <c r="F208" s="1">
        <f>IFERROR(__xludf.DUMMYFUNCTION("""COMPUTED_VALUE"""),722181.0)</f>
        <v>722181</v>
      </c>
    </row>
    <row r="209">
      <c r="A209" s="2">
        <f>IFERROR(__xludf.DUMMYFUNCTION("""COMPUTED_VALUE"""),40620.666666666664)</f>
        <v>40620.66667</v>
      </c>
      <c r="B209" s="1">
        <f>IFERROR(__xludf.DUMMYFUNCTION("""COMPUTED_VALUE"""),1.46)</f>
        <v>1.46</v>
      </c>
      <c r="C209" s="1">
        <f>IFERROR(__xludf.DUMMYFUNCTION("""COMPUTED_VALUE"""),1.48)</f>
        <v>1.48</v>
      </c>
      <c r="D209" s="1">
        <f>IFERROR(__xludf.DUMMYFUNCTION("""COMPUTED_VALUE"""),1.33)</f>
        <v>1.33</v>
      </c>
      <c r="E209" s="1">
        <f>IFERROR(__xludf.DUMMYFUNCTION("""COMPUTED_VALUE"""),1.48)</f>
        <v>1.48</v>
      </c>
      <c r="F209" s="1">
        <f>IFERROR(__xludf.DUMMYFUNCTION("""COMPUTED_VALUE"""),952808.0)</f>
        <v>952808</v>
      </c>
    </row>
    <row r="210">
      <c r="A210" s="2">
        <f>IFERROR(__xludf.DUMMYFUNCTION("""COMPUTED_VALUE"""),40627.666666666664)</f>
        <v>40627.66667</v>
      </c>
      <c r="B210" s="1">
        <f>IFERROR(__xludf.DUMMYFUNCTION("""COMPUTED_VALUE"""),1.5)</f>
        <v>1.5</v>
      </c>
      <c r="C210" s="1">
        <f>IFERROR(__xludf.DUMMYFUNCTION("""COMPUTED_VALUE"""),1.57)</f>
        <v>1.57</v>
      </c>
      <c r="D210" s="1">
        <f>IFERROR(__xludf.DUMMYFUNCTION("""COMPUTED_VALUE"""),1.49)</f>
        <v>1.49</v>
      </c>
      <c r="E210" s="1">
        <f>IFERROR(__xludf.DUMMYFUNCTION("""COMPUTED_VALUE"""),1.57)</f>
        <v>1.57</v>
      </c>
      <c r="F210" s="1">
        <f>IFERROR(__xludf.DUMMYFUNCTION("""COMPUTED_VALUE"""),741485.0)</f>
        <v>741485</v>
      </c>
    </row>
    <row r="211">
      <c r="A211" s="2">
        <f>IFERROR(__xludf.DUMMYFUNCTION("""COMPUTED_VALUE"""),40634.666666666664)</f>
        <v>40634.66667</v>
      </c>
      <c r="B211" s="1">
        <f>IFERROR(__xludf.DUMMYFUNCTION("""COMPUTED_VALUE"""),1.57)</f>
        <v>1.57</v>
      </c>
      <c r="C211" s="1">
        <f>IFERROR(__xludf.DUMMYFUNCTION("""COMPUTED_VALUE"""),1.69)</f>
        <v>1.69</v>
      </c>
      <c r="D211" s="1">
        <f>IFERROR(__xludf.DUMMYFUNCTION("""COMPUTED_VALUE"""),1.53)</f>
        <v>1.53</v>
      </c>
      <c r="E211" s="1">
        <f>IFERROR(__xludf.DUMMYFUNCTION("""COMPUTED_VALUE"""),1.62)</f>
        <v>1.62</v>
      </c>
      <c r="F211" s="1">
        <f>IFERROR(__xludf.DUMMYFUNCTION("""COMPUTED_VALUE"""),856289.0)</f>
        <v>856289</v>
      </c>
    </row>
    <row r="212">
      <c r="A212" s="2">
        <f>IFERROR(__xludf.DUMMYFUNCTION("""COMPUTED_VALUE"""),40641.666666666664)</f>
        <v>40641.66667</v>
      </c>
      <c r="B212" s="1">
        <f>IFERROR(__xludf.DUMMYFUNCTION("""COMPUTED_VALUE"""),1.63)</f>
        <v>1.63</v>
      </c>
      <c r="C212" s="1">
        <f>IFERROR(__xludf.DUMMYFUNCTION("""COMPUTED_VALUE"""),1.68)</f>
        <v>1.68</v>
      </c>
      <c r="D212" s="1">
        <f>IFERROR(__xludf.DUMMYFUNCTION("""COMPUTED_VALUE"""),1.61)</f>
        <v>1.61</v>
      </c>
      <c r="E212" s="1">
        <f>IFERROR(__xludf.DUMMYFUNCTION("""COMPUTED_VALUE"""),1.61)</f>
        <v>1.61</v>
      </c>
      <c r="F212" s="1">
        <f>IFERROR(__xludf.DUMMYFUNCTION("""COMPUTED_VALUE"""),563274.0)</f>
        <v>563274</v>
      </c>
    </row>
    <row r="213">
      <c r="A213" s="2">
        <f>IFERROR(__xludf.DUMMYFUNCTION("""COMPUTED_VALUE"""),40648.666666666664)</f>
        <v>40648.66667</v>
      </c>
      <c r="B213" s="1">
        <f>IFERROR(__xludf.DUMMYFUNCTION("""COMPUTED_VALUE"""),1.61)</f>
        <v>1.61</v>
      </c>
      <c r="C213" s="1">
        <f>IFERROR(__xludf.DUMMYFUNCTION("""COMPUTED_VALUE"""),1.61)</f>
        <v>1.61</v>
      </c>
      <c r="D213" s="1">
        <f>IFERROR(__xludf.DUMMYFUNCTION("""COMPUTED_VALUE"""),1.5)</f>
        <v>1.5</v>
      </c>
      <c r="E213" s="1">
        <f>IFERROR(__xludf.DUMMYFUNCTION("""COMPUTED_VALUE"""),1.57)</f>
        <v>1.57</v>
      </c>
      <c r="F213" s="1">
        <f>IFERROR(__xludf.DUMMYFUNCTION("""COMPUTED_VALUE"""),470916.0)</f>
        <v>470916</v>
      </c>
    </row>
    <row r="214">
      <c r="A214" s="2">
        <f>IFERROR(__xludf.DUMMYFUNCTION("""COMPUTED_VALUE"""),40654.666666666664)</f>
        <v>40654.66667</v>
      </c>
      <c r="B214" s="1">
        <f>IFERROR(__xludf.DUMMYFUNCTION("""COMPUTED_VALUE"""),1.55)</f>
        <v>1.55</v>
      </c>
      <c r="C214" s="1">
        <f>IFERROR(__xludf.DUMMYFUNCTION("""COMPUTED_VALUE"""),1.7)</f>
        <v>1.7</v>
      </c>
      <c r="D214" s="1">
        <f>IFERROR(__xludf.DUMMYFUNCTION("""COMPUTED_VALUE"""),1.52)</f>
        <v>1.52</v>
      </c>
      <c r="E214" s="1">
        <f>IFERROR(__xludf.DUMMYFUNCTION("""COMPUTED_VALUE"""),1.7)</f>
        <v>1.7</v>
      </c>
      <c r="F214" s="1">
        <f>IFERROR(__xludf.DUMMYFUNCTION("""COMPUTED_VALUE"""),588263.0)</f>
        <v>588263</v>
      </c>
    </row>
    <row r="215">
      <c r="A215" s="2">
        <f>IFERROR(__xludf.DUMMYFUNCTION("""COMPUTED_VALUE"""),40662.666666666664)</f>
        <v>40662.66667</v>
      </c>
      <c r="B215" s="1">
        <f>IFERROR(__xludf.DUMMYFUNCTION("""COMPUTED_VALUE"""),1.75)</f>
        <v>1.75</v>
      </c>
      <c r="C215" s="1">
        <f>IFERROR(__xludf.DUMMYFUNCTION("""COMPUTED_VALUE"""),1.93)</f>
        <v>1.93</v>
      </c>
      <c r="D215" s="1">
        <f>IFERROR(__xludf.DUMMYFUNCTION("""COMPUTED_VALUE"""),1.58)</f>
        <v>1.58</v>
      </c>
      <c r="E215" s="1">
        <f>IFERROR(__xludf.DUMMYFUNCTION("""COMPUTED_VALUE"""),1.71)</f>
        <v>1.71</v>
      </c>
      <c r="F215" s="1">
        <f>IFERROR(__xludf.DUMMYFUNCTION("""COMPUTED_VALUE"""),2426918.0)</f>
        <v>2426918</v>
      </c>
    </row>
    <row r="216">
      <c r="A216" s="2">
        <f>IFERROR(__xludf.DUMMYFUNCTION("""COMPUTED_VALUE"""),40669.666666666664)</f>
        <v>40669.66667</v>
      </c>
      <c r="B216" s="1">
        <f>IFERROR(__xludf.DUMMYFUNCTION("""COMPUTED_VALUE"""),1.7)</f>
        <v>1.7</v>
      </c>
      <c r="C216" s="1">
        <f>IFERROR(__xludf.DUMMYFUNCTION("""COMPUTED_VALUE"""),1.73)</f>
        <v>1.73</v>
      </c>
      <c r="D216" s="1">
        <f>IFERROR(__xludf.DUMMYFUNCTION("""COMPUTED_VALUE"""),1.56)</f>
        <v>1.56</v>
      </c>
      <c r="E216" s="1">
        <f>IFERROR(__xludf.DUMMYFUNCTION("""COMPUTED_VALUE"""),1.61)</f>
        <v>1.61</v>
      </c>
      <c r="F216" s="1">
        <f>IFERROR(__xludf.DUMMYFUNCTION("""COMPUTED_VALUE"""),1219708.0)</f>
        <v>1219708</v>
      </c>
    </row>
    <row r="217">
      <c r="A217" s="2">
        <f>IFERROR(__xludf.DUMMYFUNCTION("""COMPUTED_VALUE"""),40676.666666666664)</f>
        <v>40676.66667</v>
      </c>
      <c r="B217" s="1">
        <f>IFERROR(__xludf.DUMMYFUNCTION("""COMPUTED_VALUE"""),1.61)</f>
        <v>1.61</v>
      </c>
      <c r="C217" s="1">
        <f>IFERROR(__xludf.DUMMYFUNCTION("""COMPUTED_VALUE"""),1.71)</f>
        <v>1.71</v>
      </c>
      <c r="D217" s="1">
        <f>IFERROR(__xludf.DUMMYFUNCTION("""COMPUTED_VALUE"""),1.59)</f>
        <v>1.59</v>
      </c>
      <c r="E217" s="1">
        <f>IFERROR(__xludf.DUMMYFUNCTION("""COMPUTED_VALUE"""),1.69)</f>
        <v>1.69</v>
      </c>
      <c r="F217" s="1">
        <f>IFERROR(__xludf.DUMMYFUNCTION("""COMPUTED_VALUE"""),1022168.0)</f>
        <v>1022168</v>
      </c>
    </row>
    <row r="218">
      <c r="A218" s="2">
        <f>IFERROR(__xludf.DUMMYFUNCTION("""COMPUTED_VALUE"""),40683.666666666664)</f>
        <v>40683.66667</v>
      </c>
      <c r="B218" s="1">
        <f>IFERROR(__xludf.DUMMYFUNCTION("""COMPUTED_VALUE"""),1.67)</f>
        <v>1.67</v>
      </c>
      <c r="C218" s="1">
        <f>IFERROR(__xludf.DUMMYFUNCTION("""COMPUTED_VALUE"""),1.7)</f>
        <v>1.7</v>
      </c>
      <c r="D218" s="1">
        <f>IFERROR(__xludf.DUMMYFUNCTION("""COMPUTED_VALUE"""),1.58)</f>
        <v>1.58</v>
      </c>
      <c r="E218" s="1">
        <f>IFERROR(__xludf.DUMMYFUNCTION("""COMPUTED_VALUE"""),1.68)</f>
        <v>1.68</v>
      </c>
      <c r="F218" s="1">
        <f>IFERROR(__xludf.DUMMYFUNCTION("""COMPUTED_VALUE"""),1035675.0)</f>
        <v>1035675</v>
      </c>
    </row>
    <row r="219">
      <c r="A219" s="2">
        <f>IFERROR(__xludf.DUMMYFUNCTION("""COMPUTED_VALUE"""),40690.666666666664)</f>
        <v>40690.66667</v>
      </c>
      <c r="B219" s="1">
        <f>IFERROR(__xludf.DUMMYFUNCTION("""COMPUTED_VALUE"""),1.64)</f>
        <v>1.64</v>
      </c>
      <c r="C219" s="1">
        <f>IFERROR(__xludf.DUMMYFUNCTION("""COMPUTED_VALUE"""),1.68)</f>
        <v>1.68</v>
      </c>
      <c r="D219" s="1">
        <f>IFERROR(__xludf.DUMMYFUNCTION("""COMPUTED_VALUE"""),1.6)</f>
        <v>1.6</v>
      </c>
      <c r="E219" s="1">
        <f>IFERROR(__xludf.DUMMYFUNCTION("""COMPUTED_VALUE"""),1.66)</f>
        <v>1.66</v>
      </c>
      <c r="F219" s="1">
        <f>IFERROR(__xludf.DUMMYFUNCTION("""COMPUTED_VALUE"""),918806.0)</f>
        <v>918806</v>
      </c>
    </row>
    <row r="220">
      <c r="A220" s="2">
        <f>IFERROR(__xludf.DUMMYFUNCTION("""COMPUTED_VALUE"""),40697.666666666664)</f>
        <v>40697.66667</v>
      </c>
      <c r="B220" s="1">
        <f>IFERROR(__xludf.DUMMYFUNCTION("""COMPUTED_VALUE"""),1.67)</f>
        <v>1.67</v>
      </c>
      <c r="C220" s="1">
        <f>IFERROR(__xludf.DUMMYFUNCTION("""COMPUTED_VALUE"""),1.69)</f>
        <v>1.69</v>
      </c>
      <c r="D220" s="1">
        <f>IFERROR(__xludf.DUMMYFUNCTION("""COMPUTED_VALUE"""),1.6)</f>
        <v>1.6</v>
      </c>
      <c r="E220" s="1">
        <f>IFERROR(__xludf.DUMMYFUNCTION("""COMPUTED_VALUE"""),1.63)</f>
        <v>1.63</v>
      </c>
      <c r="F220" s="1">
        <f>IFERROR(__xludf.DUMMYFUNCTION("""COMPUTED_VALUE"""),691433.0)</f>
        <v>691433</v>
      </c>
    </row>
    <row r="221">
      <c r="A221" s="2">
        <f>IFERROR(__xludf.DUMMYFUNCTION("""COMPUTED_VALUE"""),40704.666666666664)</f>
        <v>40704.66667</v>
      </c>
      <c r="B221" s="1">
        <f>IFERROR(__xludf.DUMMYFUNCTION("""COMPUTED_VALUE"""),1.63)</f>
        <v>1.63</v>
      </c>
      <c r="C221" s="1">
        <f>IFERROR(__xludf.DUMMYFUNCTION("""COMPUTED_VALUE"""),1.64)</f>
        <v>1.64</v>
      </c>
      <c r="D221" s="1">
        <f>IFERROR(__xludf.DUMMYFUNCTION("""COMPUTED_VALUE"""),1.5)</f>
        <v>1.5</v>
      </c>
      <c r="E221" s="1">
        <f>IFERROR(__xludf.DUMMYFUNCTION("""COMPUTED_VALUE"""),1.53)</f>
        <v>1.53</v>
      </c>
      <c r="F221" s="1">
        <f>IFERROR(__xludf.DUMMYFUNCTION("""COMPUTED_VALUE"""),1340013.0)</f>
        <v>1340013</v>
      </c>
    </row>
    <row r="222">
      <c r="A222" s="2">
        <f>IFERROR(__xludf.DUMMYFUNCTION("""COMPUTED_VALUE"""),40711.666666666664)</f>
        <v>40711.66667</v>
      </c>
      <c r="B222" s="1">
        <f>IFERROR(__xludf.DUMMYFUNCTION("""COMPUTED_VALUE"""),1.55)</f>
        <v>1.55</v>
      </c>
      <c r="C222" s="1">
        <f>IFERROR(__xludf.DUMMYFUNCTION("""COMPUTED_VALUE"""),1.61)</f>
        <v>1.61</v>
      </c>
      <c r="D222" s="1">
        <f>IFERROR(__xludf.DUMMYFUNCTION("""COMPUTED_VALUE"""),1.55)</f>
        <v>1.55</v>
      </c>
      <c r="E222" s="1">
        <f>IFERROR(__xludf.DUMMYFUNCTION("""COMPUTED_VALUE"""),1.6)</f>
        <v>1.6</v>
      </c>
      <c r="F222" s="1">
        <f>IFERROR(__xludf.DUMMYFUNCTION("""COMPUTED_VALUE"""),666052.0)</f>
        <v>666052</v>
      </c>
    </row>
    <row r="223">
      <c r="A223" s="2">
        <f>IFERROR(__xludf.DUMMYFUNCTION("""COMPUTED_VALUE"""),40718.666666666664)</f>
        <v>40718.66667</v>
      </c>
      <c r="B223" s="1">
        <f>IFERROR(__xludf.DUMMYFUNCTION("""COMPUTED_VALUE"""),1.6)</f>
        <v>1.6</v>
      </c>
      <c r="C223" s="1">
        <f>IFERROR(__xludf.DUMMYFUNCTION("""COMPUTED_VALUE"""),1.67)</f>
        <v>1.67</v>
      </c>
      <c r="D223" s="1">
        <f>IFERROR(__xludf.DUMMYFUNCTION("""COMPUTED_VALUE"""),1.57)</f>
        <v>1.57</v>
      </c>
      <c r="E223" s="1">
        <f>IFERROR(__xludf.DUMMYFUNCTION("""COMPUTED_VALUE"""),1.65)</f>
        <v>1.65</v>
      </c>
      <c r="F223" s="1">
        <f>IFERROR(__xludf.DUMMYFUNCTION("""COMPUTED_VALUE"""),976869.0)</f>
        <v>976869</v>
      </c>
    </row>
    <row r="224">
      <c r="A224" s="2">
        <f>IFERROR(__xludf.DUMMYFUNCTION("""COMPUTED_VALUE"""),40725.666666666664)</f>
        <v>40725.66667</v>
      </c>
      <c r="B224" s="1">
        <f>IFERROR(__xludf.DUMMYFUNCTION("""COMPUTED_VALUE"""),1.65)</f>
        <v>1.65</v>
      </c>
      <c r="C224" s="1">
        <f>IFERROR(__xludf.DUMMYFUNCTION("""COMPUTED_VALUE"""),1.66)</f>
        <v>1.66</v>
      </c>
      <c r="D224" s="1">
        <f>IFERROR(__xludf.DUMMYFUNCTION("""COMPUTED_VALUE"""),1.57)</f>
        <v>1.57</v>
      </c>
      <c r="E224" s="1">
        <f>IFERROR(__xludf.DUMMYFUNCTION("""COMPUTED_VALUE"""),1.6)</f>
        <v>1.6</v>
      </c>
      <c r="F224" s="1">
        <f>IFERROR(__xludf.DUMMYFUNCTION("""COMPUTED_VALUE"""),760900.0)</f>
        <v>760900</v>
      </c>
    </row>
    <row r="225">
      <c r="A225" s="2">
        <f>IFERROR(__xludf.DUMMYFUNCTION("""COMPUTED_VALUE"""),40732.666666666664)</f>
        <v>40732.66667</v>
      </c>
      <c r="B225" s="1">
        <f>IFERROR(__xludf.DUMMYFUNCTION("""COMPUTED_VALUE"""),1.6)</f>
        <v>1.6</v>
      </c>
      <c r="C225" s="1">
        <f>IFERROR(__xludf.DUMMYFUNCTION("""COMPUTED_VALUE"""),1.64)</f>
        <v>1.64</v>
      </c>
      <c r="D225" s="1">
        <f>IFERROR(__xludf.DUMMYFUNCTION("""COMPUTED_VALUE"""),1.58)</f>
        <v>1.58</v>
      </c>
      <c r="E225" s="1">
        <f>IFERROR(__xludf.DUMMYFUNCTION("""COMPUTED_VALUE"""),1.64)</f>
        <v>1.64</v>
      </c>
      <c r="F225" s="1">
        <f>IFERROR(__xludf.DUMMYFUNCTION("""COMPUTED_VALUE"""),768697.0)</f>
        <v>768697</v>
      </c>
    </row>
    <row r="226">
      <c r="A226" s="2">
        <f>IFERROR(__xludf.DUMMYFUNCTION("""COMPUTED_VALUE"""),40739.666666666664)</f>
        <v>40739.66667</v>
      </c>
      <c r="B226" s="1">
        <f>IFERROR(__xludf.DUMMYFUNCTION("""COMPUTED_VALUE"""),1.62)</f>
        <v>1.62</v>
      </c>
      <c r="C226" s="1">
        <f>IFERROR(__xludf.DUMMYFUNCTION("""COMPUTED_VALUE"""),1.63)</f>
        <v>1.63</v>
      </c>
      <c r="D226" s="1">
        <f>IFERROR(__xludf.DUMMYFUNCTION("""COMPUTED_VALUE"""),1.56)</f>
        <v>1.56</v>
      </c>
      <c r="E226" s="1">
        <f>IFERROR(__xludf.DUMMYFUNCTION("""COMPUTED_VALUE"""),1.63)</f>
        <v>1.63</v>
      </c>
      <c r="F226" s="1">
        <f>IFERROR(__xludf.DUMMYFUNCTION("""COMPUTED_VALUE"""),989572.0)</f>
        <v>989572</v>
      </c>
    </row>
    <row r="227">
      <c r="A227" s="2">
        <f>IFERROR(__xludf.DUMMYFUNCTION("""COMPUTED_VALUE"""),40746.666666666664)</f>
        <v>40746.66667</v>
      </c>
      <c r="B227" s="1">
        <f>IFERROR(__xludf.DUMMYFUNCTION("""COMPUTED_VALUE"""),1.58)</f>
        <v>1.58</v>
      </c>
      <c r="C227" s="1">
        <f>IFERROR(__xludf.DUMMYFUNCTION("""COMPUTED_VALUE"""),1.61)</f>
        <v>1.61</v>
      </c>
      <c r="D227" s="1">
        <f>IFERROR(__xludf.DUMMYFUNCTION("""COMPUTED_VALUE"""),1.47)</f>
        <v>1.47</v>
      </c>
      <c r="E227" s="1">
        <f>IFERROR(__xludf.DUMMYFUNCTION("""COMPUTED_VALUE"""),1.5)</f>
        <v>1.5</v>
      </c>
      <c r="F227" s="1">
        <f>IFERROR(__xludf.DUMMYFUNCTION("""COMPUTED_VALUE"""),1211093.0)</f>
        <v>1211093</v>
      </c>
    </row>
    <row r="228">
      <c r="A228" s="2">
        <f>IFERROR(__xludf.DUMMYFUNCTION("""COMPUTED_VALUE"""),40753.666666666664)</f>
        <v>40753.66667</v>
      </c>
      <c r="B228" s="1">
        <f>IFERROR(__xludf.DUMMYFUNCTION("""COMPUTED_VALUE"""),1.51)</f>
        <v>1.51</v>
      </c>
      <c r="C228" s="1">
        <f>IFERROR(__xludf.DUMMYFUNCTION("""COMPUTED_VALUE"""),1.52)</f>
        <v>1.52</v>
      </c>
      <c r="D228" s="1">
        <f>IFERROR(__xludf.DUMMYFUNCTION("""COMPUTED_VALUE"""),1.38)</f>
        <v>1.38</v>
      </c>
      <c r="E228" s="1">
        <f>IFERROR(__xludf.DUMMYFUNCTION("""COMPUTED_VALUE"""),1.41)</f>
        <v>1.41</v>
      </c>
      <c r="F228" s="1">
        <f>IFERROR(__xludf.DUMMYFUNCTION("""COMPUTED_VALUE"""),866434.0)</f>
        <v>866434</v>
      </c>
    </row>
    <row r="229">
      <c r="A229" s="2">
        <f>IFERROR(__xludf.DUMMYFUNCTION("""COMPUTED_VALUE"""),40760.666666666664)</f>
        <v>40760.66667</v>
      </c>
      <c r="B229" s="1">
        <f>IFERROR(__xludf.DUMMYFUNCTION("""COMPUTED_VALUE"""),1.42)</f>
        <v>1.42</v>
      </c>
      <c r="C229" s="1">
        <f>IFERROR(__xludf.DUMMYFUNCTION("""COMPUTED_VALUE"""),1.47)</f>
        <v>1.47</v>
      </c>
      <c r="D229" s="1">
        <f>IFERROR(__xludf.DUMMYFUNCTION("""COMPUTED_VALUE"""),1.26)</f>
        <v>1.26</v>
      </c>
      <c r="E229" s="1">
        <f>IFERROR(__xludf.DUMMYFUNCTION("""COMPUTED_VALUE"""),1.36)</f>
        <v>1.36</v>
      </c>
      <c r="F229" s="1">
        <f>IFERROR(__xludf.DUMMYFUNCTION("""COMPUTED_VALUE"""),2118736.0)</f>
        <v>2118736</v>
      </c>
    </row>
    <row r="230">
      <c r="A230" s="2">
        <f>IFERROR(__xludf.DUMMYFUNCTION("""COMPUTED_VALUE"""),40767.666666666664)</f>
        <v>40767.66667</v>
      </c>
      <c r="B230" s="1">
        <f>IFERROR(__xludf.DUMMYFUNCTION("""COMPUTED_VALUE"""),1.32)</f>
        <v>1.32</v>
      </c>
      <c r="C230" s="1">
        <f>IFERROR(__xludf.DUMMYFUNCTION("""COMPUTED_VALUE"""),1.39)</f>
        <v>1.39</v>
      </c>
      <c r="D230" s="1">
        <f>IFERROR(__xludf.DUMMYFUNCTION("""COMPUTED_VALUE"""),1.22)</f>
        <v>1.22</v>
      </c>
      <c r="E230" s="1">
        <f>IFERROR(__xludf.DUMMYFUNCTION("""COMPUTED_VALUE"""),1.36)</f>
        <v>1.36</v>
      </c>
      <c r="F230" s="1">
        <f>IFERROR(__xludf.DUMMYFUNCTION("""COMPUTED_VALUE"""),1429985.0)</f>
        <v>1429985</v>
      </c>
    </row>
    <row r="231">
      <c r="A231" s="2">
        <f>IFERROR(__xludf.DUMMYFUNCTION("""COMPUTED_VALUE"""),40774.666666666664)</f>
        <v>40774.66667</v>
      </c>
      <c r="B231" s="1">
        <f>IFERROR(__xludf.DUMMYFUNCTION("""COMPUTED_VALUE"""),1.37)</f>
        <v>1.37</v>
      </c>
      <c r="C231" s="1">
        <f>IFERROR(__xludf.DUMMYFUNCTION("""COMPUTED_VALUE"""),1.42)</f>
        <v>1.42</v>
      </c>
      <c r="D231" s="1">
        <f>IFERROR(__xludf.DUMMYFUNCTION("""COMPUTED_VALUE"""),1.27)</f>
        <v>1.27</v>
      </c>
      <c r="E231" s="1">
        <f>IFERROR(__xludf.DUMMYFUNCTION("""COMPUTED_VALUE"""),1.33)</f>
        <v>1.33</v>
      </c>
      <c r="F231" s="1">
        <f>IFERROR(__xludf.DUMMYFUNCTION("""COMPUTED_VALUE"""),1117379.0)</f>
        <v>1117379</v>
      </c>
    </row>
    <row r="232">
      <c r="A232" s="2">
        <f>IFERROR(__xludf.DUMMYFUNCTION("""COMPUTED_VALUE"""),40781.666666666664)</f>
        <v>40781.66667</v>
      </c>
      <c r="B232" s="1">
        <f>IFERROR(__xludf.DUMMYFUNCTION("""COMPUTED_VALUE"""),1.36)</f>
        <v>1.36</v>
      </c>
      <c r="C232" s="1">
        <f>IFERROR(__xludf.DUMMYFUNCTION("""COMPUTED_VALUE"""),1.4)</f>
        <v>1.4</v>
      </c>
      <c r="D232" s="1">
        <f>IFERROR(__xludf.DUMMYFUNCTION("""COMPUTED_VALUE"""),1.27)</f>
        <v>1.27</v>
      </c>
      <c r="E232" s="1">
        <f>IFERROR(__xludf.DUMMYFUNCTION("""COMPUTED_VALUE"""),1.32)</f>
        <v>1.32</v>
      </c>
      <c r="F232" s="1">
        <f>IFERROR(__xludf.DUMMYFUNCTION("""COMPUTED_VALUE"""),1425179.0)</f>
        <v>1425179</v>
      </c>
    </row>
    <row r="233">
      <c r="A233" s="2">
        <f>IFERROR(__xludf.DUMMYFUNCTION("""COMPUTED_VALUE"""),40788.666666666664)</f>
        <v>40788.66667</v>
      </c>
      <c r="B233" s="1">
        <f>IFERROR(__xludf.DUMMYFUNCTION("""COMPUTED_VALUE"""),1.34)</f>
        <v>1.34</v>
      </c>
      <c r="C233" s="1">
        <f>IFERROR(__xludf.DUMMYFUNCTION("""COMPUTED_VALUE"""),1.43)</f>
        <v>1.43</v>
      </c>
      <c r="D233" s="1">
        <f>IFERROR(__xludf.DUMMYFUNCTION("""COMPUTED_VALUE"""),1.26)</f>
        <v>1.26</v>
      </c>
      <c r="E233" s="1">
        <f>IFERROR(__xludf.DUMMYFUNCTION("""COMPUTED_VALUE"""),1.27)</f>
        <v>1.27</v>
      </c>
      <c r="F233" s="1">
        <f>IFERROR(__xludf.DUMMYFUNCTION("""COMPUTED_VALUE"""),976412.0)</f>
        <v>976412</v>
      </c>
    </row>
    <row r="234">
      <c r="A234" s="2">
        <f>IFERROR(__xludf.DUMMYFUNCTION("""COMPUTED_VALUE"""),40795.666666666664)</f>
        <v>40795.66667</v>
      </c>
      <c r="B234" s="1">
        <f>IFERROR(__xludf.DUMMYFUNCTION("""COMPUTED_VALUE"""),1.22)</f>
        <v>1.22</v>
      </c>
      <c r="C234" s="1">
        <f>IFERROR(__xludf.DUMMYFUNCTION("""COMPUTED_VALUE"""),1.35)</f>
        <v>1.35</v>
      </c>
      <c r="D234" s="1">
        <f>IFERROR(__xludf.DUMMYFUNCTION("""COMPUTED_VALUE"""),1.2)</f>
        <v>1.2</v>
      </c>
      <c r="E234" s="1">
        <f>IFERROR(__xludf.DUMMYFUNCTION("""COMPUTED_VALUE"""),1.24)</f>
        <v>1.24</v>
      </c>
      <c r="F234" s="1">
        <f>IFERROR(__xludf.DUMMYFUNCTION("""COMPUTED_VALUE"""),636190.0)</f>
        <v>636190</v>
      </c>
    </row>
    <row r="235">
      <c r="A235" s="2">
        <f>IFERROR(__xludf.DUMMYFUNCTION("""COMPUTED_VALUE"""),40802.666666666664)</f>
        <v>40802.66667</v>
      </c>
      <c r="B235" s="1">
        <f>IFERROR(__xludf.DUMMYFUNCTION("""COMPUTED_VALUE"""),1.22)</f>
        <v>1.22</v>
      </c>
      <c r="C235" s="1">
        <f>IFERROR(__xludf.DUMMYFUNCTION("""COMPUTED_VALUE"""),1.37)</f>
        <v>1.37</v>
      </c>
      <c r="D235" s="1">
        <f>IFERROR(__xludf.DUMMYFUNCTION("""COMPUTED_VALUE"""),1.22)</f>
        <v>1.22</v>
      </c>
      <c r="E235" s="1">
        <f>IFERROR(__xludf.DUMMYFUNCTION("""COMPUTED_VALUE"""),1.36)</f>
        <v>1.36</v>
      </c>
      <c r="F235" s="1">
        <f>IFERROR(__xludf.DUMMYFUNCTION("""COMPUTED_VALUE"""),860237.0)</f>
        <v>860237</v>
      </c>
    </row>
    <row r="236">
      <c r="A236" s="2">
        <f>IFERROR(__xludf.DUMMYFUNCTION("""COMPUTED_VALUE"""),40809.666666666664)</f>
        <v>40809.66667</v>
      </c>
      <c r="B236" s="1">
        <f>IFERROR(__xludf.DUMMYFUNCTION("""COMPUTED_VALUE"""),1.33)</f>
        <v>1.33</v>
      </c>
      <c r="C236" s="1">
        <f>IFERROR(__xludf.DUMMYFUNCTION("""COMPUTED_VALUE"""),1.37)</f>
        <v>1.37</v>
      </c>
      <c r="D236" s="1">
        <f>IFERROR(__xludf.DUMMYFUNCTION("""COMPUTED_VALUE"""),1.22)</f>
        <v>1.22</v>
      </c>
      <c r="E236" s="1">
        <f>IFERROR(__xludf.DUMMYFUNCTION("""COMPUTED_VALUE"""),1.29)</f>
        <v>1.29</v>
      </c>
      <c r="F236" s="1">
        <f>IFERROR(__xludf.DUMMYFUNCTION("""COMPUTED_VALUE"""),746371.0)</f>
        <v>746371</v>
      </c>
    </row>
    <row r="237">
      <c r="A237" s="2">
        <f>IFERROR(__xludf.DUMMYFUNCTION("""COMPUTED_VALUE"""),40816.666666666664)</f>
        <v>40816.66667</v>
      </c>
      <c r="B237" s="1">
        <f>IFERROR(__xludf.DUMMYFUNCTION("""COMPUTED_VALUE"""),1.3)</f>
        <v>1.3</v>
      </c>
      <c r="C237" s="1">
        <f>IFERROR(__xludf.DUMMYFUNCTION("""COMPUTED_VALUE"""),1.37)</f>
        <v>1.37</v>
      </c>
      <c r="D237" s="1">
        <f>IFERROR(__xludf.DUMMYFUNCTION("""COMPUTED_VALUE"""),1.24)</f>
        <v>1.24</v>
      </c>
      <c r="E237" s="1">
        <f>IFERROR(__xludf.DUMMYFUNCTION("""COMPUTED_VALUE"""),1.25)</f>
        <v>1.25</v>
      </c>
      <c r="F237" s="1">
        <f>IFERROR(__xludf.DUMMYFUNCTION("""COMPUTED_VALUE"""),572870.0)</f>
        <v>572870</v>
      </c>
    </row>
    <row r="238">
      <c r="A238" s="2">
        <f>IFERROR(__xludf.DUMMYFUNCTION("""COMPUTED_VALUE"""),40823.666666666664)</f>
        <v>40823.66667</v>
      </c>
      <c r="B238" s="1">
        <f>IFERROR(__xludf.DUMMYFUNCTION("""COMPUTED_VALUE"""),1.24)</f>
        <v>1.24</v>
      </c>
      <c r="C238" s="1">
        <f>IFERROR(__xludf.DUMMYFUNCTION("""COMPUTED_VALUE"""),1.42)</f>
        <v>1.42</v>
      </c>
      <c r="D238" s="1">
        <f>IFERROR(__xludf.DUMMYFUNCTION("""COMPUTED_VALUE"""),1.14)</f>
        <v>1.14</v>
      </c>
      <c r="E238" s="1">
        <f>IFERROR(__xludf.DUMMYFUNCTION("""COMPUTED_VALUE"""),1.37)</f>
        <v>1.37</v>
      </c>
      <c r="F238" s="1">
        <f>IFERROR(__xludf.DUMMYFUNCTION("""COMPUTED_VALUE"""),964988.0)</f>
        <v>964988</v>
      </c>
    </row>
    <row r="239">
      <c r="A239" s="2">
        <f>IFERROR(__xludf.DUMMYFUNCTION("""COMPUTED_VALUE"""),40830.666666666664)</f>
        <v>40830.66667</v>
      </c>
      <c r="B239" s="1">
        <f>IFERROR(__xludf.DUMMYFUNCTION("""COMPUTED_VALUE"""),1.39)</f>
        <v>1.39</v>
      </c>
      <c r="C239" s="1">
        <f>IFERROR(__xludf.DUMMYFUNCTION("""COMPUTED_VALUE"""),1.53)</f>
        <v>1.53</v>
      </c>
      <c r="D239" s="1">
        <f>IFERROR(__xludf.DUMMYFUNCTION("""COMPUTED_VALUE"""),1.39)</f>
        <v>1.39</v>
      </c>
      <c r="E239" s="1">
        <f>IFERROR(__xludf.DUMMYFUNCTION("""COMPUTED_VALUE"""),1.52)</f>
        <v>1.52</v>
      </c>
      <c r="F239" s="1">
        <f>IFERROR(__xludf.DUMMYFUNCTION("""COMPUTED_VALUE"""),556527.0)</f>
        <v>556527</v>
      </c>
    </row>
    <row r="240">
      <c r="A240" s="2">
        <f>IFERROR(__xludf.DUMMYFUNCTION("""COMPUTED_VALUE"""),40837.666666666664)</f>
        <v>40837.66667</v>
      </c>
      <c r="B240" s="1">
        <f>IFERROR(__xludf.DUMMYFUNCTION("""COMPUTED_VALUE"""),1.51)</f>
        <v>1.51</v>
      </c>
      <c r="C240" s="1">
        <f>IFERROR(__xludf.DUMMYFUNCTION("""COMPUTED_VALUE"""),1.55)</f>
        <v>1.55</v>
      </c>
      <c r="D240" s="1">
        <f>IFERROR(__xludf.DUMMYFUNCTION("""COMPUTED_VALUE"""),1.39)</f>
        <v>1.39</v>
      </c>
      <c r="E240" s="1">
        <f>IFERROR(__xludf.DUMMYFUNCTION("""COMPUTED_VALUE"""),1.46)</f>
        <v>1.46</v>
      </c>
      <c r="F240" s="1">
        <f>IFERROR(__xludf.DUMMYFUNCTION("""COMPUTED_VALUE"""),795431.0)</f>
        <v>795431</v>
      </c>
    </row>
    <row r="241">
      <c r="A241" s="2">
        <f>IFERROR(__xludf.DUMMYFUNCTION("""COMPUTED_VALUE"""),40844.666666666664)</f>
        <v>40844.66667</v>
      </c>
      <c r="B241" s="1">
        <f>IFERROR(__xludf.DUMMYFUNCTION("""COMPUTED_VALUE"""),1.47)</f>
        <v>1.47</v>
      </c>
      <c r="C241" s="1">
        <f>IFERROR(__xludf.DUMMYFUNCTION("""COMPUTED_VALUE"""),1.68)</f>
        <v>1.68</v>
      </c>
      <c r="D241" s="1">
        <f>IFERROR(__xludf.DUMMYFUNCTION("""COMPUTED_VALUE"""),1.44)</f>
        <v>1.44</v>
      </c>
      <c r="E241" s="1">
        <f>IFERROR(__xludf.DUMMYFUNCTION("""COMPUTED_VALUE"""),1.63)</f>
        <v>1.63</v>
      </c>
      <c r="F241" s="1">
        <f>IFERROR(__xludf.DUMMYFUNCTION("""COMPUTED_VALUE"""),1453044.0)</f>
        <v>1453044</v>
      </c>
    </row>
    <row r="242">
      <c r="A242" s="2">
        <f>IFERROR(__xludf.DUMMYFUNCTION("""COMPUTED_VALUE"""),40851.666666666664)</f>
        <v>40851.66667</v>
      </c>
      <c r="B242" s="1">
        <f>IFERROR(__xludf.DUMMYFUNCTION("""COMPUTED_VALUE"""),1.6)</f>
        <v>1.6</v>
      </c>
      <c r="C242" s="1">
        <f>IFERROR(__xludf.DUMMYFUNCTION("""COMPUTED_VALUE"""),1.63)</f>
        <v>1.63</v>
      </c>
      <c r="D242" s="1">
        <f>IFERROR(__xludf.DUMMYFUNCTION("""COMPUTED_VALUE"""),1.52)</f>
        <v>1.52</v>
      </c>
      <c r="E242" s="1">
        <f>IFERROR(__xludf.DUMMYFUNCTION("""COMPUTED_VALUE"""),1.59)</f>
        <v>1.59</v>
      </c>
      <c r="F242" s="1">
        <f>IFERROR(__xludf.DUMMYFUNCTION("""COMPUTED_VALUE"""),630459.0)</f>
        <v>630459</v>
      </c>
    </row>
    <row r="243">
      <c r="A243" s="2">
        <f>IFERROR(__xludf.DUMMYFUNCTION("""COMPUTED_VALUE"""),40858.666666666664)</f>
        <v>40858.66667</v>
      </c>
      <c r="B243" s="1">
        <f>IFERROR(__xludf.DUMMYFUNCTION("""COMPUTED_VALUE"""),1.59)</f>
        <v>1.59</v>
      </c>
      <c r="C243" s="1">
        <f>IFERROR(__xludf.DUMMYFUNCTION("""COMPUTED_VALUE"""),1.6)</f>
        <v>1.6</v>
      </c>
      <c r="D243" s="1">
        <f>IFERROR(__xludf.DUMMYFUNCTION("""COMPUTED_VALUE"""),1.5)</f>
        <v>1.5</v>
      </c>
      <c r="E243" s="1">
        <f>IFERROR(__xludf.DUMMYFUNCTION("""COMPUTED_VALUE"""),1.56)</f>
        <v>1.56</v>
      </c>
      <c r="F243" s="1">
        <f>IFERROR(__xludf.DUMMYFUNCTION("""COMPUTED_VALUE"""),560293.0)</f>
        <v>560293</v>
      </c>
    </row>
    <row r="244">
      <c r="A244" s="2">
        <f>IFERROR(__xludf.DUMMYFUNCTION("""COMPUTED_VALUE"""),40865.666666666664)</f>
        <v>40865.66667</v>
      </c>
      <c r="B244" s="1">
        <f>IFERROR(__xludf.DUMMYFUNCTION("""COMPUTED_VALUE"""),1.56)</f>
        <v>1.56</v>
      </c>
      <c r="C244" s="1">
        <f>IFERROR(__xludf.DUMMYFUNCTION("""COMPUTED_VALUE"""),1.59)</f>
        <v>1.59</v>
      </c>
      <c r="D244" s="1">
        <f>IFERROR(__xludf.DUMMYFUNCTION("""COMPUTED_VALUE"""),1.43)</f>
        <v>1.43</v>
      </c>
      <c r="E244" s="1">
        <f>IFERROR(__xludf.DUMMYFUNCTION("""COMPUTED_VALUE"""),1.48)</f>
        <v>1.48</v>
      </c>
      <c r="F244" s="1">
        <f>IFERROR(__xludf.DUMMYFUNCTION("""COMPUTED_VALUE"""),666446.0)</f>
        <v>666446</v>
      </c>
    </row>
    <row r="245">
      <c r="A245" s="2">
        <f>IFERROR(__xludf.DUMMYFUNCTION("""COMPUTED_VALUE"""),40872.666666666664)</f>
        <v>40872.66667</v>
      </c>
      <c r="B245" s="1">
        <f>IFERROR(__xludf.DUMMYFUNCTION("""COMPUTED_VALUE"""),1.45)</f>
        <v>1.45</v>
      </c>
      <c r="C245" s="1">
        <f>IFERROR(__xludf.DUMMYFUNCTION("""COMPUTED_VALUE"""),1.48)</f>
        <v>1.48</v>
      </c>
      <c r="D245" s="1">
        <f>IFERROR(__xludf.DUMMYFUNCTION("""COMPUTED_VALUE"""),1.29)</f>
        <v>1.29</v>
      </c>
      <c r="E245" s="1">
        <f>IFERROR(__xludf.DUMMYFUNCTION("""COMPUTED_VALUE"""),1.29)</f>
        <v>1.29</v>
      </c>
      <c r="F245" s="1">
        <f>IFERROR(__xludf.DUMMYFUNCTION("""COMPUTED_VALUE"""),515351.0)</f>
        <v>515351</v>
      </c>
    </row>
    <row r="246">
      <c r="A246" s="2">
        <f>IFERROR(__xludf.DUMMYFUNCTION("""COMPUTED_VALUE"""),40879.666666666664)</f>
        <v>40879.66667</v>
      </c>
      <c r="B246" s="1">
        <f>IFERROR(__xludf.DUMMYFUNCTION("""COMPUTED_VALUE"""),1.33)</f>
        <v>1.33</v>
      </c>
      <c r="C246" s="1">
        <f>IFERROR(__xludf.DUMMYFUNCTION("""COMPUTED_VALUE"""),1.4)</f>
        <v>1.4</v>
      </c>
      <c r="D246" s="1">
        <f>IFERROR(__xludf.DUMMYFUNCTION("""COMPUTED_VALUE"""),1.3)</f>
        <v>1.3</v>
      </c>
      <c r="E246" s="1">
        <f>IFERROR(__xludf.DUMMYFUNCTION("""COMPUTED_VALUE"""),1.37)</f>
        <v>1.37</v>
      </c>
      <c r="F246" s="1">
        <f>IFERROR(__xludf.DUMMYFUNCTION("""COMPUTED_VALUE"""),1014221.0)</f>
        <v>1014221</v>
      </c>
    </row>
    <row r="247">
      <c r="A247" s="2">
        <f>IFERROR(__xludf.DUMMYFUNCTION("""COMPUTED_VALUE"""),40886.666666666664)</f>
        <v>40886.66667</v>
      </c>
      <c r="B247" s="1">
        <f>IFERROR(__xludf.DUMMYFUNCTION("""COMPUTED_VALUE"""),1.41)</f>
        <v>1.41</v>
      </c>
      <c r="C247" s="1">
        <f>IFERROR(__xludf.DUMMYFUNCTION("""COMPUTED_VALUE"""),1.52)</f>
        <v>1.52</v>
      </c>
      <c r="D247" s="1">
        <f>IFERROR(__xludf.DUMMYFUNCTION("""COMPUTED_VALUE"""),1.38)</f>
        <v>1.38</v>
      </c>
      <c r="E247" s="1">
        <f>IFERROR(__xludf.DUMMYFUNCTION("""COMPUTED_VALUE"""),1.51)</f>
        <v>1.51</v>
      </c>
      <c r="F247" s="1">
        <f>IFERROR(__xludf.DUMMYFUNCTION("""COMPUTED_VALUE"""),694064.0)</f>
        <v>694064</v>
      </c>
    </row>
    <row r="248">
      <c r="A248" s="2">
        <f>IFERROR(__xludf.DUMMYFUNCTION("""COMPUTED_VALUE"""),40893.666666666664)</f>
        <v>40893.66667</v>
      </c>
      <c r="B248" s="1">
        <f>IFERROR(__xludf.DUMMYFUNCTION("""COMPUTED_VALUE"""),1.48)</f>
        <v>1.48</v>
      </c>
      <c r="C248" s="1">
        <f>IFERROR(__xludf.DUMMYFUNCTION("""COMPUTED_VALUE"""),1.54)</f>
        <v>1.54</v>
      </c>
      <c r="D248" s="1">
        <f>IFERROR(__xludf.DUMMYFUNCTION("""COMPUTED_VALUE"""),1.42)</f>
        <v>1.42</v>
      </c>
      <c r="E248" s="1">
        <f>IFERROR(__xludf.DUMMYFUNCTION("""COMPUTED_VALUE"""),1.49)</f>
        <v>1.49</v>
      </c>
      <c r="F248" s="1">
        <f>IFERROR(__xludf.DUMMYFUNCTION("""COMPUTED_VALUE"""),1163098.0)</f>
        <v>1163098</v>
      </c>
    </row>
    <row r="249">
      <c r="A249" s="2">
        <f>IFERROR(__xludf.DUMMYFUNCTION("""COMPUTED_VALUE"""),40900.666666666664)</f>
        <v>40900.66667</v>
      </c>
      <c r="B249" s="1">
        <f>IFERROR(__xludf.DUMMYFUNCTION("""COMPUTED_VALUE"""),1.5)</f>
        <v>1.5</v>
      </c>
      <c r="C249" s="1">
        <f>IFERROR(__xludf.DUMMYFUNCTION("""COMPUTED_VALUE"""),1.6)</f>
        <v>1.6</v>
      </c>
      <c r="D249" s="1">
        <f>IFERROR(__xludf.DUMMYFUNCTION("""COMPUTED_VALUE"""),1.45)</f>
        <v>1.45</v>
      </c>
      <c r="E249" s="1">
        <f>IFERROR(__xludf.DUMMYFUNCTION("""COMPUTED_VALUE"""),1.58)</f>
        <v>1.58</v>
      </c>
      <c r="F249" s="1">
        <f>IFERROR(__xludf.DUMMYFUNCTION("""COMPUTED_VALUE"""),737918.0)</f>
        <v>737918</v>
      </c>
    </row>
    <row r="250">
      <c r="A250" s="2">
        <f>IFERROR(__xludf.DUMMYFUNCTION("""COMPUTED_VALUE"""),40907.666666666664)</f>
        <v>40907.66667</v>
      </c>
      <c r="B250" s="1">
        <f>IFERROR(__xludf.DUMMYFUNCTION("""COMPUTED_VALUE"""),1.58)</f>
        <v>1.58</v>
      </c>
      <c r="C250" s="1">
        <f>IFERROR(__xludf.DUMMYFUNCTION("""COMPUTED_VALUE"""),1.62)</f>
        <v>1.62</v>
      </c>
      <c r="D250" s="1">
        <f>IFERROR(__xludf.DUMMYFUNCTION("""COMPUTED_VALUE"""),1.55)</f>
        <v>1.55</v>
      </c>
      <c r="E250" s="1">
        <f>IFERROR(__xludf.DUMMYFUNCTION("""COMPUTED_VALUE"""),1.57)</f>
        <v>1.57</v>
      </c>
      <c r="F250" s="1">
        <f>IFERROR(__xludf.DUMMYFUNCTION("""COMPUTED_VALUE"""),471549.0)</f>
        <v>471549</v>
      </c>
    </row>
    <row r="251">
      <c r="A251" s="2">
        <f>IFERROR(__xludf.DUMMYFUNCTION("""COMPUTED_VALUE"""),40914.666666666664)</f>
        <v>40914.66667</v>
      </c>
      <c r="B251" s="1">
        <f>IFERROR(__xludf.DUMMYFUNCTION("""COMPUTED_VALUE"""),1.61)</f>
        <v>1.61</v>
      </c>
      <c r="C251" s="1">
        <f>IFERROR(__xludf.DUMMYFUNCTION("""COMPUTED_VALUE"""),1.65)</f>
        <v>1.65</v>
      </c>
      <c r="D251" s="1">
        <f>IFERROR(__xludf.DUMMYFUNCTION("""COMPUTED_VALUE"""),1.54)</f>
        <v>1.54</v>
      </c>
      <c r="E251" s="1">
        <f>IFERROR(__xludf.DUMMYFUNCTION("""COMPUTED_VALUE"""),1.63)</f>
        <v>1.63</v>
      </c>
      <c r="F251" s="1">
        <f>IFERROR(__xludf.DUMMYFUNCTION("""COMPUTED_VALUE"""),550160.0)</f>
        <v>550160</v>
      </c>
    </row>
    <row r="252">
      <c r="A252" s="2">
        <f>IFERROR(__xludf.DUMMYFUNCTION("""COMPUTED_VALUE"""),40921.666666666664)</f>
        <v>40921.66667</v>
      </c>
      <c r="B252" s="1">
        <f>IFERROR(__xludf.DUMMYFUNCTION("""COMPUTED_VALUE"""),1.64)</f>
        <v>1.64</v>
      </c>
      <c r="C252" s="1">
        <f>IFERROR(__xludf.DUMMYFUNCTION("""COMPUTED_VALUE"""),1.67)</f>
        <v>1.67</v>
      </c>
      <c r="D252" s="1">
        <f>IFERROR(__xludf.DUMMYFUNCTION("""COMPUTED_VALUE"""),1.45)</f>
        <v>1.45</v>
      </c>
      <c r="E252" s="1">
        <f>IFERROR(__xludf.DUMMYFUNCTION("""COMPUTED_VALUE"""),1.65)</f>
        <v>1.65</v>
      </c>
      <c r="F252" s="1">
        <f>IFERROR(__xludf.DUMMYFUNCTION("""COMPUTED_VALUE"""),1072675.0)</f>
        <v>1072675</v>
      </c>
    </row>
    <row r="253">
      <c r="A253" s="2">
        <f>IFERROR(__xludf.DUMMYFUNCTION("""COMPUTED_VALUE"""),40928.666666666664)</f>
        <v>40928.66667</v>
      </c>
      <c r="B253" s="1">
        <f>IFERROR(__xludf.DUMMYFUNCTION("""COMPUTED_VALUE"""),1.66)</f>
        <v>1.66</v>
      </c>
      <c r="C253" s="1">
        <f>IFERROR(__xludf.DUMMYFUNCTION("""COMPUTED_VALUE"""),1.74)</f>
        <v>1.74</v>
      </c>
      <c r="D253" s="1">
        <f>IFERROR(__xludf.DUMMYFUNCTION("""COMPUTED_VALUE"""),1.61)</f>
        <v>1.61</v>
      </c>
      <c r="E253" s="1">
        <f>IFERROR(__xludf.DUMMYFUNCTION("""COMPUTED_VALUE"""),1.69)</f>
        <v>1.69</v>
      </c>
      <c r="F253" s="1">
        <f>IFERROR(__xludf.DUMMYFUNCTION("""COMPUTED_VALUE"""),983147.0)</f>
        <v>983147</v>
      </c>
    </row>
    <row r="254">
      <c r="A254" s="2">
        <f>IFERROR(__xludf.DUMMYFUNCTION("""COMPUTED_VALUE"""),40935.666666666664)</f>
        <v>40935.66667</v>
      </c>
      <c r="B254" s="1">
        <f>IFERROR(__xludf.DUMMYFUNCTION("""COMPUTED_VALUE"""),1.69)</f>
        <v>1.69</v>
      </c>
      <c r="C254" s="1">
        <f>IFERROR(__xludf.DUMMYFUNCTION("""COMPUTED_VALUE"""),1.77)</f>
        <v>1.77</v>
      </c>
      <c r="D254" s="1">
        <f>IFERROR(__xludf.DUMMYFUNCTION("""COMPUTED_VALUE"""),1.68)</f>
        <v>1.68</v>
      </c>
      <c r="E254" s="1">
        <f>IFERROR(__xludf.DUMMYFUNCTION("""COMPUTED_VALUE"""),1.71)</f>
        <v>1.71</v>
      </c>
      <c r="F254" s="1">
        <f>IFERROR(__xludf.DUMMYFUNCTION("""COMPUTED_VALUE"""),907408.0)</f>
        <v>907408</v>
      </c>
    </row>
    <row r="255">
      <c r="A255" s="2">
        <f>IFERROR(__xludf.DUMMYFUNCTION("""COMPUTED_VALUE"""),40942.666666666664)</f>
        <v>40942.66667</v>
      </c>
      <c r="B255" s="1">
        <f>IFERROR(__xludf.DUMMYFUNCTION("""COMPUTED_VALUE"""),1.68)</f>
        <v>1.68</v>
      </c>
      <c r="C255" s="1">
        <f>IFERROR(__xludf.DUMMYFUNCTION("""COMPUTED_VALUE"""),1.74)</f>
        <v>1.74</v>
      </c>
      <c r="D255" s="1">
        <f>IFERROR(__xludf.DUMMYFUNCTION("""COMPUTED_VALUE"""),1.68)</f>
        <v>1.68</v>
      </c>
      <c r="E255" s="1">
        <f>IFERROR(__xludf.DUMMYFUNCTION("""COMPUTED_VALUE"""),1.74)</f>
        <v>1.74</v>
      </c>
      <c r="F255" s="1">
        <f>IFERROR(__xludf.DUMMYFUNCTION("""COMPUTED_VALUE"""),838048.0)</f>
        <v>838048</v>
      </c>
    </row>
    <row r="256">
      <c r="A256" s="2">
        <f>IFERROR(__xludf.DUMMYFUNCTION("""COMPUTED_VALUE"""),40949.666666666664)</f>
        <v>40949.66667</v>
      </c>
      <c r="B256" s="1">
        <f>IFERROR(__xludf.DUMMYFUNCTION("""COMPUTED_VALUE"""),1.72)</f>
        <v>1.72</v>
      </c>
      <c r="C256" s="1">
        <f>IFERROR(__xludf.DUMMYFUNCTION("""COMPUTED_VALUE"""),1.77)</f>
        <v>1.77</v>
      </c>
      <c r="D256" s="1">
        <f>IFERROR(__xludf.DUMMYFUNCTION("""COMPUTED_VALUE"""),1.67)</f>
        <v>1.67</v>
      </c>
      <c r="E256" s="1">
        <f>IFERROR(__xludf.DUMMYFUNCTION("""COMPUTED_VALUE"""),1.68)</f>
        <v>1.68</v>
      </c>
      <c r="F256" s="1">
        <f>IFERROR(__xludf.DUMMYFUNCTION("""COMPUTED_VALUE"""),830764.0)</f>
        <v>830764</v>
      </c>
    </row>
    <row r="257">
      <c r="A257" s="2">
        <f>IFERROR(__xludf.DUMMYFUNCTION("""COMPUTED_VALUE"""),40956.666666666664)</f>
        <v>40956.66667</v>
      </c>
      <c r="B257" s="1">
        <f>IFERROR(__xludf.DUMMYFUNCTION("""COMPUTED_VALUE"""),1.7)</f>
        <v>1.7</v>
      </c>
      <c r="C257" s="1">
        <f>IFERROR(__xludf.DUMMYFUNCTION("""COMPUTED_VALUE"""),1.78)</f>
        <v>1.78</v>
      </c>
      <c r="D257" s="1">
        <f>IFERROR(__xludf.DUMMYFUNCTION("""COMPUTED_VALUE"""),1.67)</f>
        <v>1.67</v>
      </c>
      <c r="E257" s="1">
        <f>IFERROR(__xludf.DUMMYFUNCTION("""COMPUTED_VALUE"""),1.77)</f>
        <v>1.77</v>
      </c>
      <c r="F257" s="1">
        <f>IFERROR(__xludf.DUMMYFUNCTION("""COMPUTED_VALUE"""),810567.0)</f>
        <v>810567</v>
      </c>
    </row>
    <row r="258">
      <c r="A258" s="2">
        <f>IFERROR(__xludf.DUMMYFUNCTION("""COMPUTED_VALUE"""),40963.666666666664)</f>
        <v>40963.66667</v>
      </c>
      <c r="B258" s="1">
        <f>IFERROR(__xludf.DUMMYFUNCTION("""COMPUTED_VALUE"""),1.77)</f>
        <v>1.77</v>
      </c>
      <c r="C258" s="1">
        <f>IFERROR(__xludf.DUMMYFUNCTION("""COMPUTED_VALUE"""),1.78)</f>
        <v>1.78</v>
      </c>
      <c r="D258" s="1">
        <f>IFERROR(__xludf.DUMMYFUNCTION("""COMPUTED_VALUE"""),1.69)</f>
        <v>1.69</v>
      </c>
      <c r="E258" s="1">
        <f>IFERROR(__xludf.DUMMYFUNCTION("""COMPUTED_VALUE"""),1.74)</f>
        <v>1.74</v>
      </c>
      <c r="F258" s="1">
        <f>IFERROR(__xludf.DUMMYFUNCTION("""COMPUTED_VALUE"""),411982.0)</f>
        <v>411982</v>
      </c>
    </row>
    <row r="259">
      <c r="A259" s="2">
        <f>IFERROR(__xludf.DUMMYFUNCTION("""COMPUTED_VALUE"""),40970.666666666664)</f>
        <v>40970.66667</v>
      </c>
      <c r="B259" s="1">
        <f>IFERROR(__xludf.DUMMYFUNCTION("""COMPUTED_VALUE"""),1.73)</f>
        <v>1.73</v>
      </c>
      <c r="C259" s="1">
        <f>IFERROR(__xludf.DUMMYFUNCTION("""COMPUTED_VALUE"""),1.76)</f>
        <v>1.76</v>
      </c>
      <c r="D259" s="1">
        <f>IFERROR(__xludf.DUMMYFUNCTION("""COMPUTED_VALUE"""),1.62)</f>
        <v>1.62</v>
      </c>
      <c r="E259" s="1">
        <f>IFERROR(__xludf.DUMMYFUNCTION("""COMPUTED_VALUE"""),1.67)</f>
        <v>1.67</v>
      </c>
      <c r="F259" s="1">
        <f>IFERROR(__xludf.DUMMYFUNCTION("""COMPUTED_VALUE"""),794306.0)</f>
        <v>794306</v>
      </c>
    </row>
    <row r="260">
      <c r="A260" s="2">
        <f>IFERROR(__xludf.DUMMYFUNCTION("""COMPUTED_VALUE"""),40977.666666666664)</f>
        <v>40977.66667</v>
      </c>
      <c r="B260" s="1">
        <f>IFERROR(__xludf.DUMMYFUNCTION("""COMPUTED_VALUE"""),1.66)</f>
        <v>1.66</v>
      </c>
      <c r="C260" s="1">
        <f>IFERROR(__xludf.DUMMYFUNCTION("""COMPUTED_VALUE"""),1.71)</f>
        <v>1.71</v>
      </c>
      <c r="D260" s="1">
        <f>IFERROR(__xludf.DUMMYFUNCTION("""COMPUTED_VALUE"""),1.6)</f>
        <v>1.6</v>
      </c>
      <c r="E260" s="1">
        <f>IFERROR(__xludf.DUMMYFUNCTION("""COMPUTED_VALUE"""),1.7)</f>
        <v>1.7</v>
      </c>
      <c r="F260" s="1">
        <f>IFERROR(__xludf.DUMMYFUNCTION("""COMPUTED_VALUE"""),733533.0)</f>
        <v>733533</v>
      </c>
    </row>
    <row r="261">
      <c r="A261" s="2">
        <f>IFERROR(__xludf.DUMMYFUNCTION("""COMPUTED_VALUE"""),40984.666666666664)</f>
        <v>40984.66667</v>
      </c>
      <c r="B261" s="1">
        <f>IFERROR(__xludf.DUMMYFUNCTION("""COMPUTED_VALUE"""),1.7)</f>
        <v>1.7</v>
      </c>
      <c r="C261" s="1">
        <f>IFERROR(__xludf.DUMMYFUNCTION("""COMPUTED_VALUE"""),1.71)</f>
        <v>1.71</v>
      </c>
      <c r="D261" s="1">
        <f>IFERROR(__xludf.DUMMYFUNCTION("""COMPUTED_VALUE"""),1.65)</f>
        <v>1.65</v>
      </c>
      <c r="E261" s="1">
        <f>IFERROR(__xludf.DUMMYFUNCTION("""COMPUTED_VALUE"""),1.68)</f>
        <v>1.68</v>
      </c>
      <c r="F261" s="1">
        <f>IFERROR(__xludf.DUMMYFUNCTION("""COMPUTED_VALUE"""),407853.0)</f>
        <v>407853</v>
      </c>
    </row>
    <row r="262">
      <c r="A262" s="2">
        <f>IFERROR(__xludf.DUMMYFUNCTION("""COMPUTED_VALUE"""),40991.666666666664)</f>
        <v>40991.66667</v>
      </c>
      <c r="B262" s="1">
        <f>IFERROR(__xludf.DUMMYFUNCTION("""COMPUTED_VALUE"""),1.67)</f>
        <v>1.67</v>
      </c>
      <c r="C262" s="1">
        <f>IFERROR(__xludf.DUMMYFUNCTION("""COMPUTED_VALUE"""),1.72)</f>
        <v>1.72</v>
      </c>
      <c r="D262" s="1">
        <f>IFERROR(__xludf.DUMMYFUNCTION("""COMPUTED_VALUE"""),1.64)</f>
        <v>1.64</v>
      </c>
      <c r="E262" s="1">
        <f>IFERROR(__xludf.DUMMYFUNCTION("""COMPUTED_VALUE"""),1.7)</f>
        <v>1.7</v>
      </c>
      <c r="F262" s="1">
        <f>IFERROR(__xludf.DUMMYFUNCTION("""COMPUTED_VALUE"""),329528.0)</f>
        <v>329528</v>
      </c>
    </row>
    <row r="263">
      <c r="A263" s="2">
        <f>IFERROR(__xludf.DUMMYFUNCTION("""COMPUTED_VALUE"""),40998.666666666664)</f>
        <v>40998.66667</v>
      </c>
      <c r="B263" s="1">
        <f>IFERROR(__xludf.DUMMYFUNCTION("""COMPUTED_VALUE"""),1.71)</f>
        <v>1.71</v>
      </c>
      <c r="C263" s="1">
        <f>IFERROR(__xludf.DUMMYFUNCTION("""COMPUTED_VALUE"""),1.79)</f>
        <v>1.79</v>
      </c>
      <c r="D263" s="1">
        <f>IFERROR(__xludf.DUMMYFUNCTION("""COMPUTED_VALUE"""),1.7)</f>
        <v>1.7</v>
      </c>
      <c r="E263" s="1">
        <f>IFERROR(__xludf.DUMMYFUNCTION("""COMPUTED_VALUE"""),1.75)</f>
        <v>1.75</v>
      </c>
      <c r="F263" s="1">
        <f>IFERROR(__xludf.DUMMYFUNCTION("""COMPUTED_VALUE"""),455749.0)</f>
        <v>455749</v>
      </c>
    </row>
    <row r="264">
      <c r="A264" s="2">
        <f>IFERROR(__xludf.DUMMYFUNCTION("""COMPUTED_VALUE"""),41004.666666666664)</f>
        <v>41004.66667</v>
      </c>
      <c r="B264" s="1">
        <f>IFERROR(__xludf.DUMMYFUNCTION("""COMPUTED_VALUE"""),1.75)</f>
        <v>1.75</v>
      </c>
      <c r="C264" s="1">
        <f>IFERROR(__xludf.DUMMYFUNCTION("""COMPUTED_VALUE"""),1.77)</f>
        <v>1.77</v>
      </c>
      <c r="D264" s="1">
        <f>IFERROR(__xludf.DUMMYFUNCTION("""COMPUTED_VALUE"""),1.72)</f>
        <v>1.72</v>
      </c>
      <c r="E264" s="1">
        <f>IFERROR(__xludf.DUMMYFUNCTION("""COMPUTED_VALUE"""),1.75)</f>
        <v>1.75</v>
      </c>
      <c r="F264" s="1">
        <f>IFERROR(__xludf.DUMMYFUNCTION("""COMPUTED_VALUE"""),327714.0)</f>
        <v>327714</v>
      </c>
    </row>
    <row r="265">
      <c r="A265" s="2">
        <f>IFERROR(__xludf.DUMMYFUNCTION("""COMPUTED_VALUE"""),41012.666666666664)</f>
        <v>41012.66667</v>
      </c>
      <c r="B265" s="1">
        <f>IFERROR(__xludf.DUMMYFUNCTION("""COMPUTED_VALUE"""),1.73)</f>
        <v>1.73</v>
      </c>
      <c r="C265" s="1">
        <f>IFERROR(__xludf.DUMMYFUNCTION("""COMPUTED_VALUE"""),1.74)</f>
        <v>1.74</v>
      </c>
      <c r="D265" s="1">
        <f>IFERROR(__xludf.DUMMYFUNCTION("""COMPUTED_VALUE"""),1.67)</f>
        <v>1.67</v>
      </c>
      <c r="E265" s="1">
        <f>IFERROR(__xludf.DUMMYFUNCTION("""COMPUTED_VALUE"""),1.67)</f>
        <v>1.67</v>
      </c>
      <c r="F265" s="1">
        <f>IFERROR(__xludf.DUMMYFUNCTION("""COMPUTED_VALUE"""),604417.0)</f>
        <v>604417</v>
      </c>
    </row>
    <row r="266">
      <c r="A266" s="2">
        <f>IFERROR(__xludf.DUMMYFUNCTION("""COMPUTED_VALUE"""),41019.666666666664)</f>
        <v>41019.66667</v>
      </c>
      <c r="B266" s="1">
        <f>IFERROR(__xludf.DUMMYFUNCTION("""COMPUTED_VALUE"""),1.68)</f>
        <v>1.68</v>
      </c>
      <c r="C266" s="1">
        <f>IFERROR(__xludf.DUMMYFUNCTION("""COMPUTED_VALUE"""),1.73)</f>
        <v>1.73</v>
      </c>
      <c r="D266" s="1">
        <f>IFERROR(__xludf.DUMMYFUNCTION("""COMPUTED_VALUE"""),1.67)</f>
        <v>1.67</v>
      </c>
      <c r="E266" s="1">
        <f>IFERROR(__xludf.DUMMYFUNCTION("""COMPUTED_VALUE"""),1.72)</f>
        <v>1.72</v>
      </c>
      <c r="F266" s="1">
        <f>IFERROR(__xludf.DUMMYFUNCTION("""COMPUTED_VALUE"""),534519.0)</f>
        <v>534519</v>
      </c>
    </row>
    <row r="267">
      <c r="A267" s="2">
        <f>IFERROR(__xludf.DUMMYFUNCTION("""COMPUTED_VALUE"""),41026.666666666664)</f>
        <v>41026.66667</v>
      </c>
      <c r="B267" s="1">
        <f>IFERROR(__xludf.DUMMYFUNCTION("""COMPUTED_VALUE"""),1.69)</f>
        <v>1.69</v>
      </c>
      <c r="C267" s="1">
        <f>IFERROR(__xludf.DUMMYFUNCTION("""COMPUTED_VALUE"""),1.89)</f>
        <v>1.89</v>
      </c>
      <c r="D267" s="1">
        <f>IFERROR(__xludf.DUMMYFUNCTION("""COMPUTED_VALUE"""),1.68)</f>
        <v>1.68</v>
      </c>
      <c r="E267" s="1">
        <f>IFERROR(__xludf.DUMMYFUNCTION("""COMPUTED_VALUE"""),1.8)</f>
        <v>1.8</v>
      </c>
      <c r="F267" s="1">
        <f>IFERROR(__xludf.DUMMYFUNCTION("""COMPUTED_VALUE"""),1603098.0)</f>
        <v>1603098</v>
      </c>
    </row>
    <row r="268">
      <c r="A268" s="2">
        <f>IFERROR(__xludf.DUMMYFUNCTION("""COMPUTED_VALUE"""),41033.666666666664)</f>
        <v>41033.66667</v>
      </c>
      <c r="B268" s="1">
        <f>IFERROR(__xludf.DUMMYFUNCTION("""COMPUTED_VALUE"""),1.8)</f>
        <v>1.8</v>
      </c>
      <c r="C268" s="1">
        <f>IFERROR(__xludf.DUMMYFUNCTION("""COMPUTED_VALUE"""),1.81)</f>
        <v>1.81</v>
      </c>
      <c r="D268" s="1">
        <f>IFERROR(__xludf.DUMMYFUNCTION("""COMPUTED_VALUE"""),1.66)</f>
        <v>1.66</v>
      </c>
      <c r="E268" s="1">
        <f>IFERROR(__xludf.DUMMYFUNCTION("""COMPUTED_VALUE"""),1.67)</f>
        <v>1.67</v>
      </c>
      <c r="F268" s="1">
        <f>IFERROR(__xludf.DUMMYFUNCTION("""COMPUTED_VALUE"""),934640.0)</f>
        <v>934640</v>
      </c>
    </row>
    <row r="269">
      <c r="A269" s="2">
        <f>IFERROR(__xludf.DUMMYFUNCTION("""COMPUTED_VALUE"""),41040.666666666664)</f>
        <v>41040.66667</v>
      </c>
      <c r="B269" s="1">
        <f>IFERROR(__xludf.DUMMYFUNCTION("""COMPUTED_VALUE"""),1.66)</f>
        <v>1.66</v>
      </c>
      <c r="C269" s="1">
        <f>IFERROR(__xludf.DUMMYFUNCTION("""COMPUTED_VALUE"""),1.7)</f>
        <v>1.7</v>
      </c>
      <c r="D269" s="1">
        <f>IFERROR(__xludf.DUMMYFUNCTION("""COMPUTED_VALUE"""),1.6)</f>
        <v>1.6</v>
      </c>
      <c r="E269" s="1">
        <f>IFERROR(__xludf.DUMMYFUNCTION("""COMPUTED_VALUE"""),1.65)</f>
        <v>1.65</v>
      </c>
      <c r="F269" s="1">
        <f>IFERROR(__xludf.DUMMYFUNCTION("""COMPUTED_VALUE"""),748577.0)</f>
        <v>748577</v>
      </c>
    </row>
    <row r="270">
      <c r="A270" s="2">
        <f>IFERROR(__xludf.DUMMYFUNCTION("""COMPUTED_VALUE"""),41047.666666666664)</f>
        <v>41047.66667</v>
      </c>
      <c r="B270" s="1">
        <f>IFERROR(__xludf.DUMMYFUNCTION("""COMPUTED_VALUE"""),1.63)</f>
        <v>1.63</v>
      </c>
      <c r="C270" s="1">
        <f>IFERROR(__xludf.DUMMYFUNCTION("""COMPUTED_VALUE"""),1.69)</f>
        <v>1.69</v>
      </c>
      <c r="D270" s="1">
        <f>IFERROR(__xludf.DUMMYFUNCTION("""COMPUTED_VALUE"""),1.6)</f>
        <v>1.6</v>
      </c>
      <c r="E270" s="1">
        <f>IFERROR(__xludf.DUMMYFUNCTION("""COMPUTED_VALUE"""),1.62)</f>
        <v>1.62</v>
      </c>
      <c r="F270" s="1">
        <f>IFERROR(__xludf.DUMMYFUNCTION("""COMPUTED_VALUE"""),655008.0)</f>
        <v>655008</v>
      </c>
    </row>
    <row r="271">
      <c r="A271" s="2">
        <f>IFERROR(__xludf.DUMMYFUNCTION("""COMPUTED_VALUE"""),41054.666666666664)</f>
        <v>41054.66667</v>
      </c>
      <c r="B271" s="1">
        <f>IFERROR(__xludf.DUMMYFUNCTION("""COMPUTED_VALUE"""),1.63)</f>
        <v>1.63</v>
      </c>
      <c r="C271" s="1">
        <f>IFERROR(__xludf.DUMMYFUNCTION("""COMPUTED_VALUE"""),1.67)</f>
        <v>1.67</v>
      </c>
      <c r="D271" s="1">
        <f>IFERROR(__xludf.DUMMYFUNCTION("""COMPUTED_VALUE"""),1.59)</f>
        <v>1.59</v>
      </c>
      <c r="E271" s="1">
        <f>IFERROR(__xludf.DUMMYFUNCTION("""COMPUTED_VALUE"""),1.61)</f>
        <v>1.61</v>
      </c>
      <c r="F271" s="1">
        <f>IFERROR(__xludf.DUMMYFUNCTION("""COMPUTED_VALUE"""),530331.0)</f>
        <v>530331</v>
      </c>
    </row>
    <row r="272">
      <c r="A272" s="2">
        <f>IFERROR(__xludf.DUMMYFUNCTION("""COMPUTED_VALUE"""),41061.666666666664)</f>
        <v>41061.66667</v>
      </c>
      <c r="B272" s="1">
        <f>IFERROR(__xludf.DUMMYFUNCTION("""COMPUTED_VALUE"""),1.62)</f>
        <v>1.62</v>
      </c>
      <c r="C272" s="1">
        <f>IFERROR(__xludf.DUMMYFUNCTION("""COMPUTED_VALUE"""),1.65)</f>
        <v>1.65</v>
      </c>
      <c r="D272" s="1">
        <f>IFERROR(__xludf.DUMMYFUNCTION("""COMPUTED_VALUE"""),1.48)</f>
        <v>1.48</v>
      </c>
      <c r="E272" s="1">
        <f>IFERROR(__xludf.DUMMYFUNCTION("""COMPUTED_VALUE"""),1.48)</f>
        <v>1.48</v>
      </c>
      <c r="F272" s="1">
        <f>IFERROR(__xludf.DUMMYFUNCTION("""COMPUTED_VALUE"""),708821.0)</f>
        <v>708821</v>
      </c>
    </row>
    <row r="273">
      <c r="A273" s="2">
        <f>IFERROR(__xludf.DUMMYFUNCTION("""COMPUTED_VALUE"""),41068.666666666664)</f>
        <v>41068.66667</v>
      </c>
      <c r="B273" s="1">
        <f>IFERROR(__xludf.DUMMYFUNCTION("""COMPUTED_VALUE"""),1.49)</f>
        <v>1.49</v>
      </c>
      <c r="C273" s="1">
        <f>IFERROR(__xludf.DUMMYFUNCTION("""COMPUTED_VALUE"""),1.66)</f>
        <v>1.66</v>
      </c>
      <c r="D273" s="1">
        <f>IFERROR(__xludf.DUMMYFUNCTION("""COMPUTED_VALUE"""),1.46)</f>
        <v>1.46</v>
      </c>
      <c r="E273" s="1">
        <f>IFERROR(__xludf.DUMMYFUNCTION("""COMPUTED_VALUE"""),1.63)</f>
        <v>1.63</v>
      </c>
      <c r="F273" s="1">
        <f>IFERROR(__xludf.DUMMYFUNCTION("""COMPUTED_VALUE"""),1019725.0)</f>
        <v>1019725</v>
      </c>
    </row>
    <row r="274">
      <c r="A274" s="2">
        <f>IFERROR(__xludf.DUMMYFUNCTION("""COMPUTED_VALUE"""),41075.666666666664)</f>
        <v>41075.66667</v>
      </c>
      <c r="B274" s="1">
        <f>IFERROR(__xludf.DUMMYFUNCTION("""COMPUTED_VALUE"""),1.64)</f>
        <v>1.64</v>
      </c>
      <c r="C274" s="1">
        <f>IFERROR(__xludf.DUMMYFUNCTION("""COMPUTED_VALUE"""),1.64)</f>
        <v>1.64</v>
      </c>
      <c r="D274" s="1">
        <f>IFERROR(__xludf.DUMMYFUNCTION("""COMPUTED_VALUE"""),1.47)</f>
        <v>1.47</v>
      </c>
      <c r="E274" s="1">
        <f>IFERROR(__xludf.DUMMYFUNCTION("""COMPUTED_VALUE"""),1.49)</f>
        <v>1.49</v>
      </c>
      <c r="F274" s="1">
        <f>IFERROR(__xludf.DUMMYFUNCTION("""COMPUTED_VALUE"""),739053.0)</f>
        <v>739053</v>
      </c>
    </row>
    <row r="275">
      <c r="A275" s="2">
        <f>IFERROR(__xludf.DUMMYFUNCTION("""COMPUTED_VALUE"""),41082.666666666664)</f>
        <v>41082.66667</v>
      </c>
      <c r="B275" s="1">
        <f>IFERROR(__xludf.DUMMYFUNCTION("""COMPUTED_VALUE"""),1.48)</f>
        <v>1.48</v>
      </c>
      <c r="C275" s="1">
        <f>IFERROR(__xludf.DUMMYFUNCTION("""COMPUTED_VALUE"""),1.56)</f>
        <v>1.56</v>
      </c>
      <c r="D275" s="1">
        <f>IFERROR(__xludf.DUMMYFUNCTION("""COMPUTED_VALUE"""),1.47)</f>
        <v>1.47</v>
      </c>
      <c r="E275" s="1">
        <f>IFERROR(__xludf.DUMMYFUNCTION("""COMPUTED_VALUE"""),1.55)</f>
        <v>1.55</v>
      </c>
      <c r="F275" s="1">
        <f>IFERROR(__xludf.DUMMYFUNCTION("""COMPUTED_VALUE"""),900641.0)</f>
        <v>900641</v>
      </c>
    </row>
    <row r="276">
      <c r="A276" s="2">
        <f>IFERROR(__xludf.DUMMYFUNCTION("""COMPUTED_VALUE"""),41089.666666666664)</f>
        <v>41089.66667</v>
      </c>
      <c r="B276" s="1">
        <f>IFERROR(__xludf.DUMMYFUNCTION("""COMPUTED_VALUE"""),1.53)</f>
        <v>1.53</v>
      </c>
      <c r="C276" s="1">
        <f>IFERROR(__xludf.DUMMYFUNCTION("""COMPUTED_VALUE"""),1.62)</f>
        <v>1.62</v>
      </c>
      <c r="D276" s="1">
        <f>IFERROR(__xludf.DUMMYFUNCTION("""COMPUTED_VALUE"""),1.49)</f>
        <v>1.49</v>
      </c>
      <c r="E276" s="1">
        <f>IFERROR(__xludf.DUMMYFUNCTION("""COMPUTED_VALUE"""),1.59)</f>
        <v>1.59</v>
      </c>
      <c r="F276" s="1">
        <f>IFERROR(__xludf.DUMMYFUNCTION("""COMPUTED_VALUE"""),1094721.0)</f>
        <v>1094721</v>
      </c>
    </row>
    <row r="277">
      <c r="A277" s="2">
        <f>IFERROR(__xludf.DUMMYFUNCTION("""COMPUTED_VALUE"""),41096.666666666664)</f>
        <v>41096.66667</v>
      </c>
      <c r="B277" s="1">
        <f>IFERROR(__xludf.DUMMYFUNCTION("""COMPUTED_VALUE"""),1.59)</f>
        <v>1.59</v>
      </c>
      <c r="C277" s="1">
        <f>IFERROR(__xludf.DUMMYFUNCTION("""COMPUTED_VALUE"""),1.64)</f>
        <v>1.64</v>
      </c>
      <c r="D277" s="1">
        <f>IFERROR(__xludf.DUMMYFUNCTION("""COMPUTED_VALUE"""),1.57)</f>
        <v>1.57</v>
      </c>
      <c r="E277" s="1">
        <f>IFERROR(__xludf.DUMMYFUNCTION("""COMPUTED_VALUE"""),1.58)</f>
        <v>1.58</v>
      </c>
      <c r="F277" s="1">
        <f>IFERROR(__xludf.DUMMYFUNCTION("""COMPUTED_VALUE"""),374778.0)</f>
        <v>374778</v>
      </c>
    </row>
    <row r="278">
      <c r="A278" s="2">
        <f>IFERROR(__xludf.DUMMYFUNCTION("""COMPUTED_VALUE"""),41103.666666666664)</f>
        <v>41103.66667</v>
      </c>
      <c r="B278" s="1">
        <f>IFERROR(__xludf.DUMMYFUNCTION("""COMPUTED_VALUE"""),1.58)</f>
        <v>1.58</v>
      </c>
      <c r="C278" s="1">
        <f>IFERROR(__xludf.DUMMYFUNCTION("""COMPUTED_VALUE"""),1.58)</f>
        <v>1.58</v>
      </c>
      <c r="D278" s="1">
        <f>IFERROR(__xludf.DUMMYFUNCTION("""COMPUTED_VALUE"""),1.44)</f>
        <v>1.44</v>
      </c>
      <c r="E278" s="1">
        <f>IFERROR(__xludf.DUMMYFUNCTION("""COMPUTED_VALUE"""),1.46)</f>
        <v>1.46</v>
      </c>
      <c r="F278" s="1">
        <f>IFERROR(__xludf.DUMMYFUNCTION("""COMPUTED_VALUE"""),496035.0)</f>
        <v>496035</v>
      </c>
    </row>
    <row r="279">
      <c r="A279" s="2">
        <f>IFERROR(__xludf.DUMMYFUNCTION("""COMPUTED_VALUE"""),41110.666666666664)</f>
        <v>41110.66667</v>
      </c>
      <c r="B279" s="1">
        <f>IFERROR(__xludf.DUMMYFUNCTION("""COMPUTED_VALUE"""),1.46)</f>
        <v>1.46</v>
      </c>
      <c r="C279" s="1">
        <f>IFERROR(__xludf.DUMMYFUNCTION("""COMPUTED_VALUE"""),1.48)</f>
        <v>1.48</v>
      </c>
      <c r="D279" s="1">
        <f>IFERROR(__xludf.DUMMYFUNCTION("""COMPUTED_VALUE"""),1.23)</f>
        <v>1.23</v>
      </c>
      <c r="E279" s="1">
        <f>IFERROR(__xludf.DUMMYFUNCTION("""COMPUTED_VALUE"""),1.3)</f>
        <v>1.3</v>
      </c>
      <c r="F279" s="1">
        <f>IFERROR(__xludf.DUMMYFUNCTION("""COMPUTED_VALUE"""),1951209.0)</f>
        <v>1951209</v>
      </c>
    </row>
    <row r="280">
      <c r="A280" s="2">
        <f>IFERROR(__xludf.DUMMYFUNCTION("""COMPUTED_VALUE"""),41117.666666666664)</f>
        <v>41117.66667</v>
      </c>
      <c r="B280" s="1">
        <f>IFERROR(__xludf.DUMMYFUNCTION("""COMPUTED_VALUE"""),1.27)</f>
        <v>1.27</v>
      </c>
      <c r="C280" s="1">
        <f>IFERROR(__xludf.DUMMYFUNCTION("""COMPUTED_VALUE"""),1.3)</f>
        <v>1.3</v>
      </c>
      <c r="D280" s="1">
        <f>IFERROR(__xludf.DUMMYFUNCTION("""COMPUTED_VALUE"""),1.21)</f>
        <v>1.21</v>
      </c>
      <c r="E280" s="1">
        <f>IFERROR(__xludf.DUMMYFUNCTION("""COMPUTED_VALUE"""),1.3)</f>
        <v>1.3</v>
      </c>
      <c r="F280" s="1">
        <f>IFERROR(__xludf.DUMMYFUNCTION("""COMPUTED_VALUE"""),1454083.0)</f>
        <v>1454083</v>
      </c>
    </row>
    <row r="281">
      <c r="A281" s="2">
        <f>IFERROR(__xludf.DUMMYFUNCTION("""COMPUTED_VALUE"""),41124.666666666664)</f>
        <v>41124.66667</v>
      </c>
      <c r="B281" s="1">
        <f>IFERROR(__xludf.DUMMYFUNCTION("""COMPUTED_VALUE"""),1.3)</f>
        <v>1.3</v>
      </c>
      <c r="C281" s="1">
        <f>IFERROR(__xludf.DUMMYFUNCTION("""COMPUTED_VALUE"""),1.31)</f>
        <v>1.31</v>
      </c>
      <c r="D281" s="1">
        <f>IFERROR(__xludf.DUMMYFUNCTION("""COMPUTED_VALUE"""),1.19)</f>
        <v>1.19</v>
      </c>
      <c r="E281" s="1">
        <f>IFERROR(__xludf.DUMMYFUNCTION("""COMPUTED_VALUE"""),1.24)</f>
        <v>1.24</v>
      </c>
      <c r="F281" s="1">
        <f>IFERROR(__xludf.DUMMYFUNCTION("""COMPUTED_VALUE"""),1635431.0)</f>
        <v>1635431</v>
      </c>
    </row>
    <row r="282">
      <c r="A282" s="2">
        <f>IFERROR(__xludf.DUMMYFUNCTION("""COMPUTED_VALUE"""),41131.666666666664)</f>
        <v>41131.66667</v>
      </c>
      <c r="B282" s="1">
        <f>IFERROR(__xludf.DUMMYFUNCTION("""COMPUTED_VALUE"""),1.25)</f>
        <v>1.25</v>
      </c>
      <c r="C282" s="1">
        <f>IFERROR(__xludf.DUMMYFUNCTION("""COMPUTED_VALUE"""),1.29)</f>
        <v>1.29</v>
      </c>
      <c r="D282" s="1">
        <f>IFERROR(__xludf.DUMMYFUNCTION("""COMPUTED_VALUE"""),1.16)</f>
        <v>1.16</v>
      </c>
      <c r="E282" s="1">
        <f>IFERROR(__xludf.DUMMYFUNCTION("""COMPUTED_VALUE"""),1.21)</f>
        <v>1.21</v>
      </c>
      <c r="F282" s="1">
        <f>IFERROR(__xludf.DUMMYFUNCTION("""COMPUTED_VALUE"""),1972073.0)</f>
        <v>1972073</v>
      </c>
    </row>
    <row r="283">
      <c r="A283" s="2">
        <f>IFERROR(__xludf.DUMMYFUNCTION("""COMPUTED_VALUE"""),41138.666666666664)</f>
        <v>41138.66667</v>
      </c>
      <c r="B283" s="1">
        <f>IFERROR(__xludf.DUMMYFUNCTION("""COMPUTED_VALUE"""),1.2)</f>
        <v>1.2</v>
      </c>
      <c r="C283" s="1">
        <f>IFERROR(__xludf.DUMMYFUNCTION("""COMPUTED_VALUE"""),1.21)</f>
        <v>1.21</v>
      </c>
      <c r="D283" s="1">
        <f>IFERROR(__xludf.DUMMYFUNCTION("""COMPUTED_VALUE"""),1.17)</f>
        <v>1.17</v>
      </c>
      <c r="E283" s="1">
        <f>IFERROR(__xludf.DUMMYFUNCTION("""COMPUTED_VALUE"""),1.19)</f>
        <v>1.19</v>
      </c>
      <c r="F283" s="1">
        <f>IFERROR(__xludf.DUMMYFUNCTION("""COMPUTED_VALUE"""),856381.0)</f>
        <v>856381</v>
      </c>
    </row>
    <row r="284">
      <c r="A284" s="2">
        <f>IFERROR(__xludf.DUMMYFUNCTION("""COMPUTED_VALUE"""),41145.666666666664)</f>
        <v>41145.66667</v>
      </c>
      <c r="B284" s="1">
        <f>IFERROR(__xludf.DUMMYFUNCTION("""COMPUTED_VALUE"""),1.18)</f>
        <v>1.18</v>
      </c>
      <c r="C284" s="1">
        <f>IFERROR(__xludf.DUMMYFUNCTION("""COMPUTED_VALUE"""),1.26)</f>
        <v>1.26</v>
      </c>
      <c r="D284" s="1">
        <f>IFERROR(__xludf.DUMMYFUNCTION("""COMPUTED_VALUE"""),1.17)</f>
        <v>1.17</v>
      </c>
      <c r="E284" s="1">
        <f>IFERROR(__xludf.DUMMYFUNCTION("""COMPUTED_VALUE"""),1.22)</f>
        <v>1.22</v>
      </c>
      <c r="F284" s="1">
        <f>IFERROR(__xludf.DUMMYFUNCTION("""COMPUTED_VALUE"""),989644.0)</f>
        <v>989644</v>
      </c>
    </row>
    <row r="285">
      <c r="A285" s="2">
        <f>IFERROR(__xludf.DUMMYFUNCTION("""COMPUTED_VALUE"""),41152.666666666664)</f>
        <v>41152.66667</v>
      </c>
      <c r="B285" s="1">
        <f>IFERROR(__xludf.DUMMYFUNCTION("""COMPUTED_VALUE"""),1.23)</f>
        <v>1.23</v>
      </c>
      <c r="C285" s="1">
        <f>IFERROR(__xludf.DUMMYFUNCTION("""COMPUTED_VALUE"""),1.27)</f>
        <v>1.27</v>
      </c>
      <c r="D285" s="1">
        <f>IFERROR(__xludf.DUMMYFUNCTION("""COMPUTED_VALUE"""),1.21)</f>
        <v>1.21</v>
      </c>
      <c r="E285" s="1">
        <f>IFERROR(__xludf.DUMMYFUNCTION("""COMPUTED_VALUE"""),1.23)</f>
        <v>1.23</v>
      </c>
      <c r="F285" s="1">
        <f>IFERROR(__xludf.DUMMYFUNCTION("""COMPUTED_VALUE"""),668869.0)</f>
        <v>668869</v>
      </c>
    </row>
    <row r="286">
      <c r="A286" s="2">
        <f>IFERROR(__xludf.DUMMYFUNCTION("""COMPUTED_VALUE"""),41159.666666666664)</f>
        <v>41159.66667</v>
      </c>
      <c r="B286" s="1">
        <f>IFERROR(__xludf.DUMMYFUNCTION("""COMPUTED_VALUE"""),1.24)</f>
        <v>1.24</v>
      </c>
      <c r="C286" s="1">
        <f>IFERROR(__xludf.DUMMYFUNCTION("""COMPUTED_VALUE"""),1.31)</f>
        <v>1.31</v>
      </c>
      <c r="D286" s="1">
        <f>IFERROR(__xludf.DUMMYFUNCTION("""COMPUTED_VALUE"""),1.2)</f>
        <v>1.2</v>
      </c>
      <c r="E286" s="1">
        <f>IFERROR(__xludf.DUMMYFUNCTION("""COMPUTED_VALUE"""),1.31)</f>
        <v>1.31</v>
      </c>
      <c r="F286" s="1">
        <f>IFERROR(__xludf.DUMMYFUNCTION("""COMPUTED_VALUE"""),712504.0)</f>
        <v>712504</v>
      </c>
    </row>
    <row r="287">
      <c r="A287" s="2">
        <f>IFERROR(__xludf.DUMMYFUNCTION("""COMPUTED_VALUE"""),41166.666666666664)</f>
        <v>41166.66667</v>
      </c>
      <c r="B287" s="1">
        <f>IFERROR(__xludf.DUMMYFUNCTION("""COMPUTED_VALUE"""),1.31)</f>
        <v>1.31</v>
      </c>
      <c r="C287" s="1">
        <f>IFERROR(__xludf.DUMMYFUNCTION("""COMPUTED_VALUE"""),1.37)</f>
        <v>1.37</v>
      </c>
      <c r="D287" s="1">
        <f>IFERROR(__xludf.DUMMYFUNCTION("""COMPUTED_VALUE"""),1.3)</f>
        <v>1.3</v>
      </c>
      <c r="E287" s="1">
        <f>IFERROR(__xludf.DUMMYFUNCTION("""COMPUTED_VALUE"""),1.33)</f>
        <v>1.33</v>
      </c>
      <c r="F287" s="1">
        <f>IFERROR(__xludf.DUMMYFUNCTION("""COMPUTED_VALUE"""),568381.0)</f>
        <v>568381</v>
      </c>
    </row>
    <row r="288">
      <c r="A288" s="2">
        <f>IFERROR(__xludf.DUMMYFUNCTION("""COMPUTED_VALUE"""),41173.666666666664)</f>
        <v>41173.66667</v>
      </c>
      <c r="B288" s="1">
        <f>IFERROR(__xludf.DUMMYFUNCTION("""COMPUTED_VALUE"""),1.33)</f>
        <v>1.33</v>
      </c>
      <c r="C288" s="1">
        <f>IFERROR(__xludf.DUMMYFUNCTION("""COMPUTED_VALUE"""),1.38)</f>
        <v>1.38</v>
      </c>
      <c r="D288" s="1">
        <f>IFERROR(__xludf.DUMMYFUNCTION("""COMPUTED_VALUE"""),1.24)</f>
        <v>1.24</v>
      </c>
      <c r="E288" s="1">
        <f>IFERROR(__xludf.DUMMYFUNCTION("""COMPUTED_VALUE"""),1.24)</f>
        <v>1.24</v>
      </c>
      <c r="F288" s="1">
        <f>IFERROR(__xludf.DUMMYFUNCTION("""COMPUTED_VALUE"""),1140590.0)</f>
        <v>1140590</v>
      </c>
    </row>
    <row r="289">
      <c r="A289" s="2">
        <f>IFERROR(__xludf.DUMMYFUNCTION("""COMPUTED_VALUE"""),41180.666666666664)</f>
        <v>41180.66667</v>
      </c>
      <c r="B289" s="1">
        <f>IFERROR(__xludf.DUMMYFUNCTION("""COMPUTED_VALUE"""),1.19)</f>
        <v>1.19</v>
      </c>
      <c r="C289" s="1">
        <f>IFERROR(__xludf.DUMMYFUNCTION("""COMPUTED_VALUE"""),1.25)</f>
        <v>1.25</v>
      </c>
      <c r="D289" s="1">
        <f>IFERROR(__xludf.DUMMYFUNCTION("""COMPUTED_VALUE"""),1.19)</f>
        <v>1.19</v>
      </c>
      <c r="E289" s="1">
        <f>IFERROR(__xludf.DUMMYFUNCTION("""COMPUTED_VALUE"""),1.2)</f>
        <v>1.2</v>
      </c>
      <c r="F289" s="1">
        <f>IFERROR(__xludf.DUMMYFUNCTION("""COMPUTED_VALUE"""),1982476.0)</f>
        <v>1982476</v>
      </c>
    </row>
    <row r="290">
      <c r="A290" s="2">
        <f>IFERROR(__xludf.DUMMYFUNCTION("""COMPUTED_VALUE"""),41187.666666666664)</f>
        <v>41187.66667</v>
      </c>
      <c r="B290" s="1">
        <f>IFERROR(__xludf.DUMMYFUNCTION("""COMPUTED_VALUE"""),1.21)</f>
        <v>1.21</v>
      </c>
      <c r="C290" s="1">
        <f>IFERROR(__xludf.DUMMYFUNCTION("""COMPUTED_VALUE"""),1.24)</f>
        <v>1.24</v>
      </c>
      <c r="D290" s="1">
        <f>IFERROR(__xludf.DUMMYFUNCTION("""COMPUTED_VALUE"""),1.1)</f>
        <v>1.1</v>
      </c>
      <c r="E290" s="1">
        <f>IFERROR(__xludf.DUMMYFUNCTION("""COMPUTED_VALUE"""),1.1)</f>
        <v>1.1</v>
      </c>
      <c r="F290" s="1">
        <f>IFERROR(__xludf.DUMMYFUNCTION("""COMPUTED_VALUE"""),1021449.0)</f>
        <v>1021449</v>
      </c>
    </row>
    <row r="291">
      <c r="A291" s="2">
        <f>IFERROR(__xludf.DUMMYFUNCTION("""COMPUTED_VALUE"""),41194.666666666664)</f>
        <v>41194.66667</v>
      </c>
      <c r="B291" s="1">
        <f>IFERROR(__xludf.DUMMYFUNCTION("""COMPUTED_VALUE"""),1.1)</f>
        <v>1.1</v>
      </c>
      <c r="C291" s="1">
        <f>IFERROR(__xludf.DUMMYFUNCTION("""COMPUTED_VALUE"""),1.1)</f>
        <v>1.1</v>
      </c>
      <c r="D291" s="1">
        <f>IFERROR(__xludf.DUMMYFUNCTION("""COMPUTED_VALUE"""),0.88)</f>
        <v>0.88</v>
      </c>
      <c r="E291" s="1">
        <f>IFERROR(__xludf.DUMMYFUNCTION("""COMPUTED_VALUE"""),0.88)</f>
        <v>0.88</v>
      </c>
      <c r="F291" s="1">
        <f>IFERROR(__xludf.DUMMYFUNCTION("""COMPUTED_VALUE"""),2488224.0)</f>
        <v>2488224</v>
      </c>
    </row>
    <row r="292">
      <c r="A292" s="2">
        <f>IFERROR(__xludf.DUMMYFUNCTION("""COMPUTED_VALUE"""),41201.666666666664)</f>
        <v>41201.66667</v>
      </c>
      <c r="B292" s="1">
        <f>IFERROR(__xludf.DUMMYFUNCTION("""COMPUTED_VALUE"""),0.89)</f>
        <v>0.89</v>
      </c>
      <c r="C292" s="1">
        <f>IFERROR(__xludf.DUMMYFUNCTION("""COMPUTED_VALUE"""),0.95)</f>
        <v>0.95</v>
      </c>
      <c r="D292" s="1">
        <f>IFERROR(__xludf.DUMMYFUNCTION("""COMPUTED_VALUE"""),0.88)</f>
        <v>0.88</v>
      </c>
      <c r="E292" s="1">
        <f>IFERROR(__xludf.DUMMYFUNCTION("""COMPUTED_VALUE"""),0.89)</f>
        <v>0.89</v>
      </c>
      <c r="F292" s="1">
        <f>IFERROR(__xludf.DUMMYFUNCTION("""COMPUTED_VALUE"""),1160309.0)</f>
        <v>1160309</v>
      </c>
    </row>
    <row r="293">
      <c r="A293" s="2">
        <f>IFERROR(__xludf.DUMMYFUNCTION("""COMPUTED_VALUE"""),41208.666666666664)</f>
        <v>41208.66667</v>
      </c>
      <c r="B293" s="1">
        <f>IFERROR(__xludf.DUMMYFUNCTION("""COMPUTED_VALUE"""),0.89)</f>
        <v>0.89</v>
      </c>
      <c r="C293" s="1">
        <f>IFERROR(__xludf.DUMMYFUNCTION("""COMPUTED_VALUE"""),0.94)</f>
        <v>0.94</v>
      </c>
      <c r="D293" s="1">
        <f>IFERROR(__xludf.DUMMYFUNCTION("""COMPUTED_VALUE"""),0.8)</f>
        <v>0.8</v>
      </c>
      <c r="E293" s="1">
        <f>IFERROR(__xludf.DUMMYFUNCTION("""COMPUTED_VALUE"""),0.8)</f>
        <v>0.8</v>
      </c>
      <c r="F293" s="1">
        <f>IFERROR(__xludf.DUMMYFUNCTION("""COMPUTED_VALUE"""),2517796.0)</f>
        <v>2517796</v>
      </c>
    </row>
    <row r="294">
      <c r="A294" s="2">
        <f>IFERROR(__xludf.DUMMYFUNCTION("""COMPUTED_VALUE"""),41215.666666666664)</f>
        <v>41215.66667</v>
      </c>
      <c r="B294" s="1">
        <f>IFERROR(__xludf.DUMMYFUNCTION("""COMPUTED_VALUE"""),0.8)</f>
        <v>0.8</v>
      </c>
      <c r="C294" s="1">
        <f>IFERROR(__xludf.DUMMYFUNCTION("""COMPUTED_VALUE"""),0.82)</f>
        <v>0.82</v>
      </c>
      <c r="D294" s="1">
        <f>IFERROR(__xludf.DUMMYFUNCTION("""COMPUTED_VALUE"""),0.79)</f>
        <v>0.79</v>
      </c>
      <c r="E294" s="1">
        <f>IFERROR(__xludf.DUMMYFUNCTION("""COMPUTED_VALUE"""),0.8)</f>
        <v>0.8</v>
      </c>
      <c r="F294" s="1">
        <f>IFERROR(__xludf.DUMMYFUNCTION("""COMPUTED_VALUE"""),838816.0)</f>
        <v>838816</v>
      </c>
    </row>
    <row r="295">
      <c r="A295" s="2">
        <f>IFERROR(__xludf.DUMMYFUNCTION("""COMPUTED_VALUE"""),41222.666666666664)</f>
        <v>41222.66667</v>
      </c>
      <c r="B295" s="1">
        <f>IFERROR(__xludf.DUMMYFUNCTION("""COMPUTED_VALUE"""),0.8)</f>
        <v>0.8</v>
      </c>
      <c r="C295" s="1">
        <f>IFERROR(__xludf.DUMMYFUNCTION("""COMPUTED_VALUE"""),0.82)</f>
        <v>0.82</v>
      </c>
      <c r="D295" s="1">
        <f>IFERROR(__xludf.DUMMYFUNCTION("""COMPUTED_VALUE"""),0.79)</f>
        <v>0.79</v>
      </c>
      <c r="E295" s="1">
        <f>IFERROR(__xludf.DUMMYFUNCTION("""COMPUTED_VALUE"""),0.81)</f>
        <v>0.81</v>
      </c>
      <c r="F295" s="1">
        <f>IFERROR(__xludf.DUMMYFUNCTION("""COMPUTED_VALUE"""),827082.0)</f>
        <v>827082</v>
      </c>
    </row>
    <row r="296">
      <c r="A296" s="2">
        <f>IFERROR(__xludf.DUMMYFUNCTION("""COMPUTED_VALUE"""),41229.666666666664)</f>
        <v>41229.66667</v>
      </c>
      <c r="B296" s="1">
        <f>IFERROR(__xludf.DUMMYFUNCTION("""COMPUTED_VALUE"""),0.81)</f>
        <v>0.81</v>
      </c>
      <c r="C296" s="1">
        <f>IFERROR(__xludf.DUMMYFUNCTION("""COMPUTED_VALUE"""),0.83)</f>
        <v>0.83</v>
      </c>
      <c r="D296" s="1">
        <f>IFERROR(__xludf.DUMMYFUNCTION("""COMPUTED_VALUE"""),0.79)</f>
        <v>0.79</v>
      </c>
      <c r="E296" s="1">
        <f>IFERROR(__xludf.DUMMYFUNCTION("""COMPUTED_VALUE"""),0.81)</f>
        <v>0.81</v>
      </c>
      <c r="F296" s="1">
        <f>IFERROR(__xludf.DUMMYFUNCTION("""COMPUTED_VALUE"""),1470688.0)</f>
        <v>1470688</v>
      </c>
    </row>
    <row r="297">
      <c r="A297" s="2">
        <f>IFERROR(__xludf.DUMMYFUNCTION("""COMPUTED_VALUE"""),41236.666666666664)</f>
        <v>41236.66667</v>
      </c>
      <c r="B297" s="1">
        <f>IFERROR(__xludf.DUMMYFUNCTION("""COMPUTED_VALUE"""),0.82)</f>
        <v>0.82</v>
      </c>
      <c r="C297" s="1">
        <f>IFERROR(__xludf.DUMMYFUNCTION("""COMPUTED_VALUE"""),0.87)</f>
        <v>0.87</v>
      </c>
      <c r="D297" s="1">
        <f>IFERROR(__xludf.DUMMYFUNCTION("""COMPUTED_VALUE"""),0.82)</f>
        <v>0.82</v>
      </c>
      <c r="E297" s="1">
        <f>IFERROR(__xludf.DUMMYFUNCTION("""COMPUTED_VALUE"""),0.86)</f>
        <v>0.86</v>
      </c>
      <c r="F297" s="1">
        <f>IFERROR(__xludf.DUMMYFUNCTION("""COMPUTED_VALUE"""),487676.0)</f>
        <v>487676</v>
      </c>
    </row>
    <row r="298">
      <c r="A298" s="2">
        <f>IFERROR(__xludf.DUMMYFUNCTION("""COMPUTED_VALUE"""),41243.666666666664)</f>
        <v>41243.66667</v>
      </c>
      <c r="B298" s="1">
        <f>IFERROR(__xludf.DUMMYFUNCTION("""COMPUTED_VALUE"""),0.86)</f>
        <v>0.86</v>
      </c>
      <c r="C298" s="1">
        <f>IFERROR(__xludf.DUMMYFUNCTION("""COMPUTED_VALUE"""),0.95)</f>
        <v>0.95</v>
      </c>
      <c r="D298" s="1">
        <f>IFERROR(__xludf.DUMMYFUNCTION("""COMPUTED_VALUE"""),0.86)</f>
        <v>0.86</v>
      </c>
      <c r="E298" s="1">
        <f>IFERROR(__xludf.DUMMYFUNCTION("""COMPUTED_VALUE"""),0.93)</f>
        <v>0.93</v>
      </c>
      <c r="F298" s="1">
        <f>IFERROR(__xludf.DUMMYFUNCTION("""COMPUTED_VALUE"""),1071649.0)</f>
        <v>1071649</v>
      </c>
    </row>
    <row r="299">
      <c r="A299" s="2">
        <f>IFERROR(__xludf.DUMMYFUNCTION("""COMPUTED_VALUE"""),41250.666666666664)</f>
        <v>41250.66667</v>
      </c>
      <c r="B299" s="1">
        <f>IFERROR(__xludf.DUMMYFUNCTION("""COMPUTED_VALUE"""),0.94)</f>
        <v>0.94</v>
      </c>
      <c r="C299" s="1">
        <f>IFERROR(__xludf.DUMMYFUNCTION("""COMPUTED_VALUE"""),0.94)</f>
        <v>0.94</v>
      </c>
      <c r="D299" s="1">
        <f>IFERROR(__xludf.DUMMYFUNCTION("""COMPUTED_VALUE"""),0.85)</f>
        <v>0.85</v>
      </c>
      <c r="E299" s="1">
        <f>IFERROR(__xludf.DUMMYFUNCTION("""COMPUTED_VALUE"""),0.92)</f>
        <v>0.92</v>
      </c>
      <c r="F299" s="1">
        <f>IFERROR(__xludf.DUMMYFUNCTION("""COMPUTED_VALUE"""),657063.0)</f>
        <v>657063</v>
      </c>
    </row>
    <row r="300">
      <c r="A300" s="2">
        <f>IFERROR(__xludf.DUMMYFUNCTION("""COMPUTED_VALUE"""),41257.666666666664)</f>
        <v>41257.66667</v>
      </c>
      <c r="B300" s="1">
        <f>IFERROR(__xludf.DUMMYFUNCTION("""COMPUTED_VALUE"""),0.92)</f>
        <v>0.92</v>
      </c>
      <c r="C300" s="1">
        <f>IFERROR(__xludf.DUMMYFUNCTION("""COMPUTED_VALUE"""),0.97)</f>
        <v>0.97</v>
      </c>
      <c r="D300" s="1">
        <f>IFERROR(__xludf.DUMMYFUNCTION("""COMPUTED_VALUE"""),0.9)</f>
        <v>0.9</v>
      </c>
      <c r="E300" s="1">
        <f>IFERROR(__xludf.DUMMYFUNCTION("""COMPUTED_VALUE"""),0.91)</f>
        <v>0.91</v>
      </c>
      <c r="F300" s="1">
        <f>IFERROR(__xludf.DUMMYFUNCTION("""COMPUTED_VALUE"""),746908.0)</f>
        <v>746908</v>
      </c>
    </row>
    <row r="301">
      <c r="A301" s="2">
        <f>IFERROR(__xludf.DUMMYFUNCTION("""COMPUTED_VALUE"""),41264.666666666664)</f>
        <v>41264.66667</v>
      </c>
      <c r="B301" s="1">
        <f>IFERROR(__xludf.DUMMYFUNCTION("""COMPUTED_VALUE"""),0.92)</f>
        <v>0.92</v>
      </c>
      <c r="C301" s="1">
        <f>IFERROR(__xludf.DUMMYFUNCTION("""COMPUTED_VALUE"""),1.01)</f>
        <v>1.01</v>
      </c>
      <c r="D301" s="1">
        <f>IFERROR(__xludf.DUMMYFUNCTION("""COMPUTED_VALUE"""),0.91)</f>
        <v>0.91</v>
      </c>
      <c r="E301" s="1">
        <f>IFERROR(__xludf.DUMMYFUNCTION("""COMPUTED_VALUE"""),1.0)</f>
        <v>1</v>
      </c>
      <c r="F301" s="1">
        <f>IFERROR(__xludf.DUMMYFUNCTION("""COMPUTED_VALUE"""),1085173.0)</f>
        <v>1085173</v>
      </c>
    </row>
    <row r="302">
      <c r="A302" s="2">
        <f>IFERROR(__xludf.DUMMYFUNCTION("""COMPUTED_VALUE"""),41271.666666666664)</f>
        <v>41271.66667</v>
      </c>
      <c r="B302" s="1">
        <f>IFERROR(__xludf.DUMMYFUNCTION("""COMPUTED_VALUE"""),1.0)</f>
        <v>1</v>
      </c>
      <c r="C302" s="1">
        <f>IFERROR(__xludf.DUMMYFUNCTION("""COMPUTED_VALUE"""),1.03)</f>
        <v>1.03</v>
      </c>
      <c r="D302" s="1">
        <f>IFERROR(__xludf.DUMMYFUNCTION("""COMPUTED_VALUE"""),0.96)</f>
        <v>0.96</v>
      </c>
      <c r="E302" s="1">
        <f>IFERROR(__xludf.DUMMYFUNCTION("""COMPUTED_VALUE"""),0.96)</f>
        <v>0.96</v>
      </c>
      <c r="F302" s="1">
        <f>IFERROR(__xludf.DUMMYFUNCTION("""COMPUTED_VALUE"""),260587.0)</f>
        <v>260587</v>
      </c>
    </row>
    <row r="303">
      <c r="A303" s="2">
        <f>IFERROR(__xludf.DUMMYFUNCTION("""COMPUTED_VALUE"""),41278.666666666664)</f>
        <v>41278.66667</v>
      </c>
      <c r="B303" s="1">
        <f>IFERROR(__xludf.DUMMYFUNCTION("""COMPUTED_VALUE"""),0.96)</f>
        <v>0.96</v>
      </c>
      <c r="C303" s="1">
        <f>IFERROR(__xludf.DUMMYFUNCTION("""COMPUTED_VALUE"""),1.07)</f>
        <v>1.07</v>
      </c>
      <c r="D303" s="1">
        <f>IFERROR(__xludf.DUMMYFUNCTION("""COMPUTED_VALUE"""),0.96)</f>
        <v>0.96</v>
      </c>
      <c r="E303" s="1">
        <f>IFERROR(__xludf.DUMMYFUNCTION("""COMPUTED_VALUE"""),1.04)</f>
        <v>1.04</v>
      </c>
      <c r="F303" s="1">
        <f>IFERROR(__xludf.DUMMYFUNCTION("""COMPUTED_VALUE"""),1098170.0)</f>
        <v>1098170</v>
      </c>
    </row>
    <row r="304">
      <c r="A304" s="2">
        <f>IFERROR(__xludf.DUMMYFUNCTION("""COMPUTED_VALUE"""),41285.666666666664)</f>
        <v>41285.66667</v>
      </c>
      <c r="B304" s="1">
        <f>IFERROR(__xludf.DUMMYFUNCTION("""COMPUTED_VALUE"""),1.04)</f>
        <v>1.04</v>
      </c>
      <c r="C304" s="1">
        <f>IFERROR(__xludf.DUMMYFUNCTION("""COMPUTED_VALUE"""),1.05)</f>
        <v>1.05</v>
      </c>
      <c r="D304" s="1">
        <f>IFERROR(__xludf.DUMMYFUNCTION("""COMPUTED_VALUE"""),0.98)</f>
        <v>0.98</v>
      </c>
      <c r="E304" s="1">
        <f>IFERROR(__xludf.DUMMYFUNCTION("""COMPUTED_VALUE"""),1.0)</f>
        <v>1</v>
      </c>
      <c r="F304" s="1">
        <f>IFERROR(__xludf.DUMMYFUNCTION("""COMPUTED_VALUE"""),751990.0)</f>
        <v>751990</v>
      </c>
    </row>
    <row r="305">
      <c r="A305" s="2">
        <f>IFERROR(__xludf.DUMMYFUNCTION("""COMPUTED_VALUE"""),41292.666666666664)</f>
        <v>41292.66667</v>
      </c>
      <c r="B305" s="1">
        <f>IFERROR(__xludf.DUMMYFUNCTION("""COMPUTED_VALUE"""),1.0)</f>
        <v>1</v>
      </c>
      <c r="C305" s="1">
        <f>IFERROR(__xludf.DUMMYFUNCTION("""COMPUTED_VALUE"""),1.03)</f>
        <v>1.03</v>
      </c>
      <c r="D305" s="1">
        <f>IFERROR(__xludf.DUMMYFUNCTION("""COMPUTED_VALUE"""),0.98)</f>
        <v>0.98</v>
      </c>
      <c r="E305" s="1">
        <f>IFERROR(__xludf.DUMMYFUNCTION("""COMPUTED_VALUE"""),1.03)</f>
        <v>1.03</v>
      </c>
      <c r="F305" s="1">
        <f>IFERROR(__xludf.DUMMYFUNCTION("""COMPUTED_VALUE"""),746669.0)</f>
        <v>746669</v>
      </c>
    </row>
    <row r="306">
      <c r="A306" s="2">
        <f>IFERROR(__xludf.DUMMYFUNCTION("""COMPUTED_VALUE"""),41299.666666666664)</f>
        <v>41299.66667</v>
      </c>
      <c r="B306" s="1">
        <f>IFERROR(__xludf.DUMMYFUNCTION("""COMPUTED_VALUE"""),1.03)</f>
        <v>1.03</v>
      </c>
      <c r="C306" s="1">
        <f>IFERROR(__xludf.DUMMYFUNCTION("""COMPUTED_VALUE"""),1.32)</f>
        <v>1.32</v>
      </c>
      <c r="D306" s="1">
        <f>IFERROR(__xludf.DUMMYFUNCTION("""COMPUTED_VALUE"""),1.02)</f>
        <v>1.02</v>
      </c>
      <c r="E306" s="1">
        <f>IFERROR(__xludf.DUMMYFUNCTION("""COMPUTED_VALUE"""),1.24)</f>
        <v>1.24</v>
      </c>
      <c r="F306" s="1">
        <f>IFERROR(__xludf.DUMMYFUNCTION("""COMPUTED_VALUE"""),2554942.0)</f>
        <v>2554942</v>
      </c>
    </row>
    <row r="307">
      <c r="A307" s="2">
        <f>IFERROR(__xludf.DUMMYFUNCTION("""COMPUTED_VALUE"""),41306.666666666664)</f>
        <v>41306.66667</v>
      </c>
      <c r="B307" s="1">
        <f>IFERROR(__xludf.DUMMYFUNCTION("""COMPUTED_VALUE"""),1.24)</f>
        <v>1.24</v>
      </c>
      <c r="C307" s="1">
        <f>IFERROR(__xludf.DUMMYFUNCTION("""COMPUTED_VALUE"""),1.26)</f>
        <v>1.26</v>
      </c>
      <c r="D307" s="1">
        <f>IFERROR(__xludf.DUMMYFUNCTION("""COMPUTED_VALUE"""),1.2)</f>
        <v>1.2</v>
      </c>
      <c r="E307" s="1">
        <f>IFERROR(__xludf.DUMMYFUNCTION("""COMPUTED_VALUE"""),1.26)</f>
        <v>1.26</v>
      </c>
      <c r="F307" s="1">
        <f>IFERROR(__xludf.DUMMYFUNCTION("""COMPUTED_VALUE"""),1297348.0)</f>
        <v>1297348</v>
      </c>
    </row>
    <row r="308">
      <c r="A308" s="2">
        <f>IFERROR(__xludf.DUMMYFUNCTION("""COMPUTED_VALUE"""),41313.666666666664)</f>
        <v>41313.66667</v>
      </c>
      <c r="B308" s="1">
        <f>IFERROR(__xludf.DUMMYFUNCTION("""COMPUTED_VALUE"""),1.25)</f>
        <v>1.25</v>
      </c>
      <c r="C308" s="1">
        <f>IFERROR(__xludf.DUMMYFUNCTION("""COMPUTED_VALUE"""),1.28)</f>
        <v>1.28</v>
      </c>
      <c r="D308" s="1">
        <f>IFERROR(__xludf.DUMMYFUNCTION("""COMPUTED_VALUE"""),1.22)</f>
        <v>1.22</v>
      </c>
      <c r="E308" s="1">
        <f>IFERROR(__xludf.DUMMYFUNCTION("""COMPUTED_VALUE"""),1.27)</f>
        <v>1.27</v>
      </c>
      <c r="F308" s="1">
        <f>IFERROR(__xludf.DUMMYFUNCTION("""COMPUTED_VALUE"""),1426525.0)</f>
        <v>1426525</v>
      </c>
    </row>
    <row r="309">
      <c r="A309" s="2">
        <f>IFERROR(__xludf.DUMMYFUNCTION("""COMPUTED_VALUE"""),41320.666666666664)</f>
        <v>41320.66667</v>
      </c>
      <c r="B309" s="1">
        <f>IFERROR(__xludf.DUMMYFUNCTION("""COMPUTED_VALUE"""),1.26)</f>
        <v>1.26</v>
      </c>
      <c r="C309" s="1">
        <f>IFERROR(__xludf.DUMMYFUNCTION("""COMPUTED_VALUE"""),1.27)</f>
        <v>1.27</v>
      </c>
      <c r="D309" s="1">
        <f>IFERROR(__xludf.DUMMYFUNCTION("""COMPUTED_VALUE"""),1.21)</f>
        <v>1.21</v>
      </c>
      <c r="E309" s="1">
        <f>IFERROR(__xludf.DUMMYFUNCTION("""COMPUTED_VALUE"""),1.25)</f>
        <v>1.25</v>
      </c>
      <c r="F309" s="1">
        <f>IFERROR(__xludf.DUMMYFUNCTION("""COMPUTED_VALUE"""),507690.0)</f>
        <v>507690</v>
      </c>
    </row>
    <row r="310">
      <c r="A310" s="2">
        <f>IFERROR(__xludf.DUMMYFUNCTION("""COMPUTED_VALUE"""),41327.666666666664)</f>
        <v>41327.66667</v>
      </c>
      <c r="B310" s="1">
        <f>IFERROR(__xludf.DUMMYFUNCTION("""COMPUTED_VALUE"""),1.25)</f>
        <v>1.25</v>
      </c>
      <c r="C310" s="1">
        <f>IFERROR(__xludf.DUMMYFUNCTION("""COMPUTED_VALUE"""),1.25)</f>
        <v>1.25</v>
      </c>
      <c r="D310" s="1">
        <f>IFERROR(__xludf.DUMMYFUNCTION("""COMPUTED_VALUE"""),1.16)</f>
        <v>1.16</v>
      </c>
      <c r="E310" s="1">
        <f>IFERROR(__xludf.DUMMYFUNCTION("""COMPUTED_VALUE"""),1.19)</f>
        <v>1.19</v>
      </c>
      <c r="F310" s="1">
        <f>IFERROR(__xludf.DUMMYFUNCTION("""COMPUTED_VALUE"""),1134311.0)</f>
        <v>1134311</v>
      </c>
    </row>
    <row r="311">
      <c r="A311" s="2">
        <f>IFERROR(__xludf.DUMMYFUNCTION("""COMPUTED_VALUE"""),41334.666666666664)</f>
        <v>41334.66667</v>
      </c>
      <c r="B311" s="1">
        <f>IFERROR(__xludf.DUMMYFUNCTION("""COMPUTED_VALUE"""),1.2)</f>
        <v>1.2</v>
      </c>
      <c r="C311" s="1">
        <f>IFERROR(__xludf.DUMMYFUNCTION("""COMPUTED_VALUE"""),1.21)</f>
        <v>1.21</v>
      </c>
      <c r="D311" s="1">
        <f>IFERROR(__xludf.DUMMYFUNCTION("""COMPUTED_VALUE"""),1.14)</f>
        <v>1.14</v>
      </c>
      <c r="E311" s="1">
        <f>IFERROR(__xludf.DUMMYFUNCTION("""COMPUTED_VALUE"""),1.19)</f>
        <v>1.19</v>
      </c>
      <c r="F311" s="1">
        <f>IFERROR(__xludf.DUMMYFUNCTION("""COMPUTED_VALUE"""),705314.0)</f>
        <v>705314</v>
      </c>
    </row>
    <row r="312">
      <c r="A312" s="2">
        <f>IFERROR(__xludf.DUMMYFUNCTION("""COMPUTED_VALUE"""),41341.666666666664)</f>
        <v>41341.66667</v>
      </c>
      <c r="B312" s="1">
        <f>IFERROR(__xludf.DUMMYFUNCTION("""COMPUTED_VALUE"""),1.18)</f>
        <v>1.18</v>
      </c>
      <c r="C312" s="1">
        <f>IFERROR(__xludf.DUMMYFUNCTION("""COMPUTED_VALUE"""),1.19)</f>
        <v>1.19</v>
      </c>
      <c r="D312" s="1">
        <f>IFERROR(__xludf.DUMMYFUNCTION("""COMPUTED_VALUE"""),1.12)</f>
        <v>1.12</v>
      </c>
      <c r="E312" s="1">
        <f>IFERROR(__xludf.DUMMYFUNCTION("""COMPUTED_VALUE"""),1.16)</f>
        <v>1.16</v>
      </c>
      <c r="F312" s="1">
        <f>IFERROR(__xludf.DUMMYFUNCTION("""COMPUTED_VALUE"""),608931.0)</f>
        <v>608931</v>
      </c>
    </row>
    <row r="313">
      <c r="A313" s="2">
        <f>IFERROR(__xludf.DUMMYFUNCTION("""COMPUTED_VALUE"""),41348.666666666664)</f>
        <v>41348.66667</v>
      </c>
      <c r="B313" s="1">
        <f>IFERROR(__xludf.DUMMYFUNCTION("""COMPUTED_VALUE"""),1.15)</f>
        <v>1.15</v>
      </c>
      <c r="C313" s="1">
        <f>IFERROR(__xludf.DUMMYFUNCTION("""COMPUTED_VALUE"""),1.18)</f>
        <v>1.18</v>
      </c>
      <c r="D313" s="1">
        <f>IFERROR(__xludf.DUMMYFUNCTION("""COMPUTED_VALUE"""),1.14)</f>
        <v>1.14</v>
      </c>
      <c r="E313" s="1">
        <f>IFERROR(__xludf.DUMMYFUNCTION("""COMPUTED_VALUE"""),1.17)</f>
        <v>1.17</v>
      </c>
      <c r="F313" s="1">
        <f>IFERROR(__xludf.DUMMYFUNCTION("""COMPUTED_VALUE"""),903972.0)</f>
        <v>903972</v>
      </c>
    </row>
    <row r="314">
      <c r="A314" s="2">
        <f>IFERROR(__xludf.DUMMYFUNCTION("""COMPUTED_VALUE"""),41355.666666666664)</f>
        <v>41355.66667</v>
      </c>
      <c r="B314" s="1">
        <f>IFERROR(__xludf.DUMMYFUNCTION("""COMPUTED_VALUE"""),1.16)</f>
        <v>1.16</v>
      </c>
      <c r="C314" s="1">
        <f>IFERROR(__xludf.DUMMYFUNCTION("""COMPUTED_VALUE"""),1.23)</f>
        <v>1.23</v>
      </c>
      <c r="D314" s="1">
        <f>IFERROR(__xludf.DUMMYFUNCTION("""COMPUTED_VALUE"""),1.16)</f>
        <v>1.16</v>
      </c>
      <c r="E314" s="1">
        <f>IFERROR(__xludf.DUMMYFUNCTION("""COMPUTED_VALUE"""),1.17)</f>
        <v>1.17</v>
      </c>
      <c r="F314" s="1">
        <f>IFERROR(__xludf.DUMMYFUNCTION("""COMPUTED_VALUE"""),504004.0)</f>
        <v>504004</v>
      </c>
    </row>
    <row r="315">
      <c r="A315" s="2">
        <f>IFERROR(__xludf.DUMMYFUNCTION("""COMPUTED_VALUE"""),41361.666666666664)</f>
        <v>41361.66667</v>
      </c>
      <c r="B315" s="1">
        <f>IFERROR(__xludf.DUMMYFUNCTION("""COMPUTED_VALUE"""),1.17)</f>
        <v>1.17</v>
      </c>
      <c r="C315" s="1">
        <f>IFERROR(__xludf.DUMMYFUNCTION("""COMPUTED_VALUE"""),1.19)</f>
        <v>1.19</v>
      </c>
      <c r="D315" s="1">
        <f>IFERROR(__xludf.DUMMYFUNCTION("""COMPUTED_VALUE"""),1.12)</f>
        <v>1.12</v>
      </c>
      <c r="E315" s="1">
        <f>IFERROR(__xludf.DUMMYFUNCTION("""COMPUTED_VALUE"""),1.13)</f>
        <v>1.13</v>
      </c>
      <c r="F315" s="1">
        <f>IFERROR(__xludf.DUMMYFUNCTION("""COMPUTED_VALUE"""),438224.0)</f>
        <v>438224</v>
      </c>
    </row>
    <row r="316">
      <c r="A316" s="2">
        <f>IFERROR(__xludf.DUMMYFUNCTION("""COMPUTED_VALUE"""),41369.666666666664)</f>
        <v>41369.66667</v>
      </c>
      <c r="B316" s="1">
        <f>IFERROR(__xludf.DUMMYFUNCTION("""COMPUTED_VALUE"""),1.13)</f>
        <v>1.13</v>
      </c>
      <c r="C316" s="1">
        <f>IFERROR(__xludf.DUMMYFUNCTION("""COMPUTED_VALUE"""),1.14)</f>
        <v>1.14</v>
      </c>
      <c r="D316" s="1">
        <f>IFERROR(__xludf.DUMMYFUNCTION("""COMPUTED_VALUE"""),1.02)</f>
        <v>1.02</v>
      </c>
      <c r="E316" s="1">
        <f>IFERROR(__xludf.DUMMYFUNCTION("""COMPUTED_VALUE"""),1.03)</f>
        <v>1.03</v>
      </c>
      <c r="F316" s="1">
        <f>IFERROR(__xludf.DUMMYFUNCTION("""COMPUTED_VALUE"""),586306.0)</f>
        <v>586306</v>
      </c>
    </row>
    <row r="317">
      <c r="A317" s="2">
        <f>IFERROR(__xludf.DUMMYFUNCTION("""COMPUTED_VALUE"""),41376.666666666664)</f>
        <v>41376.66667</v>
      </c>
      <c r="B317" s="1">
        <f>IFERROR(__xludf.DUMMYFUNCTION("""COMPUTED_VALUE"""),1.04)</f>
        <v>1.04</v>
      </c>
      <c r="C317" s="1">
        <f>IFERROR(__xludf.DUMMYFUNCTION("""COMPUTED_VALUE"""),1.05)</f>
        <v>1.05</v>
      </c>
      <c r="D317" s="1">
        <f>IFERROR(__xludf.DUMMYFUNCTION("""COMPUTED_VALUE"""),0.98)</f>
        <v>0.98</v>
      </c>
      <c r="E317" s="1">
        <f>IFERROR(__xludf.DUMMYFUNCTION("""COMPUTED_VALUE"""),1.01)</f>
        <v>1.01</v>
      </c>
      <c r="F317" s="1">
        <f>IFERROR(__xludf.DUMMYFUNCTION("""COMPUTED_VALUE"""),789814.0)</f>
        <v>789814</v>
      </c>
    </row>
    <row r="318">
      <c r="A318" s="2">
        <f>IFERROR(__xludf.DUMMYFUNCTION("""COMPUTED_VALUE"""),41383.666666666664)</f>
        <v>41383.66667</v>
      </c>
      <c r="B318" s="1">
        <f>IFERROR(__xludf.DUMMYFUNCTION("""COMPUTED_VALUE"""),1.0)</f>
        <v>1</v>
      </c>
      <c r="C318" s="1">
        <f>IFERROR(__xludf.DUMMYFUNCTION("""COMPUTED_VALUE"""),1.03)</f>
        <v>1.03</v>
      </c>
      <c r="D318" s="1">
        <f>IFERROR(__xludf.DUMMYFUNCTION("""COMPUTED_VALUE"""),0.95)</f>
        <v>0.95</v>
      </c>
      <c r="E318" s="1">
        <f>IFERROR(__xludf.DUMMYFUNCTION("""COMPUTED_VALUE"""),0.98)</f>
        <v>0.98</v>
      </c>
      <c r="F318" s="1">
        <f>IFERROR(__xludf.DUMMYFUNCTION("""COMPUTED_VALUE"""),1159259.0)</f>
        <v>1159259</v>
      </c>
    </row>
    <row r="319">
      <c r="A319" s="2">
        <f>IFERROR(__xludf.DUMMYFUNCTION("""COMPUTED_VALUE"""),41390.666666666664)</f>
        <v>41390.66667</v>
      </c>
      <c r="B319" s="1">
        <f>IFERROR(__xludf.DUMMYFUNCTION("""COMPUTED_VALUE"""),0.97)</f>
        <v>0.97</v>
      </c>
      <c r="C319" s="1">
        <f>IFERROR(__xludf.DUMMYFUNCTION("""COMPUTED_VALUE"""),1.08)</f>
        <v>1.08</v>
      </c>
      <c r="D319" s="1">
        <f>IFERROR(__xludf.DUMMYFUNCTION("""COMPUTED_VALUE"""),0.92)</f>
        <v>0.92</v>
      </c>
      <c r="E319" s="1">
        <f>IFERROR(__xludf.DUMMYFUNCTION("""COMPUTED_VALUE"""),0.98)</f>
        <v>0.98</v>
      </c>
      <c r="F319" s="1">
        <f>IFERROR(__xludf.DUMMYFUNCTION("""COMPUTED_VALUE"""),1290606.0)</f>
        <v>1290606</v>
      </c>
    </row>
    <row r="320">
      <c r="A320" s="2">
        <f>IFERROR(__xludf.DUMMYFUNCTION("""COMPUTED_VALUE"""),41397.666666666664)</f>
        <v>41397.66667</v>
      </c>
      <c r="B320" s="1">
        <f>IFERROR(__xludf.DUMMYFUNCTION("""COMPUTED_VALUE"""),0.98)</f>
        <v>0.98</v>
      </c>
      <c r="C320" s="1">
        <f>IFERROR(__xludf.DUMMYFUNCTION("""COMPUTED_VALUE"""),1.0)</f>
        <v>1</v>
      </c>
      <c r="D320" s="1">
        <f>IFERROR(__xludf.DUMMYFUNCTION("""COMPUTED_VALUE"""),0.94)</f>
        <v>0.94</v>
      </c>
      <c r="E320" s="1">
        <f>IFERROR(__xludf.DUMMYFUNCTION("""COMPUTED_VALUE"""),1.0)</f>
        <v>1</v>
      </c>
      <c r="F320" s="1">
        <f>IFERROR(__xludf.DUMMYFUNCTION("""COMPUTED_VALUE"""),723024.0)</f>
        <v>723024</v>
      </c>
    </row>
    <row r="321">
      <c r="A321" s="2">
        <f>IFERROR(__xludf.DUMMYFUNCTION("""COMPUTED_VALUE"""),41404.666666666664)</f>
        <v>41404.66667</v>
      </c>
      <c r="B321" s="1">
        <f>IFERROR(__xludf.DUMMYFUNCTION("""COMPUTED_VALUE"""),1.0)</f>
        <v>1</v>
      </c>
      <c r="C321" s="1">
        <f>IFERROR(__xludf.DUMMYFUNCTION("""COMPUTED_VALUE"""),1.01)</f>
        <v>1.01</v>
      </c>
      <c r="D321" s="1">
        <f>IFERROR(__xludf.DUMMYFUNCTION("""COMPUTED_VALUE"""),0.94)</f>
        <v>0.94</v>
      </c>
      <c r="E321" s="1">
        <f>IFERROR(__xludf.DUMMYFUNCTION("""COMPUTED_VALUE"""),1.0)</f>
        <v>1</v>
      </c>
      <c r="F321" s="1">
        <f>IFERROR(__xludf.DUMMYFUNCTION("""COMPUTED_VALUE"""),655488.0)</f>
        <v>655488</v>
      </c>
    </row>
    <row r="322">
      <c r="A322" s="2">
        <f>IFERROR(__xludf.DUMMYFUNCTION("""COMPUTED_VALUE"""),41411.666666666664)</f>
        <v>41411.66667</v>
      </c>
      <c r="B322" s="1">
        <f>IFERROR(__xludf.DUMMYFUNCTION("""COMPUTED_VALUE"""),1.01)</f>
        <v>1.01</v>
      </c>
      <c r="C322" s="1">
        <f>IFERROR(__xludf.DUMMYFUNCTION("""COMPUTED_VALUE"""),1.08)</f>
        <v>1.08</v>
      </c>
      <c r="D322" s="1">
        <f>IFERROR(__xludf.DUMMYFUNCTION("""COMPUTED_VALUE"""),0.98)</f>
        <v>0.98</v>
      </c>
      <c r="E322" s="1">
        <f>IFERROR(__xludf.DUMMYFUNCTION("""COMPUTED_VALUE"""),1.08)</f>
        <v>1.08</v>
      </c>
      <c r="F322" s="1">
        <f>IFERROR(__xludf.DUMMYFUNCTION("""COMPUTED_VALUE"""),604665.0)</f>
        <v>604665</v>
      </c>
    </row>
    <row r="323">
      <c r="A323" s="2">
        <f>IFERROR(__xludf.DUMMYFUNCTION("""COMPUTED_VALUE"""),41418.666666666664)</f>
        <v>41418.66667</v>
      </c>
      <c r="B323" s="1">
        <f>IFERROR(__xludf.DUMMYFUNCTION("""COMPUTED_VALUE"""),1.08)</f>
        <v>1.08</v>
      </c>
      <c r="C323" s="1">
        <f>IFERROR(__xludf.DUMMYFUNCTION("""COMPUTED_VALUE"""),1.09)</f>
        <v>1.09</v>
      </c>
      <c r="D323" s="1">
        <f>IFERROR(__xludf.DUMMYFUNCTION("""COMPUTED_VALUE"""),0.95)</f>
        <v>0.95</v>
      </c>
      <c r="E323" s="1">
        <f>IFERROR(__xludf.DUMMYFUNCTION("""COMPUTED_VALUE"""),1.02)</f>
        <v>1.02</v>
      </c>
      <c r="F323" s="1">
        <f>IFERROR(__xludf.DUMMYFUNCTION("""COMPUTED_VALUE"""),741066.0)</f>
        <v>741066</v>
      </c>
    </row>
    <row r="324">
      <c r="A324" s="2">
        <f>IFERROR(__xludf.DUMMYFUNCTION("""COMPUTED_VALUE"""),41425.666666666664)</f>
        <v>41425.66667</v>
      </c>
      <c r="B324" s="1">
        <f>IFERROR(__xludf.DUMMYFUNCTION("""COMPUTED_VALUE"""),1.04)</f>
        <v>1.04</v>
      </c>
      <c r="C324" s="1">
        <f>IFERROR(__xludf.DUMMYFUNCTION("""COMPUTED_VALUE"""),1.09)</f>
        <v>1.09</v>
      </c>
      <c r="D324" s="1">
        <f>IFERROR(__xludf.DUMMYFUNCTION("""COMPUTED_VALUE"""),1.01)</f>
        <v>1.01</v>
      </c>
      <c r="E324" s="1">
        <f>IFERROR(__xludf.DUMMYFUNCTION("""COMPUTED_VALUE"""),1.03)</f>
        <v>1.03</v>
      </c>
      <c r="F324" s="1">
        <f>IFERROR(__xludf.DUMMYFUNCTION("""COMPUTED_VALUE"""),515384.0)</f>
        <v>515384</v>
      </c>
    </row>
    <row r="325">
      <c r="A325" s="2">
        <f>IFERROR(__xludf.DUMMYFUNCTION("""COMPUTED_VALUE"""),41432.666666666664)</f>
        <v>41432.66667</v>
      </c>
      <c r="B325" s="1">
        <f>IFERROR(__xludf.DUMMYFUNCTION("""COMPUTED_VALUE"""),1.03)</f>
        <v>1.03</v>
      </c>
      <c r="C325" s="1">
        <f>IFERROR(__xludf.DUMMYFUNCTION("""COMPUTED_VALUE"""),1.1)</f>
        <v>1.1</v>
      </c>
      <c r="D325" s="1">
        <f>IFERROR(__xludf.DUMMYFUNCTION("""COMPUTED_VALUE"""),1.02)</f>
        <v>1.02</v>
      </c>
      <c r="E325" s="1">
        <f>IFERROR(__xludf.DUMMYFUNCTION("""COMPUTED_VALUE"""),1.09)</f>
        <v>1.09</v>
      </c>
      <c r="F325" s="1">
        <f>IFERROR(__xludf.DUMMYFUNCTION("""COMPUTED_VALUE"""),673819.0)</f>
        <v>673819</v>
      </c>
    </row>
    <row r="326">
      <c r="A326" s="2">
        <f>IFERROR(__xludf.DUMMYFUNCTION("""COMPUTED_VALUE"""),41439.666666666664)</f>
        <v>41439.66667</v>
      </c>
      <c r="B326" s="1">
        <f>IFERROR(__xludf.DUMMYFUNCTION("""COMPUTED_VALUE"""),1.1)</f>
        <v>1.1</v>
      </c>
      <c r="C326" s="1">
        <f>IFERROR(__xludf.DUMMYFUNCTION("""COMPUTED_VALUE"""),1.1)</f>
        <v>1.1</v>
      </c>
      <c r="D326" s="1">
        <f>IFERROR(__xludf.DUMMYFUNCTION("""COMPUTED_VALUE"""),1.03)</f>
        <v>1.03</v>
      </c>
      <c r="E326" s="1">
        <f>IFERROR(__xludf.DUMMYFUNCTION("""COMPUTED_VALUE"""),1.06)</f>
        <v>1.06</v>
      </c>
      <c r="F326" s="1">
        <f>IFERROR(__xludf.DUMMYFUNCTION("""COMPUTED_VALUE"""),435914.0)</f>
        <v>435914</v>
      </c>
    </row>
    <row r="327">
      <c r="A327" s="2">
        <f>IFERROR(__xludf.DUMMYFUNCTION("""COMPUTED_VALUE"""),41446.666666666664)</f>
        <v>41446.66667</v>
      </c>
      <c r="B327" s="1">
        <f>IFERROR(__xludf.DUMMYFUNCTION("""COMPUTED_VALUE"""),1.07)</f>
        <v>1.07</v>
      </c>
      <c r="C327" s="1">
        <f>IFERROR(__xludf.DUMMYFUNCTION("""COMPUTED_VALUE"""),1.15)</f>
        <v>1.15</v>
      </c>
      <c r="D327" s="1">
        <f>IFERROR(__xludf.DUMMYFUNCTION("""COMPUTED_VALUE"""),1.07)</f>
        <v>1.07</v>
      </c>
      <c r="E327" s="1">
        <f>IFERROR(__xludf.DUMMYFUNCTION("""COMPUTED_VALUE"""),1.1)</f>
        <v>1.1</v>
      </c>
      <c r="F327" s="1">
        <f>IFERROR(__xludf.DUMMYFUNCTION("""COMPUTED_VALUE"""),685244.0)</f>
        <v>685244</v>
      </c>
    </row>
    <row r="328">
      <c r="A328" s="2">
        <f>IFERROR(__xludf.DUMMYFUNCTION("""COMPUTED_VALUE"""),41453.666666666664)</f>
        <v>41453.66667</v>
      </c>
      <c r="B328" s="1">
        <f>IFERROR(__xludf.DUMMYFUNCTION("""COMPUTED_VALUE"""),1.08)</f>
        <v>1.08</v>
      </c>
      <c r="C328" s="1">
        <f>IFERROR(__xludf.DUMMYFUNCTION("""COMPUTED_VALUE"""),1.09)</f>
        <v>1.09</v>
      </c>
      <c r="D328" s="1">
        <f>IFERROR(__xludf.DUMMYFUNCTION("""COMPUTED_VALUE"""),1.03)</f>
        <v>1.03</v>
      </c>
      <c r="E328" s="1">
        <f>IFERROR(__xludf.DUMMYFUNCTION("""COMPUTED_VALUE"""),1.06)</f>
        <v>1.06</v>
      </c>
      <c r="F328" s="1">
        <f>IFERROR(__xludf.DUMMYFUNCTION("""COMPUTED_VALUE"""),1781941.0)</f>
        <v>1781941</v>
      </c>
    </row>
    <row r="329">
      <c r="A329" s="2">
        <f>IFERROR(__xludf.DUMMYFUNCTION("""COMPUTED_VALUE"""),41460.666666666664)</f>
        <v>41460.66667</v>
      </c>
      <c r="B329" s="1">
        <f>IFERROR(__xludf.DUMMYFUNCTION("""COMPUTED_VALUE"""),1.07)</f>
        <v>1.07</v>
      </c>
      <c r="C329" s="1">
        <f>IFERROR(__xludf.DUMMYFUNCTION("""COMPUTED_VALUE"""),1.15)</f>
        <v>1.15</v>
      </c>
      <c r="D329" s="1">
        <f>IFERROR(__xludf.DUMMYFUNCTION("""COMPUTED_VALUE"""),1.07)</f>
        <v>1.07</v>
      </c>
      <c r="E329" s="1">
        <f>IFERROR(__xludf.DUMMYFUNCTION("""COMPUTED_VALUE"""),1.14)</f>
        <v>1.14</v>
      </c>
      <c r="F329" s="1">
        <f>IFERROR(__xludf.DUMMYFUNCTION("""COMPUTED_VALUE"""),342463.0)</f>
        <v>342463</v>
      </c>
    </row>
    <row r="330">
      <c r="A330" s="2">
        <f>IFERROR(__xludf.DUMMYFUNCTION("""COMPUTED_VALUE"""),41467.666666666664)</f>
        <v>41467.66667</v>
      </c>
      <c r="B330" s="1">
        <f>IFERROR(__xludf.DUMMYFUNCTION("""COMPUTED_VALUE"""),1.14)</f>
        <v>1.14</v>
      </c>
      <c r="C330" s="1">
        <f>IFERROR(__xludf.DUMMYFUNCTION("""COMPUTED_VALUE"""),1.19)</f>
        <v>1.19</v>
      </c>
      <c r="D330" s="1">
        <f>IFERROR(__xludf.DUMMYFUNCTION("""COMPUTED_VALUE"""),1.13)</f>
        <v>1.13</v>
      </c>
      <c r="E330" s="1">
        <f>IFERROR(__xludf.DUMMYFUNCTION("""COMPUTED_VALUE"""),1.17)</f>
        <v>1.17</v>
      </c>
      <c r="F330" s="1">
        <f>IFERROR(__xludf.DUMMYFUNCTION("""COMPUTED_VALUE"""),504571.0)</f>
        <v>504571</v>
      </c>
    </row>
    <row r="331">
      <c r="A331" s="2">
        <f>IFERROR(__xludf.DUMMYFUNCTION("""COMPUTED_VALUE"""),41474.666666666664)</f>
        <v>41474.66667</v>
      </c>
      <c r="B331" s="1">
        <f>IFERROR(__xludf.DUMMYFUNCTION("""COMPUTED_VALUE"""),1.17)</f>
        <v>1.17</v>
      </c>
      <c r="C331" s="1">
        <f>IFERROR(__xludf.DUMMYFUNCTION("""COMPUTED_VALUE"""),1.22)</f>
        <v>1.22</v>
      </c>
      <c r="D331" s="1">
        <f>IFERROR(__xludf.DUMMYFUNCTION("""COMPUTED_VALUE"""),1.16)</f>
        <v>1.16</v>
      </c>
      <c r="E331" s="1">
        <f>IFERROR(__xludf.DUMMYFUNCTION("""COMPUTED_VALUE"""),1.19)</f>
        <v>1.19</v>
      </c>
      <c r="F331" s="1">
        <f>IFERROR(__xludf.DUMMYFUNCTION("""COMPUTED_VALUE"""),434694.0)</f>
        <v>434694</v>
      </c>
    </row>
    <row r="332">
      <c r="A332" s="2">
        <f>IFERROR(__xludf.DUMMYFUNCTION("""COMPUTED_VALUE"""),41481.666666666664)</f>
        <v>41481.66667</v>
      </c>
      <c r="B332" s="1">
        <f>IFERROR(__xludf.DUMMYFUNCTION("""COMPUTED_VALUE"""),1.19)</f>
        <v>1.19</v>
      </c>
      <c r="C332" s="1">
        <f>IFERROR(__xludf.DUMMYFUNCTION("""COMPUTED_VALUE"""),1.24)</f>
        <v>1.24</v>
      </c>
      <c r="D332" s="1">
        <f>IFERROR(__xludf.DUMMYFUNCTION("""COMPUTED_VALUE"""),1.18)</f>
        <v>1.18</v>
      </c>
      <c r="E332" s="1">
        <f>IFERROR(__xludf.DUMMYFUNCTION("""COMPUTED_VALUE"""),1.22)</f>
        <v>1.22</v>
      </c>
      <c r="F332" s="1">
        <f>IFERROR(__xludf.DUMMYFUNCTION("""COMPUTED_VALUE"""),375138.0)</f>
        <v>375138</v>
      </c>
    </row>
    <row r="333">
      <c r="A333" s="2">
        <f>IFERROR(__xludf.DUMMYFUNCTION("""COMPUTED_VALUE"""),41488.666666666664)</f>
        <v>41488.66667</v>
      </c>
      <c r="B333" s="1">
        <f>IFERROR(__xludf.DUMMYFUNCTION("""COMPUTED_VALUE"""),1.21)</f>
        <v>1.21</v>
      </c>
      <c r="C333" s="1">
        <f>IFERROR(__xludf.DUMMYFUNCTION("""COMPUTED_VALUE"""),1.21)</f>
        <v>1.21</v>
      </c>
      <c r="D333" s="1">
        <f>IFERROR(__xludf.DUMMYFUNCTION("""COMPUTED_VALUE"""),1.12)</f>
        <v>1.12</v>
      </c>
      <c r="E333" s="1">
        <f>IFERROR(__xludf.DUMMYFUNCTION("""COMPUTED_VALUE"""),1.17)</f>
        <v>1.17</v>
      </c>
      <c r="F333" s="1">
        <f>IFERROR(__xludf.DUMMYFUNCTION("""COMPUTED_VALUE"""),389526.0)</f>
        <v>389526</v>
      </c>
    </row>
    <row r="334">
      <c r="A334" s="2">
        <f>IFERROR(__xludf.DUMMYFUNCTION("""COMPUTED_VALUE"""),41495.666666666664)</f>
        <v>41495.66667</v>
      </c>
      <c r="B334" s="1">
        <f>IFERROR(__xludf.DUMMYFUNCTION("""COMPUTED_VALUE"""),1.17)</f>
        <v>1.17</v>
      </c>
      <c r="C334" s="1">
        <f>IFERROR(__xludf.DUMMYFUNCTION("""COMPUTED_VALUE"""),1.36)</f>
        <v>1.36</v>
      </c>
      <c r="D334" s="1">
        <f>IFERROR(__xludf.DUMMYFUNCTION("""COMPUTED_VALUE"""),1.16)</f>
        <v>1.16</v>
      </c>
      <c r="E334" s="1">
        <f>IFERROR(__xludf.DUMMYFUNCTION("""COMPUTED_VALUE"""),1.31)</f>
        <v>1.31</v>
      </c>
      <c r="F334" s="1">
        <f>IFERROR(__xludf.DUMMYFUNCTION("""COMPUTED_VALUE"""),1223007.0)</f>
        <v>1223007</v>
      </c>
    </row>
    <row r="335">
      <c r="A335" s="2">
        <f>IFERROR(__xludf.DUMMYFUNCTION("""COMPUTED_VALUE"""),41502.666666666664)</f>
        <v>41502.66667</v>
      </c>
      <c r="B335" s="1">
        <f>IFERROR(__xludf.DUMMYFUNCTION("""COMPUTED_VALUE"""),1.29)</f>
        <v>1.29</v>
      </c>
      <c r="C335" s="1">
        <f>IFERROR(__xludf.DUMMYFUNCTION("""COMPUTED_VALUE"""),1.35)</f>
        <v>1.35</v>
      </c>
      <c r="D335" s="1">
        <f>IFERROR(__xludf.DUMMYFUNCTION("""COMPUTED_VALUE"""),1.27)</f>
        <v>1.27</v>
      </c>
      <c r="E335" s="1">
        <f>IFERROR(__xludf.DUMMYFUNCTION("""COMPUTED_VALUE"""),1.31)</f>
        <v>1.31</v>
      </c>
      <c r="F335" s="1">
        <f>IFERROR(__xludf.DUMMYFUNCTION("""COMPUTED_VALUE"""),639583.0)</f>
        <v>639583</v>
      </c>
    </row>
    <row r="336">
      <c r="A336" s="2">
        <f>IFERROR(__xludf.DUMMYFUNCTION("""COMPUTED_VALUE"""),41509.666666666664)</f>
        <v>41509.66667</v>
      </c>
      <c r="B336" s="1">
        <f>IFERROR(__xludf.DUMMYFUNCTION("""COMPUTED_VALUE"""),1.31)</f>
        <v>1.31</v>
      </c>
      <c r="C336" s="1">
        <f>IFERROR(__xludf.DUMMYFUNCTION("""COMPUTED_VALUE"""),1.33)</f>
        <v>1.33</v>
      </c>
      <c r="D336" s="1">
        <f>IFERROR(__xludf.DUMMYFUNCTION("""COMPUTED_VALUE"""),1.28)</f>
        <v>1.28</v>
      </c>
      <c r="E336" s="1">
        <f>IFERROR(__xludf.DUMMYFUNCTION("""COMPUTED_VALUE"""),1.31)</f>
        <v>1.31</v>
      </c>
      <c r="F336" s="1">
        <f>IFERROR(__xludf.DUMMYFUNCTION("""COMPUTED_VALUE"""),562285.0)</f>
        <v>562285</v>
      </c>
    </row>
    <row r="337">
      <c r="A337" s="2">
        <f>IFERROR(__xludf.DUMMYFUNCTION("""COMPUTED_VALUE"""),41516.666666666664)</f>
        <v>41516.66667</v>
      </c>
      <c r="B337" s="1">
        <f>IFERROR(__xludf.DUMMYFUNCTION("""COMPUTED_VALUE"""),1.31)</f>
        <v>1.31</v>
      </c>
      <c r="C337" s="1">
        <f>IFERROR(__xludf.DUMMYFUNCTION("""COMPUTED_VALUE"""),1.32)</f>
        <v>1.32</v>
      </c>
      <c r="D337" s="1">
        <f>IFERROR(__xludf.DUMMYFUNCTION("""COMPUTED_VALUE"""),1.25)</f>
        <v>1.25</v>
      </c>
      <c r="E337" s="1">
        <f>IFERROR(__xludf.DUMMYFUNCTION("""COMPUTED_VALUE"""),1.28)</f>
        <v>1.28</v>
      </c>
      <c r="F337" s="1">
        <f>IFERROR(__xludf.DUMMYFUNCTION("""COMPUTED_VALUE"""),622064.0)</f>
        <v>622064</v>
      </c>
    </row>
    <row r="338">
      <c r="A338" s="2">
        <f>IFERROR(__xludf.DUMMYFUNCTION("""COMPUTED_VALUE"""),41523.666666666664)</f>
        <v>41523.66667</v>
      </c>
      <c r="B338" s="1">
        <f>IFERROR(__xludf.DUMMYFUNCTION("""COMPUTED_VALUE"""),1.31)</f>
        <v>1.31</v>
      </c>
      <c r="C338" s="1">
        <f>IFERROR(__xludf.DUMMYFUNCTION("""COMPUTED_VALUE"""),1.33)</f>
        <v>1.33</v>
      </c>
      <c r="D338" s="1">
        <f>IFERROR(__xludf.DUMMYFUNCTION("""COMPUTED_VALUE"""),1.26)</f>
        <v>1.26</v>
      </c>
      <c r="E338" s="1">
        <f>IFERROR(__xludf.DUMMYFUNCTION("""COMPUTED_VALUE"""),1.3)</f>
        <v>1.3</v>
      </c>
      <c r="F338" s="1">
        <f>IFERROR(__xludf.DUMMYFUNCTION("""COMPUTED_VALUE"""),481030.0)</f>
        <v>481030</v>
      </c>
    </row>
    <row r="339">
      <c r="A339" s="2">
        <f>IFERROR(__xludf.DUMMYFUNCTION("""COMPUTED_VALUE"""),41530.666666666664)</f>
        <v>41530.66667</v>
      </c>
      <c r="B339" s="1">
        <f>IFERROR(__xludf.DUMMYFUNCTION("""COMPUTED_VALUE"""),1.3)</f>
        <v>1.3</v>
      </c>
      <c r="C339" s="1">
        <f>IFERROR(__xludf.DUMMYFUNCTION("""COMPUTED_VALUE"""),1.35)</f>
        <v>1.35</v>
      </c>
      <c r="D339" s="1">
        <f>IFERROR(__xludf.DUMMYFUNCTION("""COMPUTED_VALUE"""),1.3)</f>
        <v>1.3</v>
      </c>
      <c r="E339" s="1">
        <f>IFERROR(__xludf.DUMMYFUNCTION("""COMPUTED_VALUE"""),1.34)</f>
        <v>1.34</v>
      </c>
      <c r="F339" s="1">
        <f>IFERROR(__xludf.DUMMYFUNCTION("""COMPUTED_VALUE"""),454368.0)</f>
        <v>454368</v>
      </c>
    </row>
    <row r="340">
      <c r="A340" s="2">
        <f>IFERROR(__xludf.DUMMYFUNCTION("""COMPUTED_VALUE"""),41537.666666666664)</f>
        <v>41537.66667</v>
      </c>
      <c r="B340" s="1">
        <f>IFERROR(__xludf.DUMMYFUNCTION("""COMPUTED_VALUE"""),1.35)</f>
        <v>1.35</v>
      </c>
      <c r="C340" s="1">
        <f>IFERROR(__xludf.DUMMYFUNCTION("""COMPUTED_VALUE"""),1.38)</f>
        <v>1.38</v>
      </c>
      <c r="D340" s="1">
        <f>IFERROR(__xludf.DUMMYFUNCTION("""COMPUTED_VALUE"""),1.31)</f>
        <v>1.31</v>
      </c>
      <c r="E340" s="1">
        <f>IFERROR(__xludf.DUMMYFUNCTION("""COMPUTED_VALUE"""),1.37)</f>
        <v>1.37</v>
      </c>
      <c r="F340" s="1">
        <f>IFERROR(__xludf.DUMMYFUNCTION("""COMPUTED_VALUE"""),1293519.0)</f>
        <v>1293519</v>
      </c>
    </row>
    <row r="341">
      <c r="A341" s="2">
        <f>IFERROR(__xludf.DUMMYFUNCTION("""COMPUTED_VALUE"""),41544.666666666664)</f>
        <v>41544.66667</v>
      </c>
      <c r="B341" s="1">
        <f>IFERROR(__xludf.DUMMYFUNCTION("""COMPUTED_VALUE"""),1.37)</f>
        <v>1.37</v>
      </c>
      <c r="C341" s="1">
        <f>IFERROR(__xludf.DUMMYFUNCTION("""COMPUTED_VALUE"""),1.38)</f>
        <v>1.38</v>
      </c>
      <c r="D341" s="1">
        <f>IFERROR(__xludf.DUMMYFUNCTION("""COMPUTED_VALUE"""),1.32)</f>
        <v>1.32</v>
      </c>
      <c r="E341" s="1">
        <f>IFERROR(__xludf.DUMMYFUNCTION("""COMPUTED_VALUE"""),1.34)</f>
        <v>1.34</v>
      </c>
      <c r="F341" s="1">
        <f>IFERROR(__xludf.DUMMYFUNCTION("""COMPUTED_VALUE"""),649524.0)</f>
        <v>649524</v>
      </c>
    </row>
    <row r="342">
      <c r="A342" s="2">
        <f>IFERROR(__xludf.DUMMYFUNCTION("""COMPUTED_VALUE"""),41551.666666666664)</f>
        <v>41551.66667</v>
      </c>
      <c r="B342" s="1">
        <f>IFERROR(__xludf.DUMMYFUNCTION("""COMPUTED_VALUE"""),1.33)</f>
        <v>1.33</v>
      </c>
      <c r="C342" s="1">
        <f>IFERROR(__xludf.DUMMYFUNCTION("""COMPUTED_VALUE"""),1.41)</f>
        <v>1.41</v>
      </c>
      <c r="D342" s="1">
        <f>IFERROR(__xludf.DUMMYFUNCTION("""COMPUTED_VALUE"""),1.31)</f>
        <v>1.31</v>
      </c>
      <c r="E342" s="1">
        <f>IFERROR(__xludf.DUMMYFUNCTION("""COMPUTED_VALUE"""),1.39)</f>
        <v>1.39</v>
      </c>
      <c r="F342" s="1">
        <f>IFERROR(__xludf.DUMMYFUNCTION("""COMPUTED_VALUE"""),598996.0)</f>
        <v>598996</v>
      </c>
    </row>
    <row r="343">
      <c r="A343" s="2">
        <f>IFERROR(__xludf.DUMMYFUNCTION("""COMPUTED_VALUE"""),41558.666666666664)</f>
        <v>41558.66667</v>
      </c>
      <c r="B343" s="1">
        <f>IFERROR(__xludf.DUMMYFUNCTION("""COMPUTED_VALUE"""),1.38)</f>
        <v>1.38</v>
      </c>
      <c r="C343" s="1">
        <f>IFERROR(__xludf.DUMMYFUNCTION("""COMPUTED_VALUE"""),1.41)</f>
        <v>1.41</v>
      </c>
      <c r="D343" s="1">
        <f>IFERROR(__xludf.DUMMYFUNCTION("""COMPUTED_VALUE"""),1.34)</f>
        <v>1.34</v>
      </c>
      <c r="E343" s="1">
        <f>IFERROR(__xludf.DUMMYFUNCTION("""COMPUTED_VALUE"""),1.41)</f>
        <v>1.41</v>
      </c>
      <c r="F343" s="1">
        <f>IFERROR(__xludf.DUMMYFUNCTION("""COMPUTED_VALUE"""),657394.0)</f>
        <v>657394</v>
      </c>
    </row>
    <row r="344">
      <c r="A344" s="2">
        <f>IFERROR(__xludf.DUMMYFUNCTION("""COMPUTED_VALUE"""),41565.666666666664)</f>
        <v>41565.66667</v>
      </c>
      <c r="B344" s="1">
        <f>IFERROR(__xludf.DUMMYFUNCTION("""COMPUTED_VALUE"""),1.4)</f>
        <v>1.4</v>
      </c>
      <c r="C344" s="1">
        <f>IFERROR(__xludf.DUMMYFUNCTION("""COMPUTED_VALUE"""),1.45)</f>
        <v>1.45</v>
      </c>
      <c r="D344" s="1">
        <f>IFERROR(__xludf.DUMMYFUNCTION("""COMPUTED_VALUE"""),1.37)</f>
        <v>1.37</v>
      </c>
      <c r="E344" s="1">
        <f>IFERROR(__xludf.DUMMYFUNCTION("""COMPUTED_VALUE"""),1.42)</f>
        <v>1.42</v>
      </c>
      <c r="F344" s="1">
        <f>IFERROR(__xludf.DUMMYFUNCTION("""COMPUTED_VALUE"""),890809.0)</f>
        <v>890809</v>
      </c>
    </row>
    <row r="345">
      <c r="A345" s="2">
        <f>IFERROR(__xludf.DUMMYFUNCTION("""COMPUTED_VALUE"""),41572.666666666664)</f>
        <v>41572.66667</v>
      </c>
      <c r="B345" s="1">
        <f>IFERROR(__xludf.DUMMYFUNCTION("""COMPUTED_VALUE"""),1.42)</f>
        <v>1.42</v>
      </c>
      <c r="C345" s="1">
        <f>IFERROR(__xludf.DUMMYFUNCTION("""COMPUTED_VALUE"""),1.45)</f>
        <v>1.45</v>
      </c>
      <c r="D345" s="1">
        <f>IFERROR(__xludf.DUMMYFUNCTION("""COMPUTED_VALUE"""),1.28)</f>
        <v>1.28</v>
      </c>
      <c r="E345" s="1">
        <f>IFERROR(__xludf.DUMMYFUNCTION("""COMPUTED_VALUE"""),1.35)</f>
        <v>1.35</v>
      </c>
      <c r="F345" s="1">
        <f>IFERROR(__xludf.DUMMYFUNCTION("""COMPUTED_VALUE"""),941284.0)</f>
        <v>941284</v>
      </c>
    </row>
    <row r="346">
      <c r="A346" s="2">
        <f>IFERROR(__xludf.DUMMYFUNCTION("""COMPUTED_VALUE"""),41579.666666666664)</f>
        <v>41579.66667</v>
      </c>
      <c r="B346" s="1">
        <f>IFERROR(__xludf.DUMMYFUNCTION("""COMPUTED_VALUE"""),1.35)</f>
        <v>1.35</v>
      </c>
      <c r="C346" s="1">
        <f>IFERROR(__xludf.DUMMYFUNCTION("""COMPUTED_VALUE"""),1.41)</f>
        <v>1.41</v>
      </c>
      <c r="D346" s="1">
        <f>IFERROR(__xludf.DUMMYFUNCTION("""COMPUTED_VALUE"""),1.35)</f>
        <v>1.35</v>
      </c>
      <c r="E346" s="1">
        <f>IFERROR(__xludf.DUMMYFUNCTION("""COMPUTED_VALUE"""),1.39)</f>
        <v>1.39</v>
      </c>
      <c r="F346" s="1">
        <f>IFERROR(__xludf.DUMMYFUNCTION("""COMPUTED_VALUE"""),814724.0)</f>
        <v>814724</v>
      </c>
    </row>
    <row r="347">
      <c r="A347" s="2">
        <f>IFERROR(__xludf.DUMMYFUNCTION("""COMPUTED_VALUE"""),41586.666666666664)</f>
        <v>41586.66667</v>
      </c>
      <c r="B347" s="1">
        <f>IFERROR(__xludf.DUMMYFUNCTION("""COMPUTED_VALUE"""),1.39)</f>
        <v>1.39</v>
      </c>
      <c r="C347" s="1">
        <f>IFERROR(__xludf.DUMMYFUNCTION("""COMPUTED_VALUE"""),1.45)</f>
        <v>1.45</v>
      </c>
      <c r="D347" s="1">
        <f>IFERROR(__xludf.DUMMYFUNCTION("""COMPUTED_VALUE"""),1.38)</f>
        <v>1.38</v>
      </c>
      <c r="E347" s="1">
        <f>IFERROR(__xludf.DUMMYFUNCTION("""COMPUTED_VALUE"""),1.45)</f>
        <v>1.45</v>
      </c>
      <c r="F347" s="1">
        <f>IFERROR(__xludf.DUMMYFUNCTION("""COMPUTED_VALUE"""),978452.0)</f>
        <v>978452</v>
      </c>
    </row>
    <row r="348">
      <c r="A348" s="2">
        <f>IFERROR(__xludf.DUMMYFUNCTION("""COMPUTED_VALUE"""),41593.666666666664)</f>
        <v>41593.66667</v>
      </c>
      <c r="B348" s="1">
        <f>IFERROR(__xludf.DUMMYFUNCTION("""COMPUTED_VALUE"""),1.44)</f>
        <v>1.44</v>
      </c>
      <c r="C348" s="1">
        <f>IFERROR(__xludf.DUMMYFUNCTION("""COMPUTED_VALUE"""),1.46)</f>
        <v>1.46</v>
      </c>
      <c r="D348" s="1">
        <f>IFERROR(__xludf.DUMMYFUNCTION("""COMPUTED_VALUE"""),1.43)</f>
        <v>1.43</v>
      </c>
      <c r="E348" s="1">
        <f>IFERROR(__xludf.DUMMYFUNCTION("""COMPUTED_VALUE"""),1.45)</f>
        <v>1.45</v>
      </c>
      <c r="F348" s="1">
        <f>IFERROR(__xludf.DUMMYFUNCTION("""COMPUTED_VALUE"""),649249.0)</f>
        <v>649249</v>
      </c>
    </row>
    <row r="349">
      <c r="A349" s="2">
        <f>IFERROR(__xludf.DUMMYFUNCTION("""COMPUTED_VALUE"""),41600.666666666664)</f>
        <v>41600.66667</v>
      </c>
      <c r="B349" s="1">
        <f>IFERROR(__xludf.DUMMYFUNCTION("""COMPUTED_VALUE"""),1.46)</f>
        <v>1.46</v>
      </c>
      <c r="C349" s="1">
        <f>IFERROR(__xludf.DUMMYFUNCTION("""COMPUTED_VALUE"""),1.55)</f>
        <v>1.55</v>
      </c>
      <c r="D349" s="1">
        <f>IFERROR(__xludf.DUMMYFUNCTION("""COMPUTED_VALUE"""),1.43)</f>
        <v>1.43</v>
      </c>
      <c r="E349" s="1">
        <f>IFERROR(__xludf.DUMMYFUNCTION("""COMPUTED_VALUE"""),1.52)</f>
        <v>1.52</v>
      </c>
      <c r="F349" s="1">
        <f>IFERROR(__xludf.DUMMYFUNCTION("""COMPUTED_VALUE"""),810431.0)</f>
        <v>810431</v>
      </c>
    </row>
    <row r="350">
      <c r="A350" s="2">
        <f>IFERROR(__xludf.DUMMYFUNCTION("""COMPUTED_VALUE"""),41607.666666666664)</f>
        <v>41607.66667</v>
      </c>
      <c r="B350" s="1">
        <f>IFERROR(__xludf.DUMMYFUNCTION("""COMPUTED_VALUE"""),1.53)</f>
        <v>1.53</v>
      </c>
      <c r="C350" s="1">
        <f>IFERROR(__xludf.DUMMYFUNCTION("""COMPUTED_VALUE"""),1.6)</f>
        <v>1.6</v>
      </c>
      <c r="D350" s="1">
        <f>IFERROR(__xludf.DUMMYFUNCTION("""COMPUTED_VALUE"""),1.52)</f>
        <v>1.52</v>
      </c>
      <c r="E350" s="1">
        <f>IFERROR(__xludf.DUMMYFUNCTION("""COMPUTED_VALUE"""),1.59)</f>
        <v>1.59</v>
      </c>
      <c r="F350" s="1">
        <f>IFERROR(__xludf.DUMMYFUNCTION("""COMPUTED_VALUE"""),688769.0)</f>
        <v>688769</v>
      </c>
    </row>
    <row r="351">
      <c r="A351" s="2">
        <f>IFERROR(__xludf.DUMMYFUNCTION("""COMPUTED_VALUE"""),41614.666666666664)</f>
        <v>41614.66667</v>
      </c>
      <c r="B351" s="1">
        <f>IFERROR(__xludf.DUMMYFUNCTION("""COMPUTED_VALUE"""),1.59)</f>
        <v>1.59</v>
      </c>
      <c r="C351" s="1">
        <f>IFERROR(__xludf.DUMMYFUNCTION("""COMPUTED_VALUE"""),1.71)</f>
        <v>1.71</v>
      </c>
      <c r="D351" s="1">
        <f>IFERROR(__xludf.DUMMYFUNCTION("""COMPUTED_VALUE"""),1.57)</f>
        <v>1.57</v>
      </c>
      <c r="E351" s="1">
        <f>IFERROR(__xludf.DUMMYFUNCTION("""COMPUTED_VALUE"""),1.69)</f>
        <v>1.69</v>
      </c>
      <c r="F351" s="1">
        <f>IFERROR(__xludf.DUMMYFUNCTION("""COMPUTED_VALUE"""),1160907.0)</f>
        <v>1160907</v>
      </c>
    </row>
    <row r="352">
      <c r="A352" s="2">
        <f>IFERROR(__xludf.DUMMYFUNCTION("""COMPUTED_VALUE"""),41621.666666666664)</f>
        <v>41621.66667</v>
      </c>
      <c r="B352" s="1">
        <f>IFERROR(__xludf.DUMMYFUNCTION("""COMPUTED_VALUE"""),1.7)</f>
        <v>1.7</v>
      </c>
      <c r="C352" s="1">
        <f>IFERROR(__xludf.DUMMYFUNCTION("""COMPUTED_VALUE"""),1.72)</f>
        <v>1.72</v>
      </c>
      <c r="D352" s="1">
        <f>IFERROR(__xludf.DUMMYFUNCTION("""COMPUTED_VALUE"""),1.64)</f>
        <v>1.64</v>
      </c>
      <c r="E352" s="1">
        <f>IFERROR(__xludf.DUMMYFUNCTION("""COMPUTED_VALUE"""),1.64)</f>
        <v>1.64</v>
      </c>
      <c r="F352" s="1">
        <f>IFERROR(__xludf.DUMMYFUNCTION("""COMPUTED_VALUE"""),765498.0)</f>
        <v>765498</v>
      </c>
    </row>
    <row r="353">
      <c r="A353" s="2">
        <f>IFERROR(__xludf.DUMMYFUNCTION("""COMPUTED_VALUE"""),41628.666666666664)</f>
        <v>41628.66667</v>
      </c>
      <c r="B353" s="1">
        <f>IFERROR(__xludf.DUMMYFUNCTION("""COMPUTED_VALUE"""),1.64)</f>
        <v>1.64</v>
      </c>
      <c r="C353" s="1">
        <f>IFERROR(__xludf.DUMMYFUNCTION("""COMPUTED_VALUE"""),1.7)</f>
        <v>1.7</v>
      </c>
      <c r="D353" s="1">
        <f>IFERROR(__xludf.DUMMYFUNCTION("""COMPUTED_VALUE"""),1.62)</f>
        <v>1.62</v>
      </c>
      <c r="E353" s="1">
        <f>IFERROR(__xludf.DUMMYFUNCTION("""COMPUTED_VALUE"""),1.68)</f>
        <v>1.68</v>
      </c>
      <c r="F353" s="1">
        <f>IFERROR(__xludf.DUMMYFUNCTION("""COMPUTED_VALUE"""),1525425.0)</f>
        <v>1525425</v>
      </c>
    </row>
    <row r="354">
      <c r="A354" s="2">
        <f>IFERROR(__xludf.DUMMYFUNCTION("""COMPUTED_VALUE"""),41635.666666666664)</f>
        <v>41635.66667</v>
      </c>
      <c r="B354" s="1">
        <f>IFERROR(__xludf.DUMMYFUNCTION("""COMPUTED_VALUE"""),1.68)</f>
        <v>1.68</v>
      </c>
      <c r="C354" s="1">
        <f>IFERROR(__xludf.DUMMYFUNCTION("""COMPUTED_VALUE"""),1.72)</f>
        <v>1.72</v>
      </c>
      <c r="D354" s="1">
        <f>IFERROR(__xludf.DUMMYFUNCTION("""COMPUTED_VALUE"""),1.67)</f>
        <v>1.67</v>
      </c>
      <c r="E354" s="1">
        <f>IFERROR(__xludf.DUMMYFUNCTION("""COMPUTED_VALUE"""),1.72)</f>
        <v>1.72</v>
      </c>
      <c r="F354" s="1">
        <f>IFERROR(__xludf.DUMMYFUNCTION("""COMPUTED_VALUE"""),529072.0)</f>
        <v>529072</v>
      </c>
    </row>
    <row r="355">
      <c r="A355" s="2">
        <f>IFERROR(__xludf.DUMMYFUNCTION("""COMPUTED_VALUE"""),41642.666666666664)</f>
        <v>41642.66667</v>
      </c>
      <c r="B355" s="1">
        <f>IFERROR(__xludf.DUMMYFUNCTION("""COMPUTED_VALUE"""),1.72)</f>
        <v>1.72</v>
      </c>
      <c r="C355" s="1">
        <f>IFERROR(__xludf.DUMMYFUNCTION("""COMPUTED_VALUE"""),1.72)</f>
        <v>1.72</v>
      </c>
      <c r="D355" s="1">
        <f>IFERROR(__xludf.DUMMYFUNCTION("""COMPUTED_VALUE"""),1.64)</f>
        <v>1.64</v>
      </c>
      <c r="E355" s="1">
        <f>IFERROR(__xludf.DUMMYFUNCTION("""COMPUTED_VALUE"""),1.67)</f>
        <v>1.67</v>
      </c>
      <c r="F355" s="1">
        <f>IFERROR(__xludf.DUMMYFUNCTION("""COMPUTED_VALUE"""),707308.0)</f>
        <v>707308</v>
      </c>
    </row>
    <row r="356">
      <c r="A356" s="2">
        <f>IFERROR(__xludf.DUMMYFUNCTION("""COMPUTED_VALUE"""),41649.666666666664)</f>
        <v>41649.66667</v>
      </c>
      <c r="B356" s="1">
        <f>IFERROR(__xludf.DUMMYFUNCTION("""COMPUTED_VALUE"""),1.67)</f>
        <v>1.67</v>
      </c>
      <c r="C356" s="1">
        <f>IFERROR(__xludf.DUMMYFUNCTION("""COMPUTED_VALUE"""),1.71)</f>
        <v>1.71</v>
      </c>
      <c r="D356" s="1">
        <f>IFERROR(__xludf.DUMMYFUNCTION("""COMPUTED_VALUE"""),1.63)</f>
        <v>1.63</v>
      </c>
      <c r="E356" s="1">
        <f>IFERROR(__xludf.DUMMYFUNCTION("""COMPUTED_VALUE"""),1.69)</f>
        <v>1.69</v>
      </c>
      <c r="F356" s="1">
        <f>IFERROR(__xludf.DUMMYFUNCTION("""COMPUTED_VALUE"""),950138.0)</f>
        <v>950138</v>
      </c>
    </row>
    <row r="357">
      <c r="A357" s="2">
        <f>IFERROR(__xludf.DUMMYFUNCTION("""COMPUTED_VALUE"""),41656.666666666664)</f>
        <v>41656.66667</v>
      </c>
      <c r="B357" s="1">
        <f>IFERROR(__xludf.DUMMYFUNCTION("""COMPUTED_VALUE"""),1.69)</f>
        <v>1.69</v>
      </c>
      <c r="C357" s="1">
        <f>IFERROR(__xludf.DUMMYFUNCTION("""COMPUTED_VALUE"""),1.82)</f>
        <v>1.82</v>
      </c>
      <c r="D357" s="1">
        <f>IFERROR(__xludf.DUMMYFUNCTION("""COMPUTED_VALUE"""),1.65)</f>
        <v>1.65</v>
      </c>
      <c r="E357" s="1">
        <f>IFERROR(__xludf.DUMMYFUNCTION("""COMPUTED_VALUE"""),1.8)</f>
        <v>1.8</v>
      </c>
      <c r="F357" s="1">
        <f>IFERROR(__xludf.DUMMYFUNCTION("""COMPUTED_VALUE"""),1921911.0)</f>
        <v>1921911</v>
      </c>
    </row>
    <row r="358">
      <c r="A358" s="2">
        <f>IFERROR(__xludf.DUMMYFUNCTION("""COMPUTED_VALUE"""),41663.666666666664)</f>
        <v>41663.66667</v>
      </c>
      <c r="B358" s="1">
        <f>IFERROR(__xludf.DUMMYFUNCTION("""COMPUTED_VALUE"""),1.8)</f>
        <v>1.8</v>
      </c>
      <c r="C358" s="1">
        <f>IFERROR(__xludf.DUMMYFUNCTION("""COMPUTED_VALUE"""),2.35)</f>
        <v>2.35</v>
      </c>
      <c r="D358" s="1">
        <f>IFERROR(__xludf.DUMMYFUNCTION("""COMPUTED_VALUE"""),1.79)</f>
        <v>1.79</v>
      </c>
      <c r="E358" s="1">
        <f>IFERROR(__xludf.DUMMYFUNCTION("""COMPUTED_VALUE"""),2.1)</f>
        <v>2.1</v>
      </c>
      <c r="F358" s="1">
        <f>IFERROR(__xludf.DUMMYFUNCTION("""COMPUTED_VALUE"""),6191142.0)</f>
        <v>6191142</v>
      </c>
    </row>
    <row r="359">
      <c r="A359" s="2">
        <f>IFERROR(__xludf.DUMMYFUNCTION("""COMPUTED_VALUE"""),41670.666666666664)</f>
        <v>41670.66667</v>
      </c>
      <c r="B359" s="1">
        <f>IFERROR(__xludf.DUMMYFUNCTION("""COMPUTED_VALUE"""),2.09)</f>
        <v>2.09</v>
      </c>
      <c r="C359" s="1">
        <f>IFERROR(__xludf.DUMMYFUNCTION("""COMPUTED_VALUE"""),2.23)</f>
        <v>2.23</v>
      </c>
      <c r="D359" s="1">
        <f>IFERROR(__xludf.DUMMYFUNCTION("""COMPUTED_VALUE"""),2.04)</f>
        <v>2.04</v>
      </c>
      <c r="E359" s="1">
        <f>IFERROR(__xludf.DUMMYFUNCTION("""COMPUTED_VALUE"""),2.06)</f>
        <v>2.06</v>
      </c>
      <c r="F359" s="1">
        <f>IFERROR(__xludf.DUMMYFUNCTION("""COMPUTED_VALUE"""),3015929.0)</f>
        <v>3015929</v>
      </c>
    </row>
    <row r="360">
      <c r="A360" s="2">
        <f>IFERROR(__xludf.DUMMYFUNCTION("""COMPUTED_VALUE"""),41677.666666666664)</f>
        <v>41677.66667</v>
      </c>
      <c r="B360" s="1">
        <f>IFERROR(__xludf.DUMMYFUNCTION("""COMPUTED_VALUE"""),2.06)</f>
        <v>2.06</v>
      </c>
      <c r="C360" s="1">
        <f>IFERROR(__xludf.DUMMYFUNCTION("""COMPUTED_VALUE"""),2.12)</f>
        <v>2.12</v>
      </c>
      <c r="D360" s="1">
        <f>IFERROR(__xludf.DUMMYFUNCTION("""COMPUTED_VALUE"""),1.95)</f>
        <v>1.95</v>
      </c>
      <c r="E360" s="1">
        <f>IFERROR(__xludf.DUMMYFUNCTION("""COMPUTED_VALUE"""),2.1)</f>
        <v>2.1</v>
      </c>
      <c r="F360" s="1">
        <f>IFERROR(__xludf.DUMMYFUNCTION("""COMPUTED_VALUE"""),2141553.0)</f>
        <v>2141553</v>
      </c>
    </row>
    <row r="361">
      <c r="A361" s="2">
        <f>IFERROR(__xludf.DUMMYFUNCTION("""COMPUTED_VALUE"""),41684.666666666664)</f>
        <v>41684.66667</v>
      </c>
      <c r="B361" s="1">
        <f>IFERROR(__xludf.DUMMYFUNCTION("""COMPUTED_VALUE"""),2.09)</f>
        <v>2.09</v>
      </c>
      <c r="C361" s="1">
        <f>IFERROR(__xludf.DUMMYFUNCTION("""COMPUTED_VALUE"""),2.21)</f>
        <v>2.21</v>
      </c>
      <c r="D361" s="1">
        <f>IFERROR(__xludf.DUMMYFUNCTION("""COMPUTED_VALUE"""),2.05)</f>
        <v>2.05</v>
      </c>
      <c r="E361" s="1">
        <f>IFERROR(__xludf.DUMMYFUNCTION("""COMPUTED_VALUE"""),2.17)</f>
        <v>2.17</v>
      </c>
      <c r="F361" s="1">
        <f>IFERROR(__xludf.DUMMYFUNCTION("""COMPUTED_VALUE"""),2366024.0)</f>
        <v>2366024</v>
      </c>
    </row>
    <row r="362">
      <c r="A362" s="2">
        <f>IFERROR(__xludf.DUMMYFUNCTION("""COMPUTED_VALUE"""),41691.666666666664)</f>
        <v>41691.66667</v>
      </c>
      <c r="B362" s="1">
        <f>IFERROR(__xludf.DUMMYFUNCTION("""COMPUTED_VALUE"""),2.19)</f>
        <v>2.19</v>
      </c>
      <c r="C362" s="1">
        <f>IFERROR(__xludf.DUMMYFUNCTION("""COMPUTED_VALUE"""),2.29)</f>
        <v>2.29</v>
      </c>
      <c r="D362" s="1">
        <f>IFERROR(__xludf.DUMMYFUNCTION("""COMPUTED_VALUE"""),2.02)</f>
        <v>2.02</v>
      </c>
      <c r="E362" s="1">
        <f>IFERROR(__xludf.DUMMYFUNCTION("""COMPUTED_VALUE"""),2.08)</f>
        <v>2.08</v>
      </c>
      <c r="F362" s="1">
        <f>IFERROR(__xludf.DUMMYFUNCTION("""COMPUTED_VALUE"""),2743005.0)</f>
        <v>2743005</v>
      </c>
    </row>
    <row r="363">
      <c r="A363" s="2">
        <f>IFERROR(__xludf.DUMMYFUNCTION("""COMPUTED_VALUE"""),41698.666666666664)</f>
        <v>41698.66667</v>
      </c>
      <c r="B363" s="1">
        <f>IFERROR(__xludf.DUMMYFUNCTION("""COMPUTED_VALUE"""),2.08)</f>
        <v>2.08</v>
      </c>
      <c r="C363" s="1">
        <f>IFERROR(__xludf.DUMMYFUNCTION("""COMPUTED_VALUE"""),2.14)</f>
        <v>2.14</v>
      </c>
      <c r="D363" s="1">
        <f>IFERROR(__xludf.DUMMYFUNCTION("""COMPUTED_VALUE"""),1.98)</f>
        <v>1.98</v>
      </c>
      <c r="E363" s="1">
        <f>IFERROR(__xludf.DUMMYFUNCTION("""COMPUTED_VALUE"""),2.02)</f>
        <v>2.02</v>
      </c>
      <c r="F363" s="1">
        <f>IFERROR(__xludf.DUMMYFUNCTION("""COMPUTED_VALUE"""),2689277.0)</f>
        <v>2689277</v>
      </c>
    </row>
    <row r="364">
      <c r="A364" s="2">
        <f>IFERROR(__xludf.DUMMYFUNCTION("""COMPUTED_VALUE"""),41705.666666666664)</f>
        <v>41705.66667</v>
      </c>
      <c r="B364" s="1">
        <f>IFERROR(__xludf.DUMMYFUNCTION("""COMPUTED_VALUE"""),1.99)</f>
        <v>1.99</v>
      </c>
      <c r="C364" s="1">
        <f>IFERROR(__xludf.DUMMYFUNCTION("""COMPUTED_VALUE"""),2.14)</f>
        <v>2.14</v>
      </c>
      <c r="D364" s="1">
        <f>IFERROR(__xludf.DUMMYFUNCTION("""COMPUTED_VALUE"""),1.97)</f>
        <v>1.97</v>
      </c>
      <c r="E364" s="1">
        <f>IFERROR(__xludf.DUMMYFUNCTION("""COMPUTED_VALUE"""),2.08)</f>
        <v>2.08</v>
      </c>
      <c r="F364" s="1">
        <f>IFERROR(__xludf.DUMMYFUNCTION("""COMPUTED_VALUE"""),1787918.0)</f>
        <v>1787918</v>
      </c>
    </row>
    <row r="365">
      <c r="A365" s="2">
        <f>IFERROR(__xludf.DUMMYFUNCTION("""COMPUTED_VALUE"""),41712.666666666664)</f>
        <v>41712.66667</v>
      </c>
      <c r="B365" s="1">
        <f>IFERROR(__xludf.DUMMYFUNCTION("""COMPUTED_VALUE"""),2.08)</f>
        <v>2.08</v>
      </c>
      <c r="C365" s="1">
        <f>IFERROR(__xludf.DUMMYFUNCTION("""COMPUTED_VALUE"""),2.08)</f>
        <v>2.08</v>
      </c>
      <c r="D365" s="1">
        <f>IFERROR(__xludf.DUMMYFUNCTION("""COMPUTED_VALUE"""),1.82)</f>
        <v>1.82</v>
      </c>
      <c r="E365" s="1">
        <f>IFERROR(__xludf.DUMMYFUNCTION("""COMPUTED_VALUE"""),1.84)</f>
        <v>1.84</v>
      </c>
      <c r="F365" s="1">
        <f>IFERROR(__xludf.DUMMYFUNCTION("""COMPUTED_VALUE"""),2347255.0)</f>
        <v>2347255</v>
      </c>
    </row>
    <row r="366">
      <c r="A366" s="2">
        <f>IFERROR(__xludf.DUMMYFUNCTION("""COMPUTED_VALUE"""),41719.666666666664)</f>
        <v>41719.66667</v>
      </c>
      <c r="B366" s="1">
        <f>IFERROR(__xludf.DUMMYFUNCTION("""COMPUTED_VALUE"""),1.85)</f>
        <v>1.85</v>
      </c>
      <c r="C366" s="1">
        <f>IFERROR(__xludf.DUMMYFUNCTION("""COMPUTED_VALUE"""),1.88)</f>
        <v>1.88</v>
      </c>
      <c r="D366" s="1">
        <f>IFERROR(__xludf.DUMMYFUNCTION("""COMPUTED_VALUE"""),1.78)</f>
        <v>1.78</v>
      </c>
      <c r="E366" s="1">
        <f>IFERROR(__xludf.DUMMYFUNCTION("""COMPUTED_VALUE"""),1.81)</f>
        <v>1.81</v>
      </c>
      <c r="F366" s="1">
        <f>IFERROR(__xludf.DUMMYFUNCTION("""COMPUTED_VALUE"""),1759632.0)</f>
        <v>1759632</v>
      </c>
    </row>
    <row r="367">
      <c r="A367" s="2">
        <f>IFERROR(__xludf.DUMMYFUNCTION("""COMPUTED_VALUE"""),41726.666666666664)</f>
        <v>41726.66667</v>
      </c>
      <c r="B367" s="1">
        <f>IFERROR(__xludf.DUMMYFUNCTION("""COMPUTED_VALUE"""),1.81)</f>
        <v>1.81</v>
      </c>
      <c r="C367" s="1">
        <f>IFERROR(__xludf.DUMMYFUNCTION("""COMPUTED_VALUE"""),1.84)</f>
        <v>1.84</v>
      </c>
      <c r="D367" s="1">
        <f>IFERROR(__xludf.DUMMYFUNCTION("""COMPUTED_VALUE"""),1.71)</f>
        <v>1.71</v>
      </c>
      <c r="E367" s="1">
        <f>IFERROR(__xludf.DUMMYFUNCTION("""COMPUTED_VALUE"""),1.73)</f>
        <v>1.73</v>
      </c>
      <c r="F367" s="1">
        <f>IFERROR(__xludf.DUMMYFUNCTION("""COMPUTED_VALUE"""),1543151.0)</f>
        <v>1543151</v>
      </c>
    </row>
    <row r="368">
      <c r="A368" s="2">
        <f>IFERROR(__xludf.DUMMYFUNCTION("""COMPUTED_VALUE"""),41733.666666666664)</f>
        <v>41733.66667</v>
      </c>
      <c r="B368" s="1">
        <f>IFERROR(__xludf.DUMMYFUNCTION("""COMPUTED_VALUE"""),1.75)</f>
        <v>1.75</v>
      </c>
      <c r="C368" s="1">
        <f>IFERROR(__xludf.DUMMYFUNCTION("""COMPUTED_VALUE"""),1.81)</f>
        <v>1.81</v>
      </c>
      <c r="D368" s="1">
        <f>IFERROR(__xludf.DUMMYFUNCTION("""COMPUTED_VALUE"""),1.72)</f>
        <v>1.72</v>
      </c>
      <c r="E368" s="1">
        <f>IFERROR(__xludf.DUMMYFUNCTION("""COMPUTED_VALUE"""),1.77)</f>
        <v>1.77</v>
      </c>
      <c r="F368" s="1">
        <f>IFERROR(__xludf.DUMMYFUNCTION("""COMPUTED_VALUE"""),1369777.0)</f>
        <v>1369777</v>
      </c>
    </row>
    <row r="369">
      <c r="A369" s="2">
        <f>IFERROR(__xludf.DUMMYFUNCTION("""COMPUTED_VALUE"""),41740.666666666664)</f>
        <v>41740.66667</v>
      </c>
      <c r="B369" s="1">
        <f>IFERROR(__xludf.DUMMYFUNCTION("""COMPUTED_VALUE"""),1.76)</f>
        <v>1.76</v>
      </c>
      <c r="C369" s="1">
        <f>IFERROR(__xludf.DUMMYFUNCTION("""COMPUTED_VALUE"""),1.83)</f>
        <v>1.83</v>
      </c>
      <c r="D369" s="1">
        <f>IFERROR(__xludf.DUMMYFUNCTION("""COMPUTED_VALUE"""),1.64)</f>
        <v>1.64</v>
      </c>
      <c r="E369" s="1">
        <f>IFERROR(__xludf.DUMMYFUNCTION("""COMPUTED_VALUE"""),1.65)</f>
        <v>1.65</v>
      </c>
      <c r="F369" s="1">
        <f>IFERROR(__xludf.DUMMYFUNCTION("""COMPUTED_VALUE"""),1634247.0)</f>
        <v>1634247</v>
      </c>
    </row>
    <row r="370">
      <c r="A370" s="2">
        <f>IFERROR(__xludf.DUMMYFUNCTION("""COMPUTED_VALUE"""),41746.666666666664)</f>
        <v>41746.66667</v>
      </c>
      <c r="B370" s="1">
        <f>IFERROR(__xludf.DUMMYFUNCTION("""COMPUTED_VALUE"""),1.67)</f>
        <v>1.67</v>
      </c>
      <c r="C370" s="1">
        <f>IFERROR(__xludf.DUMMYFUNCTION("""COMPUTED_VALUE"""),1.8)</f>
        <v>1.8</v>
      </c>
      <c r="D370" s="1">
        <f>IFERROR(__xludf.DUMMYFUNCTION("""COMPUTED_VALUE"""),1.64)</f>
        <v>1.64</v>
      </c>
      <c r="E370" s="1">
        <f>IFERROR(__xludf.DUMMYFUNCTION("""COMPUTED_VALUE"""),1.78)</f>
        <v>1.78</v>
      </c>
      <c r="F370" s="1">
        <f>IFERROR(__xludf.DUMMYFUNCTION("""COMPUTED_VALUE"""),1341983.0)</f>
        <v>1341983</v>
      </c>
    </row>
    <row r="371">
      <c r="A371" s="2">
        <f>IFERROR(__xludf.DUMMYFUNCTION("""COMPUTED_VALUE"""),41754.666666666664)</f>
        <v>41754.66667</v>
      </c>
      <c r="B371" s="1">
        <f>IFERROR(__xludf.DUMMYFUNCTION("""COMPUTED_VALUE"""),1.79)</f>
        <v>1.79</v>
      </c>
      <c r="C371" s="1">
        <f>IFERROR(__xludf.DUMMYFUNCTION("""COMPUTED_VALUE"""),2.2)</f>
        <v>2.2</v>
      </c>
      <c r="D371" s="1">
        <f>IFERROR(__xludf.DUMMYFUNCTION("""COMPUTED_VALUE"""),1.78)</f>
        <v>1.78</v>
      </c>
      <c r="E371" s="1">
        <f>IFERROR(__xludf.DUMMYFUNCTION("""COMPUTED_VALUE"""),2.05)</f>
        <v>2.05</v>
      </c>
      <c r="F371" s="1">
        <f>IFERROR(__xludf.DUMMYFUNCTION("""COMPUTED_VALUE"""),5646059.0)</f>
        <v>5646059</v>
      </c>
    </row>
    <row r="372">
      <c r="A372" s="2">
        <f>IFERROR(__xludf.DUMMYFUNCTION("""COMPUTED_VALUE"""),41761.666666666664)</f>
        <v>41761.66667</v>
      </c>
      <c r="B372" s="1">
        <f>IFERROR(__xludf.DUMMYFUNCTION("""COMPUTED_VALUE"""),2.05)</f>
        <v>2.05</v>
      </c>
      <c r="C372" s="1">
        <f>IFERROR(__xludf.DUMMYFUNCTION("""COMPUTED_VALUE"""),2.11)</f>
        <v>2.11</v>
      </c>
      <c r="D372" s="1">
        <f>IFERROR(__xludf.DUMMYFUNCTION("""COMPUTED_VALUE"""),1.96)</f>
        <v>1.96</v>
      </c>
      <c r="E372" s="1">
        <f>IFERROR(__xludf.DUMMYFUNCTION("""COMPUTED_VALUE"""),2.03)</f>
        <v>2.03</v>
      </c>
      <c r="F372" s="1">
        <f>IFERROR(__xludf.DUMMYFUNCTION("""COMPUTED_VALUE"""),2378145.0)</f>
        <v>2378145</v>
      </c>
    </row>
    <row r="373">
      <c r="A373" s="2">
        <f>IFERROR(__xludf.DUMMYFUNCTION("""COMPUTED_VALUE"""),41768.666666666664)</f>
        <v>41768.66667</v>
      </c>
      <c r="B373" s="1">
        <f>IFERROR(__xludf.DUMMYFUNCTION("""COMPUTED_VALUE"""),2.02)</f>
        <v>2.02</v>
      </c>
      <c r="C373" s="1">
        <f>IFERROR(__xludf.DUMMYFUNCTION("""COMPUTED_VALUE"""),2.03)</f>
        <v>2.03</v>
      </c>
      <c r="D373" s="1">
        <f>IFERROR(__xludf.DUMMYFUNCTION("""COMPUTED_VALUE"""),1.81)</f>
        <v>1.81</v>
      </c>
      <c r="E373" s="1">
        <f>IFERROR(__xludf.DUMMYFUNCTION("""COMPUTED_VALUE"""),1.85)</f>
        <v>1.85</v>
      </c>
      <c r="F373" s="1">
        <f>IFERROR(__xludf.DUMMYFUNCTION("""COMPUTED_VALUE"""),1847740.0)</f>
        <v>1847740</v>
      </c>
    </row>
    <row r="374">
      <c r="A374" s="2">
        <f>IFERROR(__xludf.DUMMYFUNCTION("""COMPUTED_VALUE"""),41775.666666666664)</f>
        <v>41775.66667</v>
      </c>
      <c r="B374" s="1">
        <f>IFERROR(__xludf.DUMMYFUNCTION("""COMPUTED_VALUE"""),1.84)</f>
        <v>1.84</v>
      </c>
      <c r="C374" s="1">
        <f>IFERROR(__xludf.DUMMYFUNCTION("""COMPUTED_VALUE"""),1.99)</f>
        <v>1.99</v>
      </c>
      <c r="D374" s="1">
        <f>IFERROR(__xludf.DUMMYFUNCTION("""COMPUTED_VALUE"""),1.73)</f>
        <v>1.73</v>
      </c>
      <c r="E374" s="1">
        <f>IFERROR(__xludf.DUMMYFUNCTION("""COMPUTED_VALUE"""),1.98)</f>
        <v>1.98</v>
      </c>
      <c r="F374" s="1">
        <f>IFERROR(__xludf.DUMMYFUNCTION("""COMPUTED_VALUE"""),2949586.0)</f>
        <v>2949586</v>
      </c>
    </row>
    <row r="375">
      <c r="A375" s="2">
        <f>IFERROR(__xludf.DUMMYFUNCTION("""COMPUTED_VALUE"""),41782.666666666664)</f>
        <v>41782.66667</v>
      </c>
      <c r="B375" s="1">
        <f>IFERROR(__xludf.DUMMYFUNCTION("""COMPUTED_VALUE"""),1.97)</f>
        <v>1.97</v>
      </c>
      <c r="C375" s="1">
        <f>IFERROR(__xludf.DUMMYFUNCTION("""COMPUTED_VALUE"""),2.13)</f>
        <v>2.13</v>
      </c>
      <c r="D375" s="1">
        <f>IFERROR(__xludf.DUMMYFUNCTION("""COMPUTED_VALUE"""),1.97)</f>
        <v>1.97</v>
      </c>
      <c r="E375" s="1">
        <f>IFERROR(__xludf.DUMMYFUNCTION("""COMPUTED_VALUE"""),2.12)</f>
        <v>2.12</v>
      </c>
      <c r="F375" s="1">
        <f>IFERROR(__xludf.DUMMYFUNCTION("""COMPUTED_VALUE"""),2256222.0)</f>
        <v>2256222</v>
      </c>
    </row>
    <row r="376">
      <c r="A376" s="2">
        <f>IFERROR(__xludf.DUMMYFUNCTION("""COMPUTED_VALUE"""),41789.666666666664)</f>
        <v>41789.66667</v>
      </c>
      <c r="B376" s="1">
        <f>IFERROR(__xludf.DUMMYFUNCTION("""COMPUTED_VALUE"""),2.13)</f>
        <v>2.13</v>
      </c>
      <c r="C376" s="1">
        <f>IFERROR(__xludf.DUMMYFUNCTION("""COMPUTED_VALUE"""),2.18)</f>
        <v>2.18</v>
      </c>
      <c r="D376" s="1">
        <f>IFERROR(__xludf.DUMMYFUNCTION("""COMPUTED_VALUE"""),2.11)</f>
        <v>2.11</v>
      </c>
      <c r="E376" s="1">
        <f>IFERROR(__xludf.DUMMYFUNCTION("""COMPUTED_VALUE"""),2.15)</f>
        <v>2.15</v>
      </c>
      <c r="F376" s="1">
        <f>IFERROR(__xludf.DUMMYFUNCTION("""COMPUTED_VALUE"""),1891381.0)</f>
        <v>1891381</v>
      </c>
    </row>
    <row r="377">
      <c r="A377" s="2">
        <f>IFERROR(__xludf.DUMMYFUNCTION("""COMPUTED_VALUE"""),41796.666666666664)</f>
        <v>41796.66667</v>
      </c>
      <c r="B377" s="1">
        <f>IFERROR(__xludf.DUMMYFUNCTION("""COMPUTED_VALUE"""),2.15)</f>
        <v>2.15</v>
      </c>
      <c r="C377" s="1">
        <f>IFERROR(__xludf.DUMMYFUNCTION("""COMPUTED_VALUE"""),2.21)</f>
        <v>2.21</v>
      </c>
      <c r="D377" s="1">
        <f>IFERROR(__xludf.DUMMYFUNCTION("""COMPUTED_VALUE"""),2.08)</f>
        <v>2.08</v>
      </c>
      <c r="E377" s="1">
        <f>IFERROR(__xludf.DUMMYFUNCTION("""COMPUTED_VALUE"""),2.18)</f>
        <v>2.18</v>
      </c>
      <c r="F377" s="1">
        <f>IFERROR(__xludf.DUMMYFUNCTION("""COMPUTED_VALUE"""),1670608.0)</f>
        <v>1670608</v>
      </c>
    </row>
    <row r="378">
      <c r="A378" s="2">
        <f>IFERROR(__xludf.DUMMYFUNCTION("""COMPUTED_VALUE"""),41803.666666666664)</f>
        <v>41803.66667</v>
      </c>
      <c r="B378" s="1">
        <f>IFERROR(__xludf.DUMMYFUNCTION("""COMPUTED_VALUE"""),2.19)</f>
        <v>2.19</v>
      </c>
      <c r="C378" s="1">
        <f>IFERROR(__xludf.DUMMYFUNCTION("""COMPUTED_VALUE"""),2.31)</f>
        <v>2.31</v>
      </c>
      <c r="D378" s="1">
        <f>IFERROR(__xludf.DUMMYFUNCTION("""COMPUTED_VALUE"""),2.18)</f>
        <v>2.18</v>
      </c>
      <c r="E378" s="1">
        <f>IFERROR(__xludf.DUMMYFUNCTION("""COMPUTED_VALUE"""),2.31)</f>
        <v>2.31</v>
      </c>
      <c r="F378" s="1">
        <f>IFERROR(__xludf.DUMMYFUNCTION("""COMPUTED_VALUE"""),1338373.0)</f>
        <v>1338373</v>
      </c>
    </row>
    <row r="379">
      <c r="A379" s="2">
        <f>IFERROR(__xludf.DUMMYFUNCTION("""COMPUTED_VALUE"""),41810.666666666664)</f>
        <v>41810.66667</v>
      </c>
      <c r="B379" s="1">
        <f>IFERROR(__xludf.DUMMYFUNCTION("""COMPUTED_VALUE"""),2.31)</f>
        <v>2.31</v>
      </c>
      <c r="C379" s="1">
        <f>IFERROR(__xludf.DUMMYFUNCTION("""COMPUTED_VALUE"""),2.68)</f>
        <v>2.68</v>
      </c>
      <c r="D379" s="1">
        <f>IFERROR(__xludf.DUMMYFUNCTION("""COMPUTED_VALUE"""),2.31)</f>
        <v>2.31</v>
      </c>
      <c r="E379" s="1">
        <f>IFERROR(__xludf.DUMMYFUNCTION("""COMPUTED_VALUE"""),2.6)</f>
        <v>2.6</v>
      </c>
      <c r="F379" s="1">
        <f>IFERROR(__xludf.DUMMYFUNCTION("""COMPUTED_VALUE"""),3767131.0)</f>
        <v>3767131</v>
      </c>
    </row>
    <row r="380">
      <c r="A380" s="2">
        <f>IFERROR(__xludf.DUMMYFUNCTION("""COMPUTED_VALUE"""),41817.666666666664)</f>
        <v>41817.66667</v>
      </c>
      <c r="B380" s="1">
        <f>IFERROR(__xludf.DUMMYFUNCTION("""COMPUTED_VALUE"""),2.62)</f>
        <v>2.62</v>
      </c>
      <c r="C380" s="1">
        <f>IFERROR(__xludf.DUMMYFUNCTION("""COMPUTED_VALUE"""),2.62)</f>
        <v>2.62</v>
      </c>
      <c r="D380" s="1">
        <f>IFERROR(__xludf.DUMMYFUNCTION("""COMPUTED_VALUE"""),2.46)</f>
        <v>2.46</v>
      </c>
      <c r="E380" s="1">
        <f>IFERROR(__xludf.DUMMYFUNCTION("""COMPUTED_VALUE"""),2.47)</f>
        <v>2.47</v>
      </c>
      <c r="F380" s="1">
        <f>IFERROR(__xludf.DUMMYFUNCTION("""COMPUTED_VALUE"""),2984057.0)</f>
        <v>2984057</v>
      </c>
    </row>
    <row r="381">
      <c r="A381" s="2">
        <f>IFERROR(__xludf.DUMMYFUNCTION("""COMPUTED_VALUE"""),41823.666666666664)</f>
        <v>41823.66667</v>
      </c>
      <c r="B381" s="1">
        <f>IFERROR(__xludf.DUMMYFUNCTION("""COMPUTED_VALUE"""),2.47)</f>
        <v>2.47</v>
      </c>
      <c r="C381" s="1">
        <f>IFERROR(__xludf.DUMMYFUNCTION("""COMPUTED_VALUE"""),2.6)</f>
        <v>2.6</v>
      </c>
      <c r="D381" s="1">
        <f>IFERROR(__xludf.DUMMYFUNCTION("""COMPUTED_VALUE"""),2.46)</f>
        <v>2.46</v>
      </c>
      <c r="E381" s="1">
        <f>IFERROR(__xludf.DUMMYFUNCTION("""COMPUTED_VALUE"""),2.6)</f>
        <v>2.6</v>
      </c>
      <c r="F381" s="1">
        <f>IFERROR(__xludf.DUMMYFUNCTION("""COMPUTED_VALUE"""),1824053.0)</f>
        <v>1824053</v>
      </c>
    </row>
    <row r="382">
      <c r="A382" s="2">
        <f>IFERROR(__xludf.DUMMYFUNCTION("""COMPUTED_VALUE"""),41831.666666666664)</f>
        <v>41831.66667</v>
      </c>
      <c r="B382" s="1">
        <f>IFERROR(__xludf.DUMMYFUNCTION("""COMPUTED_VALUE"""),2.59)</f>
        <v>2.59</v>
      </c>
      <c r="C382" s="1">
        <f>IFERROR(__xludf.DUMMYFUNCTION("""COMPUTED_VALUE"""),2.6)</f>
        <v>2.6</v>
      </c>
      <c r="D382" s="1">
        <f>IFERROR(__xludf.DUMMYFUNCTION("""COMPUTED_VALUE"""),2.36)</f>
        <v>2.36</v>
      </c>
      <c r="E382" s="1">
        <f>IFERROR(__xludf.DUMMYFUNCTION("""COMPUTED_VALUE"""),2.51)</f>
        <v>2.51</v>
      </c>
      <c r="F382" s="1">
        <f>IFERROR(__xludf.DUMMYFUNCTION("""COMPUTED_VALUE"""),2205376.0)</f>
        <v>2205376</v>
      </c>
    </row>
    <row r="383">
      <c r="A383" s="2">
        <f>IFERROR(__xludf.DUMMYFUNCTION("""COMPUTED_VALUE"""),41838.666666666664)</f>
        <v>41838.66667</v>
      </c>
      <c r="B383" s="1">
        <f>IFERROR(__xludf.DUMMYFUNCTION("""COMPUTED_VALUE"""),2.53)</f>
        <v>2.53</v>
      </c>
      <c r="C383" s="1">
        <f>IFERROR(__xludf.DUMMYFUNCTION("""COMPUTED_VALUE"""),2.55)</f>
        <v>2.55</v>
      </c>
      <c r="D383" s="1">
        <f>IFERROR(__xludf.DUMMYFUNCTION("""COMPUTED_VALUE"""),2.41)</f>
        <v>2.41</v>
      </c>
      <c r="E383" s="1">
        <f>IFERROR(__xludf.DUMMYFUNCTION("""COMPUTED_VALUE"""),2.54)</f>
        <v>2.54</v>
      </c>
      <c r="F383" s="1">
        <f>IFERROR(__xludf.DUMMYFUNCTION("""COMPUTED_VALUE"""),1371874.0)</f>
        <v>1371874</v>
      </c>
    </row>
    <row r="384">
      <c r="A384" s="2">
        <f>IFERROR(__xludf.DUMMYFUNCTION("""COMPUTED_VALUE"""),41845.666666666664)</f>
        <v>41845.66667</v>
      </c>
      <c r="B384" s="1">
        <f>IFERROR(__xludf.DUMMYFUNCTION("""COMPUTED_VALUE"""),2.53)</f>
        <v>2.53</v>
      </c>
      <c r="C384" s="1">
        <f>IFERROR(__xludf.DUMMYFUNCTION("""COMPUTED_VALUE"""),2.73)</f>
        <v>2.73</v>
      </c>
      <c r="D384" s="1">
        <f>IFERROR(__xludf.DUMMYFUNCTION("""COMPUTED_VALUE"""),2.47)</f>
        <v>2.47</v>
      </c>
      <c r="E384" s="1">
        <f>IFERROR(__xludf.DUMMYFUNCTION("""COMPUTED_VALUE"""),2.52)</f>
        <v>2.52</v>
      </c>
      <c r="F384" s="1">
        <f>IFERROR(__xludf.DUMMYFUNCTION("""COMPUTED_VALUE"""),1988029.0)</f>
        <v>1988029</v>
      </c>
    </row>
    <row r="385">
      <c r="A385" s="2">
        <f>IFERROR(__xludf.DUMMYFUNCTION("""COMPUTED_VALUE"""),41852.666666666664)</f>
        <v>41852.66667</v>
      </c>
      <c r="B385" s="1">
        <f>IFERROR(__xludf.DUMMYFUNCTION("""COMPUTED_VALUE"""),2.51)</f>
        <v>2.51</v>
      </c>
      <c r="C385" s="1">
        <f>IFERROR(__xludf.DUMMYFUNCTION("""COMPUTED_VALUE"""),2.68)</f>
        <v>2.68</v>
      </c>
      <c r="D385" s="1">
        <f>IFERROR(__xludf.DUMMYFUNCTION("""COMPUTED_VALUE"""),2.46)</f>
        <v>2.46</v>
      </c>
      <c r="E385" s="1">
        <f>IFERROR(__xludf.DUMMYFUNCTION("""COMPUTED_VALUE"""),2.56)</f>
        <v>2.56</v>
      </c>
      <c r="F385" s="1">
        <f>IFERROR(__xludf.DUMMYFUNCTION("""COMPUTED_VALUE"""),1829068.0)</f>
        <v>1829068</v>
      </c>
    </row>
    <row r="386">
      <c r="A386" s="2">
        <f>IFERROR(__xludf.DUMMYFUNCTION("""COMPUTED_VALUE"""),41859.666666666664)</f>
        <v>41859.66667</v>
      </c>
      <c r="B386" s="1">
        <f>IFERROR(__xludf.DUMMYFUNCTION("""COMPUTED_VALUE"""),2.59)</f>
        <v>2.59</v>
      </c>
      <c r="C386" s="1">
        <f>IFERROR(__xludf.DUMMYFUNCTION("""COMPUTED_VALUE"""),2.7)</f>
        <v>2.7</v>
      </c>
      <c r="D386" s="1">
        <f>IFERROR(__xludf.DUMMYFUNCTION("""COMPUTED_VALUE"""),2.34)</f>
        <v>2.34</v>
      </c>
      <c r="E386" s="1">
        <f>IFERROR(__xludf.DUMMYFUNCTION("""COMPUTED_VALUE"""),2.43)</f>
        <v>2.43</v>
      </c>
      <c r="F386" s="1">
        <f>IFERROR(__xludf.DUMMYFUNCTION("""COMPUTED_VALUE"""),3309933.0)</f>
        <v>3309933</v>
      </c>
    </row>
    <row r="387">
      <c r="A387" s="2">
        <f>IFERROR(__xludf.DUMMYFUNCTION("""COMPUTED_VALUE"""),41866.666666666664)</f>
        <v>41866.66667</v>
      </c>
      <c r="B387" s="1">
        <f>IFERROR(__xludf.DUMMYFUNCTION("""COMPUTED_VALUE"""),2.44)</f>
        <v>2.44</v>
      </c>
      <c r="C387" s="1">
        <f>IFERROR(__xludf.DUMMYFUNCTION("""COMPUTED_VALUE"""),2.59)</f>
        <v>2.59</v>
      </c>
      <c r="D387" s="1">
        <f>IFERROR(__xludf.DUMMYFUNCTION("""COMPUTED_VALUE"""),2.41)</f>
        <v>2.41</v>
      </c>
      <c r="E387" s="1">
        <f>IFERROR(__xludf.DUMMYFUNCTION("""COMPUTED_VALUE"""),2.53)</f>
        <v>2.53</v>
      </c>
      <c r="F387" s="1">
        <f>IFERROR(__xludf.DUMMYFUNCTION("""COMPUTED_VALUE"""),1585770.0)</f>
        <v>1585770</v>
      </c>
    </row>
    <row r="388">
      <c r="A388" s="2">
        <f>IFERROR(__xludf.DUMMYFUNCTION("""COMPUTED_VALUE"""),41873.666666666664)</f>
        <v>41873.66667</v>
      </c>
      <c r="B388" s="1">
        <f>IFERROR(__xludf.DUMMYFUNCTION("""COMPUTED_VALUE"""),2.57)</f>
        <v>2.57</v>
      </c>
      <c r="C388" s="1">
        <f>IFERROR(__xludf.DUMMYFUNCTION("""COMPUTED_VALUE"""),2.61)</f>
        <v>2.61</v>
      </c>
      <c r="D388" s="1">
        <f>IFERROR(__xludf.DUMMYFUNCTION("""COMPUTED_VALUE"""),2.41)</f>
        <v>2.41</v>
      </c>
      <c r="E388" s="1">
        <f>IFERROR(__xludf.DUMMYFUNCTION("""COMPUTED_VALUE"""),2.46)</f>
        <v>2.46</v>
      </c>
      <c r="F388" s="1">
        <f>IFERROR(__xludf.DUMMYFUNCTION("""COMPUTED_VALUE"""),1696077.0)</f>
        <v>1696077</v>
      </c>
    </row>
    <row r="389">
      <c r="A389" s="2">
        <f>IFERROR(__xludf.DUMMYFUNCTION("""COMPUTED_VALUE"""),41880.666666666664)</f>
        <v>41880.66667</v>
      </c>
      <c r="B389" s="1">
        <f>IFERROR(__xludf.DUMMYFUNCTION("""COMPUTED_VALUE"""),2.48)</f>
        <v>2.48</v>
      </c>
      <c r="C389" s="1">
        <f>IFERROR(__xludf.DUMMYFUNCTION("""COMPUTED_VALUE"""),2.53)</f>
        <v>2.53</v>
      </c>
      <c r="D389" s="1">
        <f>IFERROR(__xludf.DUMMYFUNCTION("""COMPUTED_VALUE"""),2.43)</f>
        <v>2.43</v>
      </c>
      <c r="E389" s="1">
        <f>IFERROR(__xludf.DUMMYFUNCTION("""COMPUTED_VALUE"""),2.45)</f>
        <v>2.45</v>
      </c>
      <c r="F389" s="1">
        <f>IFERROR(__xludf.DUMMYFUNCTION("""COMPUTED_VALUE"""),1440005.0)</f>
        <v>1440005</v>
      </c>
    </row>
    <row r="390">
      <c r="A390" s="2">
        <f>IFERROR(__xludf.DUMMYFUNCTION("""COMPUTED_VALUE"""),41887.666666666664)</f>
        <v>41887.66667</v>
      </c>
      <c r="B390" s="1">
        <f>IFERROR(__xludf.DUMMYFUNCTION("""COMPUTED_VALUE"""),2.49)</f>
        <v>2.49</v>
      </c>
      <c r="C390" s="1">
        <f>IFERROR(__xludf.DUMMYFUNCTION("""COMPUTED_VALUE"""),2.76)</f>
        <v>2.76</v>
      </c>
      <c r="D390" s="1">
        <f>IFERROR(__xludf.DUMMYFUNCTION("""COMPUTED_VALUE"""),2.49)</f>
        <v>2.49</v>
      </c>
      <c r="E390" s="1">
        <f>IFERROR(__xludf.DUMMYFUNCTION("""COMPUTED_VALUE"""),2.55)</f>
        <v>2.55</v>
      </c>
      <c r="F390" s="1">
        <f>IFERROR(__xludf.DUMMYFUNCTION("""COMPUTED_VALUE"""),1963510.0)</f>
        <v>1963510</v>
      </c>
    </row>
    <row r="391">
      <c r="A391" s="2">
        <f>IFERROR(__xludf.DUMMYFUNCTION("""COMPUTED_VALUE"""),41894.666666666664)</f>
        <v>41894.66667</v>
      </c>
      <c r="B391" s="1">
        <f>IFERROR(__xludf.DUMMYFUNCTION("""COMPUTED_VALUE"""),2.55)</f>
        <v>2.55</v>
      </c>
      <c r="C391" s="1">
        <f>IFERROR(__xludf.DUMMYFUNCTION("""COMPUTED_VALUE"""),2.68)</f>
        <v>2.68</v>
      </c>
      <c r="D391" s="1">
        <f>IFERROR(__xludf.DUMMYFUNCTION("""COMPUTED_VALUE"""),2.5)</f>
        <v>2.5</v>
      </c>
      <c r="E391" s="1">
        <f>IFERROR(__xludf.DUMMYFUNCTION("""COMPUTED_VALUE"""),2.61)</f>
        <v>2.61</v>
      </c>
      <c r="F391" s="1">
        <f>IFERROR(__xludf.DUMMYFUNCTION("""COMPUTED_VALUE"""),1443249.0)</f>
        <v>1443249</v>
      </c>
    </row>
    <row r="392">
      <c r="A392" s="2">
        <f>IFERROR(__xludf.DUMMYFUNCTION("""COMPUTED_VALUE"""),41901.666666666664)</f>
        <v>41901.66667</v>
      </c>
      <c r="B392" s="1">
        <f>IFERROR(__xludf.DUMMYFUNCTION("""COMPUTED_VALUE"""),2.64)</f>
        <v>2.64</v>
      </c>
      <c r="C392" s="1">
        <f>IFERROR(__xludf.DUMMYFUNCTION("""COMPUTED_VALUE"""),2.97)</f>
        <v>2.97</v>
      </c>
      <c r="D392" s="1">
        <f>IFERROR(__xludf.DUMMYFUNCTION("""COMPUTED_VALUE"""),2.57)</f>
        <v>2.57</v>
      </c>
      <c r="E392" s="1">
        <f>IFERROR(__xludf.DUMMYFUNCTION("""COMPUTED_VALUE"""),2.84)</f>
        <v>2.84</v>
      </c>
      <c r="F392" s="1">
        <f>IFERROR(__xludf.DUMMYFUNCTION("""COMPUTED_VALUE"""),2579121.0)</f>
        <v>2579121</v>
      </c>
    </row>
    <row r="393">
      <c r="A393" s="2">
        <f>IFERROR(__xludf.DUMMYFUNCTION("""COMPUTED_VALUE"""),41908.666666666664)</f>
        <v>41908.66667</v>
      </c>
      <c r="B393" s="1">
        <f>IFERROR(__xludf.DUMMYFUNCTION("""COMPUTED_VALUE"""),2.86)</f>
        <v>2.86</v>
      </c>
      <c r="C393" s="1">
        <f>IFERROR(__xludf.DUMMYFUNCTION("""COMPUTED_VALUE"""),2.9)</f>
        <v>2.9</v>
      </c>
      <c r="D393" s="1">
        <f>IFERROR(__xludf.DUMMYFUNCTION("""COMPUTED_VALUE"""),2.74)</f>
        <v>2.74</v>
      </c>
      <c r="E393" s="1">
        <f>IFERROR(__xludf.DUMMYFUNCTION("""COMPUTED_VALUE"""),2.84)</f>
        <v>2.84</v>
      </c>
      <c r="F393" s="1">
        <f>IFERROR(__xludf.DUMMYFUNCTION("""COMPUTED_VALUE"""),1798159.0)</f>
        <v>1798159</v>
      </c>
    </row>
    <row r="394">
      <c r="A394" s="2">
        <f>IFERROR(__xludf.DUMMYFUNCTION("""COMPUTED_VALUE"""),41915.666666666664)</f>
        <v>41915.66667</v>
      </c>
      <c r="B394" s="1">
        <f>IFERROR(__xludf.DUMMYFUNCTION("""COMPUTED_VALUE"""),2.88)</f>
        <v>2.88</v>
      </c>
      <c r="C394" s="1">
        <f>IFERROR(__xludf.DUMMYFUNCTION("""COMPUTED_VALUE"""),3.01)</f>
        <v>3.01</v>
      </c>
      <c r="D394" s="1">
        <f>IFERROR(__xludf.DUMMYFUNCTION("""COMPUTED_VALUE"""),2.63)</f>
        <v>2.63</v>
      </c>
      <c r="E394" s="1">
        <f>IFERROR(__xludf.DUMMYFUNCTION("""COMPUTED_VALUE"""),2.72)</f>
        <v>2.72</v>
      </c>
      <c r="F394" s="1">
        <f>IFERROR(__xludf.DUMMYFUNCTION("""COMPUTED_VALUE"""),3135972.0)</f>
        <v>3135972</v>
      </c>
    </row>
    <row r="395">
      <c r="A395" s="2">
        <f>IFERROR(__xludf.DUMMYFUNCTION("""COMPUTED_VALUE"""),41922.666666666664)</f>
        <v>41922.66667</v>
      </c>
      <c r="B395" s="1">
        <f>IFERROR(__xludf.DUMMYFUNCTION("""COMPUTED_VALUE"""),2.74)</f>
        <v>2.74</v>
      </c>
      <c r="C395" s="1">
        <f>IFERROR(__xludf.DUMMYFUNCTION("""COMPUTED_VALUE"""),2.74)</f>
        <v>2.74</v>
      </c>
      <c r="D395" s="1">
        <f>IFERROR(__xludf.DUMMYFUNCTION("""COMPUTED_VALUE"""),2.24)</f>
        <v>2.24</v>
      </c>
      <c r="E395" s="1">
        <f>IFERROR(__xludf.DUMMYFUNCTION("""COMPUTED_VALUE"""),2.29)</f>
        <v>2.29</v>
      </c>
      <c r="F395" s="1">
        <f>IFERROR(__xludf.DUMMYFUNCTION("""COMPUTED_VALUE"""),3933375.0)</f>
        <v>3933375</v>
      </c>
    </row>
    <row r="396">
      <c r="A396" s="2">
        <f>IFERROR(__xludf.DUMMYFUNCTION("""COMPUTED_VALUE"""),41929.666666666664)</f>
        <v>41929.66667</v>
      </c>
      <c r="B396" s="1">
        <f>IFERROR(__xludf.DUMMYFUNCTION("""COMPUTED_VALUE"""),2.29)</f>
        <v>2.29</v>
      </c>
      <c r="C396" s="1">
        <f>IFERROR(__xludf.DUMMYFUNCTION("""COMPUTED_VALUE"""),2.52)</f>
        <v>2.52</v>
      </c>
      <c r="D396" s="1">
        <f>IFERROR(__xludf.DUMMYFUNCTION("""COMPUTED_VALUE"""),2.15)</f>
        <v>2.15</v>
      </c>
      <c r="E396" s="1">
        <f>IFERROR(__xludf.DUMMYFUNCTION("""COMPUTED_VALUE"""),2.5)</f>
        <v>2.5</v>
      </c>
      <c r="F396" s="1">
        <f>IFERROR(__xludf.DUMMYFUNCTION("""COMPUTED_VALUE"""),2439800.0)</f>
        <v>2439800</v>
      </c>
    </row>
    <row r="397">
      <c r="A397" s="2">
        <f>IFERROR(__xludf.DUMMYFUNCTION("""COMPUTED_VALUE"""),41936.666666666664)</f>
        <v>41936.66667</v>
      </c>
      <c r="B397" s="1">
        <f>IFERROR(__xludf.DUMMYFUNCTION("""COMPUTED_VALUE"""),2.5)</f>
        <v>2.5</v>
      </c>
      <c r="C397" s="1">
        <f>IFERROR(__xludf.DUMMYFUNCTION("""COMPUTED_VALUE"""),3.1)</f>
        <v>3.1</v>
      </c>
      <c r="D397" s="1">
        <f>IFERROR(__xludf.DUMMYFUNCTION("""COMPUTED_VALUE"""),2.5)</f>
        <v>2.5</v>
      </c>
      <c r="E397" s="1">
        <f>IFERROR(__xludf.DUMMYFUNCTION("""COMPUTED_VALUE"""),3.06)</f>
        <v>3.06</v>
      </c>
      <c r="F397" s="1">
        <f>IFERROR(__xludf.DUMMYFUNCTION("""COMPUTED_VALUE"""),5105858.0)</f>
        <v>5105858</v>
      </c>
    </row>
    <row r="398">
      <c r="A398" s="2">
        <f>IFERROR(__xludf.DUMMYFUNCTION("""COMPUTED_VALUE"""),41943.666666666664)</f>
        <v>41943.66667</v>
      </c>
      <c r="B398" s="1">
        <f>IFERROR(__xludf.DUMMYFUNCTION("""COMPUTED_VALUE"""),3.02)</f>
        <v>3.02</v>
      </c>
      <c r="C398" s="1">
        <f>IFERROR(__xludf.DUMMYFUNCTION("""COMPUTED_VALUE"""),3.24)</f>
        <v>3.24</v>
      </c>
      <c r="D398" s="1">
        <f>IFERROR(__xludf.DUMMYFUNCTION("""COMPUTED_VALUE"""),3.01)</f>
        <v>3.01</v>
      </c>
      <c r="E398" s="1">
        <f>IFERROR(__xludf.DUMMYFUNCTION("""COMPUTED_VALUE"""),3.2)</f>
        <v>3.2</v>
      </c>
      <c r="F398" s="1">
        <f>IFERROR(__xludf.DUMMYFUNCTION("""COMPUTED_VALUE"""),2738489.0)</f>
        <v>2738489</v>
      </c>
    </row>
    <row r="399">
      <c r="A399" s="2">
        <f>IFERROR(__xludf.DUMMYFUNCTION("""COMPUTED_VALUE"""),41950.666666666664)</f>
        <v>41950.66667</v>
      </c>
      <c r="B399" s="1">
        <f>IFERROR(__xludf.DUMMYFUNCTION("""COMPUTED_VALUE"""),3.2)</f>
        <v>3.2</v>
      </c>
      <c r="C399" s="1">
        <f>IFERROR(__xludf.DUMMYFUNCTION("""COMPUTED_VALUE"""),3.4)</f>
        <v>3.4</v>
      </c>
      <c r="D399" s="1">
        <f>IFERROR(__xludf.DUMMYFUNCTION("""COMPUTED_VALUE"""),3.17)</f>
        <v>3.17</v>
      </c>
      <c r="E399" s="1">
        <f>IFERROR(__xludf.DUMMYFUNCTION("""COMPUTED_VALUE"""),3.39)</f>
        <v>3.39</v>
      </c>
      <c r="F399" s="1">
        <f>IFERROR(__xludf.DUMMYFUNCTION("""COMPUTED_VALUE"""),2480322.0)</f>
        <v>2480322</v>
      </c>
    </row>
    <row r="400">
      <c r="A400" s="2">
        <f>IFERROR(__xludf.DUMMYFUNCTION("""COMPUTED_VALUE"""),41957.66666666667)</f>
        <v>41957.66667</v>
      </c>
      <c r="B400" s="1">
        <f>IFERROR(__xludf.DUMMYFUNCTION("""COMPUTED_VALUE"""),3.39)</f>
        <v>3.39</v>
      </c>
      <c r="C400" s="1">
        <f>IFERROR(__xludf.DUMMYFUNCTION("""COMPUTED_VALUE"""),3.5)</f>
        <v>3.5</v>
      </c>
      <c r="D400" s="1">
        <f>IFERROR(__xludf.DUMMYFUNCTION("""COMPUTED_VALUE"""),3.28)</f>
        <v>3.28</v>
      </c>
      <c r="E400" s="1">
        <f>IFERROR(__xludf.DUMMYFUNCTION("""COMPUTED_VALUE"""),3.47)</f>
        <v>3.47</v>
      </c>
      <c r="F400" s="1">
        <f>IFERROR(__xludf.DUMMYFUNCTION("""COMPUTED_VALUE"""),1731280.0)</f>
        <v>1731280</v>
      </c>
    </row>
    <row r="401">
      <c r="A401" s="2">
        <f>IFERROR(__xludf.DUMMYFUNCTION("""COMPUTED_VALUE"""),41964.66666666667)</f>
        <v>41964.66667</v>
      </c>
      <c r="B401" s="1">
        <f>IFERROR(__xludf.DUMMYFUNCTION("""COMPUTED_VALUE"""),3.47)</f>
        <v>3.47</v>
      </c>
      <c r="C401" s="1">
        <f>IFERROR(__xludf.DUMMYFUNCTION("""COMPUTED_VALUE"""),3.48)</f>
        <v>3.48</v>
      </c>
      <c r="D401" s="1">
        <f>IFERROR(__xludf.DUMMYFUNCTION("""COMPUTED_VALUE"""),3.23)</f>
        <v>3.23</v>
      </c>
      <c r="E401" s="1">
        <f>IFERROR(__xludf.DUMMYFUNCTION("""COMPUTED_VALUE"""),3.38)</f>
        <v>3.38</v>
      </c>
      <c r="F401" s="1">
        <f>IFERROR(__xludf.DUMMYFUNCTION("""COMPUTED_VALUE"""),2175465.0)</f>
        <v>2175465</v>
      </c>
    </row>
    <row r="402">
      <c r="A402" s="2">
        <f>IFERROR(__xludf.DUMMYFUNCTION("""COMPUTED_VALUE"""),41971.66666666667)</f>
        <v>41971.66667</v>
      </c>
      <c r="B402" s="1">
        <f>IFERROR(__xludf.DUMMYFUNCTION("""COMPUTED_VALUE"""),3.44)</f>
        <v>3.44</v>
      </c>
      <c r="C402" s="1">
        <f>IFERROR(__xludf.DUMMYFUNCTION("""COMPUTED_VALUE"""),3.44)</f>
        <v>3.44</v>
      </c>
      <c r="D402" s="1">
        <f>IFERROR(__xludf.DUMMYFUNCTION("""COMPUTED_VALUE"""),3.32)</f>
        <v>3.32</v>
      </c>
      <c r="E402" s="1">
        <f>IFERROR(__xludf.DUMMYFUNCTION("""COMPUTED_VALUE"""),3.33)</f>
        <v>3.33</v>
      </c>
      <c r="F402" s="1">
        <f>IFERROR(__xludf.DUMMYFUNCTION("""COMPUTED_VALUE"""),883092.0)</f>
        <v>883092</v>
      </c>
    </row>
    <row r="403">
      <c r="A403" s="2">
        <f>IFERROR(__xludf.DUMMYFUNCTION("""COMPUTED_VALUE"""),41978.66666666667)</f>
        <v>41978.66667</v>
      </c>
      <c r="B403" s="1">
        <f>IFERROR(__xludf.DUMMYFUNCTION("""COMPUTED_VALUE"""),3.3)</f>
        <v>3.3</v>
      </c>
      <c r="C403" s="1">
        <f>IFERROR(__xludf.DUMMYFUNCTION("""COMPUTED_VALUE"""),3.39)</f>
        <v>3.39</v>
      </c>
      <c r="D403" s="1">
        <f>IFERROR(__xludf.DUMMYFUNCTION("""COMPUTED_VALUE"""),3.16)</f>
        <v>3.16</v>
      </c>
      <c r="E403" s="1">
        <f>IFERROR(__xludf.DUMMYFUNCTION("""COMPUTED_VALUE"""),3.33)</f>
        <v>3.33</v>
      </c>
      <c r="F403" s="1">
        <f>IFERROR(__xludf.DUMMYFUNCTION("""COMPUTED_VALUE"""),1443564.0)</f>
        <v>1443564</v>
      </c>
    </row>
    <row r="404">
      <c r="A404" s="2">
        <f>IFERROR(__xludf.DUMMYFUNCTION("""COMPUTED_VALUE"""),41985.66666666667)</f>
        <v>41985.66667</v>
      </c>
      <c r="B404" s="1">
        <f>IFERROR(__xludf.DUMMYFUNCTION("""COMPUTED_VALUE"""),3.3)</f>
        <v>3.3</v>
      </c>
      <c r="C404" s="1">
        <f>IFERROR(__xludf.DUMMYFUNCTION("""COMPUTED_VALUE"""),3.32)</f>
        <v>3.32</v>
      </c>
      <c r="D404" s="1">
        <f>IFERROR(__xludf.DUMMYFUNCTION("""COMPUTED_VALUE"""),3.03)</f>
        <v>3.03</v>
      </c>
      <c r="E404" s="1">
        <f>IFERROR(__xludf.DUMMYFUNCTION("""COMPUTED_VALUE"""),3.14)</f>
        <v>3.14</v>
      </c>
      <c r="F404" s="1">
        <f>IFERROR(__xludf.DUMMYFUNCTION("""COMPUTED_VALUE"""),1795578.0)</f>
        <v>1795578</v>
      </c>
    </row>
    <row r="405">
      <c r="A405" s="2">
        <f>IFERROR(__xludf.DUMMYFUNCTION("""COMPUTED_VALUE"""),41992.66666666667)</f>
        <v>41992.66667</v>
      </c>
      <c r="B405" s="1">
        <f>IFERROR(__xludf.DUMMYFUNCTION("""COMPUTED_VALUE"""),3.2)</f>
        <v>3.2</v>
      </c>
      <c r="C405" s="1">
        <f>IFERROR(__xludf.DUMMYFUNCTION("""COMPUTED_VALUE"""),3.53)</f>
        <v>3.53</v>
      </c>
      <c r="D405" s="1">
        <f>IFERROR(__xludf.DUMMYFUNCTION("""COMPUTED_VALUE"""),3.08)</f>
        <v>3.08</v>
      </c>
      <c r="E405" s="1">
        <f>IFERROR(__xludf.DUMMYFUNCTION("""COMPUTED_VALUE"""),3.49)</f>
        <v>3.49</v>
      </c>
      <c r="F405" s="1">
        <f>IFERROR(__xludf.DUMMYFUNCTION("""COMPUTED_VALUE"""),2692341.0)</f>
        <v>2692341</v>
      </c>
    </row>
    <row r="406">
      <c r="A406" s="2">
        <f>IFERROR(__xludf.DUMMYFUNCTION("""COMPUTED_VALUE"""),41999.66666666667)</f>
        <v>41999.66667</v>
      </c>
      <c r="B406" s="1">
        <f>IFERROR(__xludf.DUMMYFUNCTION("""COMPUTED_VALUE"""),3.53)</f>
        <v>3.53</v>
      </c>
      <c r="C406" s="1">
        <f>IFERROR(__xludf.DUMMYFUNCTION("""COMPUTED_VALUE"""),3.7)</f>
        <v>3.7</v>
      </c>
      <c r="D406" s="1">
        <f>IFERROR(__xludf.DUMMYFUNCTION("""COMPUTED_VALUE"""),3.52)</f>
        <v>3.52</v>
      </c>
      <c r="E406" s="1">
        <f>IFERROR(__xludf.DUMMYFUNCTION("""COMPUTED_VALUE"""),3.64)</f>
        <v>3.64</v>
      </c>
      <c r="F406" s="1">
        <f>IFERROR(__xludf.DUMMYFUNCTION("""COMPUTED_VALUE"""),1103438.0)</f>
        <v>1103438</v>
      </c>
    </row>
    <row r="407">
      <c r="A407" s="2">
        <f>IFERROR(__xludf.DUMMYFUNCTION("""COMPUTED_VALUE"""),42006.66666666667)</f>
        <v>42006.66667</v>
      </c>
      <c r="B407" s="1">
        <f>IFERROR(__xludf.DUMMYFUNCTION("""COMPUTED_VALUE"""),3.64)</f>
        <v>3.64</v>
      </c>
      <c r="C407" s="1">
        <f>IFERROR(__xludf.DUMMYFUNCTION("""COMPUTED_VALUE"""),3.66)</f>
        <v>3.66</v>
      </c>
      <c r="D407" s="1">
        <f>IFERROR(__xludf.DUMMYFUNCTION("""COMPUTED_VALUE"""),3.41)</f>
        <v>3.41</v>
      </c>
      <c r="E407" s="1">
        <f>IFERROR(__xludf.DUMMYFUNCTION("""COMPUTED_VALUE"""),3.47)</f>
        <v>3.47</v>
      </c>
      <c r="F407" s="1">
        <f>IFERROR(__xludf.DUMMYFUNCTION("""COMPUTED_VALUE"""),865643.0)</f>
        <v>865643</v>
      </c>
    </row>
    <row r="408">
      <c r="A408" s="2">
        <f>IFERROR(__xludf.DUMMYFUNCTION("""COMPUTED_VALUE"""),42013.66666666667)</f>
        <v>42013.66667</v>
      </c>
      <c r="B408" s="1">
        <f>IFERROR(__xludf.DUMMYFUNCTION("""COMPUTED_VALUE"""),3.43)</f>
        <v>3.43</v>
      </c>
      <c r="C408" s="1">
        <f>IFERROR(__xludf.DUMMYFUNCTION("""COMPUTED_VALUE"""),3.51)</f>
        <v>3.51</v>
      </c>
      <c r="D408" s="1">
        <f>IFERROR(__xludf.DUMMYFUNCTION("""COMPUTED_VALUE"""),3.22)</f>
        <v>3.22</v>
      </c>
      <c r="E408" s="1">
        <f>IFERROR(__xludf.DUMMYFUNCTION("""COMPUTED_VALUE"""),3.45)</f>
        <v>3.45</v>
      </c>
      <c r="F408" s="1">
        <f>IFERROR(__xludf.DUMMYFUNCTION("""COMPUTED_VALUE"""),1652266.0)</f>
        <v>1652266</v>
      </c>
    </row>
    <row r="409">
      <c r="A409" s="2">
        <f>IFERROR(__xludf.DUMMYFUNCTION("""COMPUTED_VALUE"""),42020.66666666667)</f>
        <v>42020.66667</v>
      </c>
      <c r="B409" s="1">
        <f>IFERROR(__xludf.DUMMYFUNCTION("""COMPUTED_VALUE"""),3.48)</f>
        <v>3.48</v>
      </c>
      <c r="C409" s="1">
        <f>IFERROR(__xludf.DUMMYFUNCTION("""COMPUTED_VALUE"""),3.52)</f>
        <v>3.52</v>
      </c>
      <c r="D409" s="1">
        <f>IFERROR(__xludf.DUMMYFUNCTION("""COMPUTED_VALUE"""),3.29)</f>
        <v>3.29</v>
      </c>
      <c r="E409" s="1">
        <f>IFERROR(__xludf.DUMMYFUNCTION("""COMPUTED_VALUE"""),3.51)</f>
        <v>3.51</v>
      </c>
      <c r="F409" s="1">
        <f>IFERROR(__xludf.DUMMYFUNCTION("""COMPUTED_VALUE"""),1947384.0)</f>
        <v>1947384</v>
      </c>
    </row>
    <row r="410">
      <c r="A410" s="2">
        <f>IFERROR(__xludf.DUMMYFUNCTION("""COMPUTED_VALUE"""),42027.66666666667)</f>
        <v>42027.66667</v>
      </c>
      <c r="B410" s="1">
        <f>IFERROR(__xludf.DUMMYFUNCTION("""COMPUTED_VALUE"""),3.53)</f>
        <v>3.53</v>
      </c>
      <c r="C410" s="1">
        <f>IFERROR(__xludf.DUMMYFUNCTION("""COMPUTED_VALUE"""),3.98)</f>
        <v>3.98</v>
      </c>
      <c r="D410" s="1">
        <f>IFERROR(__xludf.DUMMYFUNCTION("""COMPUTED_VALUE"""),3.39)</f>
        <v>3.39</v>
      </c>
      <c r="E410" s="1">
        <f>IFERROR(__xludf.DUMMYFUNCTION("""COMPUTED_VALUE"""),3.64)</f>
        <v>3.64</v>
      </c>
      <c r="F410" s="1">
        <f>IFERROR(__xludf.DUMMYFUNCTION("""COMPUTED_VALUE"""),5442582.0)</f>
        <v>5442582</v>
      </c>
    </row>
    <row r="411">
      <c r="A411" s="2">
        <f>IFERROR(__xludf.DUMMYFUNCTION("""COMPUTED_VALUE"""),42034.66666666667)</f>
        <v>42034.66667</v>
      </c>
      <c r="B411" s="1">
        <f>IFERROR(__xludf.DUMMYFUNCTION("""COMPUTED_VALUE"""),3.6)</f>
        <v>3.6</v>
      </c>
      <c r="C411" s="1">
        <f>IFERROR(__xludf.DUMMYFUNCTION("""COMPUTED_VALUE"""),3.84)</f>
        <v>3.84</v>
      </c>
      <c r="D411" s="1">
        <f>IFERROR(__xludf.DUMMYFUNCTION("""COMPUTED_VALUE"""),3.54)</f>
        <v>3.54</v>
      </c>
      <c r="E411" s="1">
        <f>IFERROR(__xludf.DUMMYFUNCTION("""COMPUTED_VALUE"""),3.66)</f>
        <v>3.66</v>
      </c>
      <c r="F411" s="1">
        <f>IFERROR(__xludf.DUMMYFUNCTION("""COMPUTED_VALUE"""),2820944.0)</f>
        <v>2820944</v>
      </c>
    </row>
    <row r="412">
      <c r="A412" s="2">
        <f>IFERROR(__xludf.DUMMYFUNCTION("""COMPUTED_VALUE"""),42041.66666666667)</f>
        <v>42041.66667</v>
      </c>
      <c r="B412" s="1">
        <f>IFERROR(__xludf.DUMMYFUNCTION("""COMPUTED_VALUE"""),3.68)</f>
        <v>3.68</v>
      </c>
      <c r="C412" s="1">
        <f>IFERROR(__xludf.DUMMYFUNCTION("""COMPUTED_VALUE"""),3.74)</f>
        <v>3.74</v>
      </c>
      <c r="D412" s="1">
        <f>IFERROR(__xludf.DUMMYFUNCTION("""COMPUTED_VALUE"""),3.53)</f>
        <v>3.53</v>
      </c>
      <c r="E412" s="1">
        <f>IFERROR(__xludf.DUMMYFUNCTION("""COMPUTED_VALUE"""),3.71)</f>
        <v>3.71</v>
      </c>
      <c r="F412" s="1">
        <f>IFERROR(__xludf.DUMMYFUNCTION("""COMPUTED_VALUE"""),2347020.0)</f>
        <v>2347020</v>
      </c>
    </row>
    <row r="413">
      <c r="A413" s="2">
        <f>IFERROR(__xludf.DUMMYFUNCTION("""COMPUTED_VALUE"""),42048.66666666667)</f>
        <v>42048.66667</v>
      </c>
      <c r="B413" s="1">
        <f>IFERROR(__xludf.DUMMYFUNCTION("""COMPUTED_VALUE"""),3.68)</f>
        <v>3.68</v>
      </c>
      <c r="C413" s="1">
        <f>IFERROR(__xludf.DUMMYFUNCTION("""COMPUTED_VALUE"""),4.04)</f>
        <v>4.04</v>
      </c>
      <c r="D413" s="1">
        <f>IFERROR(__xludf.DUMMYFUNCTION("""COMPUTED_VALUE"""),3.65)</f>
        <v>3.65</v>
      </c>
      <c r="E413" s="1">
        <f>IFERROR(__xludf.DUMMYFUNCTION("""COMPUTED_VALUE"""),3.97)</f>
        <v>3.97</v>
      </c>
      <c r="F413" s="1">
        <f>IFERROR(__xludf.DUMMYFUNCTION("""COMPUTED_VALUE"""),3088816.0)</f>
        <v>3088816</v>
      </c>
    </row>
    <row r="414">
      <c r="A414" s="2">
        <f>IFERROR(__xludf.DUMMYFUNCTION("""COMPUTED_VALUE"""),42055.66666666667)</f>
        <v>42055.66667</v>
      </c>
      <c r="B414" s="1">
        <f>IFERROR(__xludf.DUMMYFUNCTION("""COMPUTED_VALUE"""),3.97)</f>
        <v>3.97</v>
      </c>
      <c r="C414" s="1">
        <f>IFERROR(__xludf.DUMMYFUNCTION("""COMPUTED_VALUE"""),4.01)</f>
        <v>4.01</v>
      </c>
      <c r="D414" s="1">
        <f>IFERROR(__xludf.DUMMYFUNCTION("""COMPUTED_VALUE"""),3.85)</f>
        <v>3.85</v>
      </c>
      <c r="E414" s="1">
        <f>IFERROR(__xludf.DUMMYFUNCTION("""COMPUTED_VALUE"""),3.92)</f>
        <v>3.92</v>
      </c>
      <c r="F414" s="1">
        <f>IFERROR(__xludf.DUMMYFUNCTION("""COMPUTED_VALUE"""),1180658.0)</f>
        <v>1180658</v>
      </c>
    </row>
    <row r="415">
      <c r="A415" s="2">
        <f>IFERROR(__xludf.DUMMYFUNCTION("""COMPUTED_VALUE"""),42062.66666666667)</f>
        <v>42062.66667</v>
      </c>
      <c r="B415" s="1">
        <f>IFERROR(__xludf.DUMMYFUNCTION("""COMPUTED_VALUE"""),3.93)</f>
        <v>3.93</v>
      </c>
      <c r="C415" s="1">
        <f>IFERROR(__xludf.DUMMYFUNCTION("""COMPUTED_VALUE"""),4.2)</f>
        <v>4.2</v>
      </c>
      <c r="D415" s="1">
        <f>IFERROR(__xludf.DUMMYFUNCTION("""COMPUTED_VALUE"""),3.79)</f>
        <v>3.79</v>
      </c>
      <c r="E415" s="1">
        <f>IFERROR(__xludf.DUMMYFUNCTION("""COMPUTED_VALUE"""),4.02)</f>
        <v>4.02</v>
      </c>
      <c r="F415" s="1">
        <f>IFERROR(__xludf.DUMMYFUNCTION("""COMPUTED_VALUE"""),3639446.0)</f>
        <v>3639446</v>
      </c>
    </row>
    <row r="416">
      <c r="A416" s="2">
        <f>IFERROR(__xludf.DUMMYFUNCTION("""COMPUTED_VALUE"""),42069.66666666667)</f>
        <v>42069.66667</v>
      </c>
      <c r="B416" s="1">
        <f>IFERROR(__xludf.DUMMYFUNCTION("""COMPUTED_VALUE"""),4.02)</f>
        <v>4.02</v>
      </c>
      <c r="C416" s="1">
        <f>IFERROR(__xludf.DUMMYFUNCTION("""COMPUTED_VALUE"""),4.06)</f>
        <v>4.06</v>
      </c>
      <c r="D416" s="1">
        <f>IFERROR(__xludf.DUMMYFUNCTION("""COMPUTED_VALUE"""),3.81)</f>
        <v>3.81</v>
      </c>
      <c r="E416" s="1">
        <f>IFERROR(__xludf.DUMMYFUNCTION("""COMPUTED_VALUE"""),3.81)</f>
        <v>3.81</v>
      </c>
      <c r="F416" s="1">
        <f>IFERROR(__xludf.DUMMYFUNCTION("""COMPUTED_VALUE"""),1739834.0)</f>
        <v>1739834</v>
      </c>
    </row>
    <row r="417">
      <c r="A417" s="2">
        <f>IFERROR(__xludf.DUMMYFUNCTION("""COMPUTED_VALUE"""),42076.66666666667)</f>
        <v>42076.66667</v>
      </c>
      <c r="B417" s="1">
        <f>IFERROR(__xludf.DUMMYFUNCTION("""COMPUTED_VALUE"""),3.85)</f>
        <v>3.85</v>
      </c>
      <c r="C417" s="1">
        <f>IFERROR(__xludf.DUMMYFUNCTION("""COMPUTED_VALUE"""),3.85)</f>
        <v>3.85</v>
      </c>
      <c r="D417" s="1">
        <f>IFERROR(__xludf.DUMMYFUNCTION("""COMPUTED_VALUE"""),3.53)</f>
        <v>3.53</v>
      </c>
      <c r="E417" s="1">
        <f>IFERROR(__xludf.DUMMYFUNCTION("""COMPUTED_VALUE"""),3.61)</f>
        <v>3.61</v>
      </c>
      <c r="F417" s="1">
        <f>IFERROR(__xludf.DUMMYFUNCTION("""COMPUTED_VALUE"""),2972803.0)</f>
        <v>2972803</v>
      </c>
    </row>
    <row r="418">
      <c r="A418" s="2">
        <f>IFERROR(__xludf.DUMMYFUNCTION("""COMPUTED_VALUE"""),42083.66666666667)</f>
        <v>42083.66667</v>
      </c>
      <c r="B418" s="1">
        <f>IFERROR(__xludf.DUMMYFUNCTION("""COMPUTED_VALUE"""),3.61)</f>
        <v>3.61</v>
      </c>
      <c r="C418" s="1">
        <f>IFERROR(__xludf.DUMMYFUNCTION("""COMPUTED_VALUE"""),3.77)</f>
        <v>3.77</v>
      </c>
      <c r="D418" s="1">
        <f>IFERROR(__xludf.DUMMYFUNCTION("""COMPUTED_VALUE"""),3.5)</f>
        <v>3.5</v>
      </c>
      <c r="E418" s="1">
        <f>IFERROR(__xludf.DUMMYFUNCTION("""COMPUTED_VALUE"""),3.72)</f>
        <v>3.72</v>
      </c>
      <c r="F418" s="1">
        <f>IFERROR(__xludf.DUMMYFUNCTION("""COMPUTED_VALUE"""),2810007.0)</f>
        <v>2810007</v>
      </c>
    </row>
    <row r="419">
      <c r="A419" s="2">
        <f>IFERROR(__xludf.DUMMYFUNCTION("""COMPUTED_VALUE"""),42090.66666666667)</f>
        <v>42090.66667</v>
      </c>
      <c r="B419" s="1">
        <f>IFERROR(__xludf.DUMMYFUNCTION("""COMPUTED_VALUE"""),3.75)</f>
        <v>3.75</v>
      </c>
      <c r="C419" s="1">
        <f>IFERROR(__xludf.DUMMYFUNCTION("""COMPUTED_VALUE"""),3.75)</f>
        <v>3.75</v>
      </c>
      <c r="D419" s="1">
        <f>IFERROR(__xludf.DUMMYFUNCTION("""COMPUTED_VALUE"""),3.21)</f>
        <v>3.21</v>
      </c>
      <c r="E419" s="1">
        <f>IFERROR(__xludf.DUMMYFUNCTION("""COMPUTED_VALUE"""),3.39)</f>
        <v>3.39</v>
      </c>
      <c r="F419" s="1">
        <f>IFERROR(__xludf.DUMMYFUNCTION("""COMPUTED_VALUE"""),3266083.0)</f>
        <v>3266083</v>
      </c>
    </row>
    <row r="420">
      <c r="A420" s="2">
        <f>IFERROR(__xludf.DUMMYFUNCTION("""COMPUTED_VALUE"""),42096.66666666667)</f>
        <v>42096.66667</v>
      </c>
      <c r="B420" s="1">
        <f>IFERROR(__xludf.DUMMYFUNCTION("""COMPUTED_VALUE"""),3.39)</f>
        <v>3.39</v>
      </c>
      <c r="C420" s="1">
        <f>IFERROR(__xludf.DUMMYFUNCTION("""COMPUTED_VALUE"""),3.46)</f>
        <v>3.46</v>
      </c>
      <c r="D420" s="1">
        <f>IFERROR(__xludf.DUMMYFUNCTION("""COMPUTED_VALUE"""),3.27)</f>
        <v>3.27</v>
      </c>
      <c r="E420" s="1">
        <f>IFERROR(__xludf.DUMMYFUNCTION("""COMPUTED_VALUE"""),3.41)</f>
        <v>3.41</v>
      </c>
      <c r="F420" s="1">
        <f>IFERROR(__xludf.DUMMYFUNCTION("""COMPUTED_VALUE"""),1548593.0)</f>
        <v>1548593</v>
      </c>
    </row>
    <row r="421">
      <c r="A421" s="2">
        <f>IFERROR(__xludf.DUMMYFUNCTION("""COMPUTED_VALUE"""),42104.66666666667)</f>
        <v>42104.66667</v>
      </c>
      <c r="B421" s="1">
        <f>IFERROR(__xludf.DUMMYFUNCTION("""COMPUTED_VALUE"""),3.38)</f>
        <v>3.38</v>
      </c>
      <c r="C421" s="1">
        <f>IFERROR(__xludf.DUMMYFUNCTION("""COMPUTED_VALUE"""),3.54)</f>
        <v>3.54</v>
      </c>
      <c r="D421" s="1">
        <f>IFERROR(__xludf.DUMMYFUNCTION("""COMPUTED_VALUE"""),3.34)</f>
        <v>3.34</v>
      </c>
      <c r="E421" s="1">
        <f>IFERROR(__xludf.DUMMYFUNCTION("""COMPUTED_VALUE"""),3.51)</f>
        <v>3.51</v>
      </c>
      <c r="F421" s="1">
        <f>IFERROR(__xludf.DUMMYFUNCTION("""COMPUTED_VALUE"""),1404230.0)</f>
        <v>1404230</v>
      </c>
    </row>
    <row r="422">
      <c r="A422" s="2">
        <f>IFERROR(__xludf.DUMMYFUNCTION("""COMPUTED_VALUE"""),42111.66666666667)</f>
        <v>42111.66667</v>
      </c>
      <c r="B422" s="1">
        <f>IFERROR(__xludf.DUMMYFUNCTION("""COMPUTED_VALUE"""),3.53)</f>
        <v>3.53</v>
      </c>
      <c r="C422" s="1">
        <f>IFERROR(__xludf.DUMMYFUNCTION("""COMPUTED_VALUE"""),3.8)</f>
        <v>3.8</v>
      </c>
      <c r="D422" s="1">
        <f>IFERROR(__xludf.DUMMYFUNCTION("""COMPUTED_VALUE"""),3.51)</f>
        <v>3.51</v>
      </c>
      <c r="E422" s="1">
        <f>IFERROR(__xludf.DUMMYFUNCTION("""COMPUTED_VALUE"""),3.68)</f>
        <v>3.68</v>
      </c>
      <c r="F422" s="1">
        <f>IFERROR(__xludf.DUMMYFUNCTION("""COMPUTED_VALUE"""),2315864.0)</f>
        <v>2315864</v>
      </c>
    </row>
    <row r="423">
      <c r="A423" s="2">
        <f>IFERROR(__xludf.DUMMYFUNCTION("""COMPUTED_VALUE"""),42118.66666666667)</f>
        <v>42118.66667</v>
      </c>
      <c r="B423" s="1">
        <f>IFERROR(__xludf.DUMMYFUNCTION("""COMPUTED_VALUE"""),3.69)</f>
        <v>3.69</v>
      </c>
      <c r="C423" s="1">
        <f>IFERROR(__xludf.DUMMYFUNCTION("""COMPUTED_VALUE"""),3.79)</f>
        <v>3.79</v>
      </c>
      <c r="D423" s="1">
        <f>IFERROR(__xludf.DUMMYFUNCTION("""COMPUTED_VALUE"""),3.02)</f>
        <v>3.02</v>
      </c>
      <c r="E423" s="1">
        <f>IFERROR(__xludf.DUMMYFUNCTION("""COMPUTED_VALUE"""),3.04)</f>
        <v>3.04</v>
      </c>
      <c r="F423" s="1">
        <f>IFERROR(__xludf.DUMMYFUNCTION("""COMPUTED_VALUE"""),7987280.0)</f>
        <v>7987280</v>
      </c>
    </row>
    <row r="424">
      <c r="A424" s="2">
        <f>IFERROR(__xludf.DUMMYFUNCTION("""COMPUTED_VALUE"""),42125.66666666667)</f>
        <v>42125.66667</v>
      </c>
      <c r="B424" s="1">
        <f>IFERROR(__xludf.DUMMYFUNCTION("""COMPUTED_VALUE"""),3.04)</f>
        <v>3.04</v>
      </c>
      <c r="C424" s="1">
        <f>IFERROR(__xludf.DUMMYFUNCTION("""COMPUTED_VALUE"""),3.14)</f>
        <v>3.14</v>
      </c>
      <c r="D424" s="1">
        <f>IFERROR(__xludf.DUMMYFUNCTION("""COMPUTED_VALUE"""),2.83)</f>
        <v>2.83</v>
      </c>
      <c r="E424" s="1">
        <f>IFERROR(__xludf.DUMMYFUNCTION("""COMPUTED_VALUE"""),2.93)</f>
        <v>2.93</v>
      </c>
      <c r="F424" s="1">
        <f>IFERROR(__xludf.DUMMYFUNCTION("""COMPUTED_VALUE"""),4226417.0)</f>
        <v>4226417</v>
      </c>
    </row>
    <row r="425">
      <c r="A425" s="2">
        <f>IFERROR(__xludf.DUMMYFUNCTION("""COMPUTED_VALUE"""),42132.66666666667)</f>
        <v>42132.66667</v>
      </c>
      <c r="B425" s="1">
        <f>IFERROR(__xludf.DUMMYFUNCTION("""COMPUTED_VALUE"""),2.93)</f>
        <v>2.93</v>
      </c>
      <c r="C425" s="1">
        <f>IFERROR(__xludf.DUMMYFUNCTION("""COMPUTED_VALUE"""),3.15)</f>
        <v>3.15</v>
      </c>
      <c r="D425" s="1">
        <f>IFERROR(__xludf.DUMMYFUNCTION("""COMPUTED_VALUE"""),2.89)</f>
        <v>2.89</v>
      </c>
      <c r="E425" s="1">
        <f>IFERROR(__xludf.DUMMYFUNCTION("""COMPUTED_VALUE"""),3.09)</f>
        <v>3.09</v>
      </c>
      <c r="F425" s="1">
        <f>IFERROR(__xludf.DUMMYFUNCTION("""COMPUTED_VALUE"""),3112633.0)</f>
        <v>3112633</v>
      </c>
    </row>
    <row r="426">
      <c r="A426" s="2">
        <f>IFERROR(__xludf.DUMMYFUNCTION("""COMPUTED_VALUE"""),42139.66666666667)</f>
        <v>42139.66667</v>
      </c>
      <c r="B426" s="1">
        <f>IFERROR(__xludf.DUMMYFUNCTION("""COMPUTED_VALUE"""),3.09)</f>
        <v>3.09</v>
      </c>
      <c r="C426" s="1">
        <f>IFERROR(__xludf.DUMMYFUNCTION("""COMPUTED_VALUE"""),3.33)</f>
        <v>3.33</v>
      </c>
      <c r="D426" s="1">
        <f>IFERROR(__xludf.DUMMYFUNCTION("""COMPUTED_VALUE"""),3.06)</f>
        <v>3.06</v>
      </c>
      <c r="E426" s="1">
        <f>IFERROR(__xludf.DUMMYFUNCTION("""COMPUTED_VALUE"""),3.31)</f>
        <v>3.31</v>
      </c>
      <c r="F426" s="1">
        <f>IFERROR(__xludf.DUMMYFUNCTION("""COMPUTED_VALUE"""),3247925.0)</f>
        <v>3247925</v>
      </c>
    </row>
    <row r="427">
      <c r="A427" s="2">
        <f>IFERROR(__xludf.DUMMYFUNCTION("""COMPUTED_VALUE"""),42146.66666666667)</f>
        <v>42146.66667</v>
      </c>
      <c r="B427" s="1">
        <f>IFERROR(__xludf.DUMMYFUNCTION("""COMPUTED_VALUE"""),3.3)</f>
        <v>3.3</v>
      </c>
      <c r="C427" s="1">
        <f>IFERROR(__xludf.DUMMYFUNCTION("""COMPUTED_VALUE"""),3.38)</f>
        <v>3.38</v>
      </c>
      <c r="D427" s="1">
        <f>IFERROR(__xludf.DUMMYFUNCTION("""COMPUTED_VALUE"""),3.24)</f>
        <v>3.24</v>
      </c>
      <c r="E427" s="1">
        <f>IFERROR(__xludf.DUMMYFUNCTION("""COMPUTED_VALUE"""),3.36)</f>
        <v>3.36</v>
      </c>
      <c r="F427" s="1">
        <f>IFERROR(__xludf.DUMMYFUNCTION("""COMPUTED_VALUE"""),3323167.0)</f>
        <v>3323167</v>
      </c>
    </row>
    <row r="428">
      <c r="A428" s="2">
        <f>IFERROR(__xludf.DUMMYFUNCTION("""COMPUTED_VALUE"""),42153.66666666667)</f>
        <v>42153.66667</v>
      </c>
      <c r="B428" s="1">
        <f>IFERROR(__xludf.DUMMYFUNCTION("""COMPUTED_VALUE"""),3.33)</f>
        <v>3.33</v>
      </c>
      <c r="C428" s="1">
        <f>IFERROR(__xludf.DUMMYFUNCTION("""COMPUTED_VALUE"""),3.45)</f>
        <v>3.45</v>
      </c>
      <c r="D428" s="1">
        <f>IFERROR(__xludf.DUMMYFUNCTION("""COMPUTED_VALUE"""),3.31)</f>
        <v>3.31</v>
      </c>
      <c r="E428" s="1">
        <f>IFERROR(__xludf.DUMMYFUNCTION("""COMPUTED_VALUE"""),3.35)</f>
        <v>3.35</v>
      </c>
      <c r="F428" s="1">
        <f>IFERROR(__xludf.DUMMYFUNCTION("""COMPUTED_VALUE"""),2478280.0)</f>
        <v>2478280</v>
      </c>
    </row>
    <row r="429">
      <c r="A429" s="2">
        <f>IFERROR(__xludf.DUMMYFUNCTION("""COMPUTED_VALUE"""),42160.66666666667)</f>
        <v>42160.66667</v>
      </c>
      <c r="B429" s="1">
        <f>IFERROR(__xludf.DUMMYFUNCTION("""COMPUTED_VALUE"""),3.48)</f>
        <v>3.48</v>
      </c>
      <c r="C429" s="1">
        <f>IFERROR(__xludf.DUMMYFUNCTION("""COMPUTED_VALUE"""),3.55)</f>
        <v>3.55</v>
      </c>
      <c r="D429" s="1">
        <f>IFERROR(__xludf.DUMMYFUNCTION("""COMPUTED_VALUE"""),3.31)</f>
        <v>3.31</v>
      </c>
      <c r="E429" s="1">
        <f>IFERROR(__xludf.DUMMYFUNCTION("""COMPUTED_VALUE"""),3.37)</f>
        <v>3.37</v>
      </c>
      <c r="F429" s="1">
        <f>IFERROR(__xludf.DUMMYFUNCTION("""COMPUTED_VALUE"""),3258148.0)</f>
        <v>3258148</v>
      </c>
    </row>
    <row r="430">
      <c r="A430" s="2">
        <f>IFERROR(__xludf.DUMMYFUNCTION("""COMPUTED_VALUE"""),42167.66666666667)</f>
        <v>42167.66667</v>
      </c>
      <c r="B430" s="1">
        <f>IFERROR(__xludf.DUMMYFUNCTION("""COMPUTED_VALUE"""),3.37)</f>
        <v>3.37</v>
      </c>
      <c r="C430" s="1">
        <f>IFERROR(__xludf.DUMMYFUNCTION("""COMPUTED_VALUE"""),3.53)</f>
        <v>3.53</v>
      </c>
      <c r="D430" s="1">
        <f>IFERROR(__xludf.DUMMYFUNCTION("""COMPUTED_VALUE"""),3.31)</f>
        <v>3.31</v>
      </c>
      <c r="E430" s="1">
        <f>IFERROR(__xludf.DUMMYFUNCTION("""COMPUTED_VALUE"""),3.39)</f>
        <v>3.39</v>
      </c>
      <c r="F430" s="1">
        <f>IFERROR(__xludf.DUMMYFUNCTION("""COMPUTED_VALUE"""),2545679.0)</f>
        <v>2545679</v>
      </c>
    </row>
    <row r="431">
      <c r="A431" s="2">
        <f>IFERROR(__xludf.DUMMYFUNCTION("""COMPUTED_VALUE"""),42174.66666666667)</f>
        <v>42174.66667</v>
      </c>
      <c r="B431" s="1">
        <f>IFERROR(__xludf.DUMMYFUNCTION("""COMPUTED_VALUE"""),3.43)</f>
        <v>3.43</v>
      </c>
      <c r="C431" s="1">
        <f>IFERROR(__xludf.DUMMYFUNCTION("""COMPUTED_VALUE"""),3.45)</f>
        <v>3.45</v>
      </c>
      <c r="D431" s="1">
        <f>IFERROR(__xludf.DUMMYFUNCTION("""COMPUTED_VALUE"""),3.2)</f>
        <v>3.2</v>
      </c>
      <c r="E431" s="1">
        <f>IFERROR(__xludf.DUMMYFUNCTION("""COMPUTED_VALUE"""),3.32)</f>
        <v>3.32</v>
      </c>
      <c r="F431" s="1">
        <f>IFERROR(__xludf.DUMMYFUNCTION("""COMPUTED_VALUE"""),3515327.0)</f>
        <v>3515327</v>
      </c>
    </row>
    <row r="432">
      <c r="A432" s="2">
        <f>IFERROR(__xludf.DUMMYFUNCTION("""COMPUTED_VALUE"""),42181.66666666667)</f>
        <v>42181.66667</v>
      </c>
      <c r="B432" s="1">
        <f>IFERROR(__xludf.DUMMYFUNCTION("""COMPUTED_VALUE"""),3.34)</f>
        <v>3.34</v>
      </c>
      <c r="C432" s="1">
        <f>IFERROR(__xludf.DUMMYFUNCTION("""COMPUTED_VALUE"""),3.34)</f>
        <v>3.34</v>
      </c>
      <c r="D432" s="1">
        <f>IFERROR(__xludf.DUMMYFUNCTION("""COMPUTED_VALUE"""),3.03)</f>
        <v>3.03</v>
      </c>
      <c r="E432" s="1">
        <f>IFERROR(__xludf.DUMMYFUNCTION("""COMPUTED_VALUE"""),3.04)</f>
        <v>3.04</v>
      </c>
      <c r="F432" s="1">
        <f>IFERROR(__xludf.DUMMYFUNCTION("""COMPUTED_VALUE"""),2271275.0)</f>
        <v>2271275</v>
      </c>
    </row>
    <row r="433">
      <c r="A433" s="2">
        <f>IFERROR(__xludf.DUMMYFUNCTION("""COMPUTED_VALUE"""),42187.66666666667)</f>
        <v>42187.66667</v>
      </c>
      <c r="B433" s="1">
        <f>IFERROR(__xludf.DUMMYFUNCTION("""COMPUTED_VALUE"""),3.0)</f>
        <v>3</v>
      </c>
      <c r="C433" s="1">
        <f>IFERROR(__xludf.DUMMYFUNCTION("""COMPUTED_VALUE"""),3.05)</f>
        <v>3.05</v>
      </c>
      <c r="D433" s="1">
        <f>IFERROR(__xludf.DUMMYFUNCTION("""COMPUTED_VALUE"""),2.9)</f>
        <v>2.9</v>
      </c>
      <c r="E433" s="1">
        <f>IFERROR(__xludf.DUMMYFUNCTION("""COMPUTED_VALUE"""),2.9)</f>
        <v>2.9</v>
      </c>
      <c r="F433" s="1">
        <f>IFERROR(__xludf.DUMMYFUNCTION("""COMPUTED_VALUE"""),2281736.0)</f>
        <v>2281736</v>
      </c>
    </row>
    <row r="434">
      <c r="A434" s="2">
        <f>IFERROR(__xludf.DUMMYFUNCTION("""COMPUTED_VALUE"""),42195.66666666667)</f>
        <v>42195.66667</v>
      </c>
      <c r="B434" s="1">
        <f>IFERROR(__xludf.DUMMYFUNCTION("""COMPUTED_VALUE"""),2.85)</f>
        <v>2.85</v>
      </c>
      <c r="C434" s="1">
        <f>IFERROR(__xludf.DUMMYFUNCTION("""COMPUTED_VALUE"""),2.9)</f>
        <v>2.9</v>
      </c>
      <c r="D434" s="1">
        <f>IFERROR(__xludf.DUMMYFUNCTION("""COMPUTED_VALUE"""),2.52)</f>
        <v>2.52</v>
      </c>
      <c r="E434" s="1">
        <f>IFERROR(__xludf.DUMMYFUNCTION("""COMPUTED_VALUE"""),2.59)</f>
        <v>2.59</v>
      </c>
      <c r="F434" s="1">
        <f>IFERROR(__xludf.DUMMYFUNCTION("""COMPUTED_VALUE"""),4681842.0)</f>
        <v>4681842</v>
      </c>
    </row>
    <row r="435">
      <c r="A435" s="2">
        <f>IFERROR(__xludf.DUMMYFUNCTION("""COMPUTED_VALUE"""),42202.66666666667)</f>
        <v>42202.66667</v>
      </c>
      <c r="B435" s="1">
        <f>IFERROR(__xludf.DUMMYFUNCTION("""COMPUTED_VALUE"""),2.59)</f>
        <v>2.59</v>
      </c>
      <c r="C435" s="1">
        <f>IFERROR(__xludf.DUMMYFUNCTION("""COMPUTED_VALUE"""),2.63)</f>
        <v>2.63</v>
      </c>
      <c r="D435" s="1">
        <f>IFERROR(__xludf.DUMMYFUNCTION("""COMPUTED_VALUE"""),2.47)</f>
        <v>2.47</v>
      </c>
      <c r="E435" s="1">
        <f>IFERROR(__xludf.DUMMYFUNCTION("""COMPUTED_VALUE"""),2.51)</f>
        <v>2.51</v>
      </c>
      <c r="F435" s="1">
        <f>IFERROR(__xludf.DUMMYFUNCTION("""COMPUTED_VALUE"""),3573031.0)</f>
        <v>3573031</v>
      </c>
    </row>
    <row r="436">
      <c r="A436" s="2">
        <f>IFERROR(__xludf.DUMMYFUNCTION("""COMPUTED_VALUE"""),42209.66666666667)</f>
        <v>42209.66667</v>
      </c>
      <c r="B436" s="1">
        <f>IFERROR(__xludf.DUMMYFUNCTION("""COMPUTED_VALUE"""),2.53)</f>
        <v>2.53</v>
      </c>
      <c r="C436" s="1">
        <f>IFERROR(__xludf.DUMMYFUNCTION("""COMPUTED_VALUE"""),2.64)</f>
        <v>2.64</v>
      </c>
      <c r="D436" s="1">
        <f>IFERROR(__xludf.DUMMYFUNCTION("""COMPUTED_VALUE"""),2.47)</f>
        <v>2.47</v>
      </c>
      <c r="E436" s="1">
        <f>IFERROR(__xludf.DUMMYFUNCTION("""COMPUTED_VALUE"""),2.55)</f>
        <v>2.55</v>
      </c>
      <c r="F436" s="1">
        <f>IFERROR(__xludf.DUMMYFUNCTION("""COMPUTED_VALUE"""),2426569.0)</f>
        <v>2426569</v>
      </c>
    </row>
    <row r="437">
      <c r="A437" s="2">
        <f>IFERROR(__xludf.DUMMYFUNCTION("""COMPUTED_VALUE"""),42216.66666666667)</f>
        <v>42216.66667</v>
      </c>
      <c r="B437" s="1">
        <f>IFERROR(__xludf.DUMMYFUNCTION("""COMPUTED_VALUE"""),2.52)</f>
        <v>2.52</v>
      </c>
      <c r="C437" s="1">
        <f>IFERROR(__xludf.DUMMYFUNCTION("""COMPUTED_VALUE"""),2.7)</f>
        <v>2.7</v>
      </c>
      <c r="D437" s="1">
        <f>IFERROR(__xludf.DUMMYFUNCTION("""COMPUTED_VALUE"""),2.46)</f>
        <v>2.46</v>
      </c>
      <c r="E437" s="1">
        <f>IFERROR(__xludf.DUMMYFUNCTION("""COMPUTED_VALUE"""),2.67)</f>
        <v>2.67</v>
      </c>
      <c r="F437" s="1">
        <f>IFERROR(__xludf.DUMMYFUNCTION("""COMPUTED_VALUE"""),2016770.0)</f>
        <v>2016770</v>
      </c>
    </row>
    <row r="438">
      <c r="A438" s="2">
        <f>IFERROR(__xludf.DUMMYFUNCTION("""COMPUTED_VALUE"""),42223.66666666667)</f>
        <v>42223.66667</v>
      </c>
      <c r="B438" s="1">
        <f>IFERROR(__xludf.DUMMYFUNCTION("""COMPUTED_VALUE"""),2.65)</f>
        <v>2.65</v>
      </c>
      <c r="C438" s="1">
        <f>IFERROR(__xludf.DUMMYFUNCTION("""COMPUTED_VALUE"""),2.9)</f>
        <v>2.9</v>
      </c>
      <c r="D438" s="1">
        <f>IFERROR(__xludf.DUMMYFUNCTION("""COMPUTED_VALUE"""),2.57)</f>
        <v>2.57</v>
      </c>
      <c r="E438" s="1">
        <f>IFERROR(__xludf.DUMMYFUNCTION("""COMPUTED_VALUE"""),2.66)</f>
        <v>2.66</v>
      </c>
      <c r="F438" s="1">
        <f>IFERROR(__xludf.DUMMYFUNCTION("""COMPUTED_VALUE"""),5976759.0)</f>
        <v>5976759</v>
      </c>
    </row>
    <row r="439">
      <c r="A439" s="2">
        <f>IFERROR(__xludf.DUMMYFUNCTION("""COMPUTED_VALUE"""),42230.66666666667)</f>
        <v>42230.66667</v>
      </c>
      <c r="B439" s="1">
        <f>IFERROR(__xludf.DUMMYFUNCTION("""COMPUTED_VALUE"""),2.65)</f>
        <v>2.65</v>
      </c>
      <c r="C439" s="1">
        <f>IFERROR(__xludf.DUMMYFUNCTION("""COMPUTED_VALUE"""),2.77)</f>
        <v>2.77</v>
      </c>
      <c r="D439" s="1">
        <f>IFERROR(__xludf.DUMMYFUNCTION("""COMPUTED_VALUE"""),2.56)</f>
        <v>2.56</v>
      </c>
      <c r="E439" s="1">
        <f>IFERROR(__xludf.DUMMYFUNCTION("""COMPUTED_VALUE"""),2.76)</f>
        <v>2.76</v>
      </c>
      <c r="F439" s="1">
        <f>IFERROR(__xludf.DUMMYFUNCTION("""COMPUTED_VALUE"""),2328601.0)</f>
        <v>2328601</v>
      </c>
    </row>
    <row r="440">
      <c r="A440" s="2">
        <f>IFERROR(__xludf.DUMMYFUNCTION("""COMPUTED_VALUE"""),42237.66666666667)</f>
        <v>42237.66667</v>
      </c>
      <c r="B440" s="1">
        <f>IFERROR(__xludf.DUMMYFUNCTION("""COMPUTED_VALUE"""),2.76)</f>
        <v>2.76</v>
      </c>
      <c r="C440" s="1">
        <f>IFERROR(__xludf.DUMMYFUNCTION("""COMPUTED_VALUE"""),2.77)</f>
        <v>2.77</v>
      </c>
      <c r="D440" s="1">
        <f>IFERROR(__xludf.DUMMYFUNCTION("""COMPUTED_VALUE"""),2.53)</f>
        <v>2.53</v>
      </c>
      <c r="E440" s="1">
        <f>IFERROR(__xludf.DUMMYFUNCTION("""COMPUTED_VALUE"""),2.54)</f>
        <v>2.54</v>
      </c>
      <c r="F440" s="1">
        <f>IFERROR(__xludf.DUMMYFUNCTION("""COMPUTED_VALUE"""),2204292.0)</f>
        <v>2204292</v>
      </c>
    </row>
    <row r="441">
      <c r="A441" s="2">
        <f>IFERROR(__xludf.DUMMYFUNCTION("""COMPUTED_VALUE"""),42244.66666666667)</f>
        <v>42244.66667</v>
      </c>
      <c r="B441" s="1">
        <f>IFERROR(__xludf.DUMMYFUNCTION("""COMPUTED_VALUE"""),2.45)</f>
        <v>2.45</v>
      </c>
      <c r="C441" s="1">
        <f>IFERROR(__xludf.DUMMYFUNCTION("""COMPUTED_VALUE"""),2.69)</f>
        <v>2.69</v>
      </c>
      <c r="D441" s="1">
        <f>IFERROR(__xludf.DUMMYFUNCTION("""COMPUTED_VALUE"""),2.34)</f>
        <v>2.34</v>
      </c>
      <c r="E441" s="1">
        <f>IFERROR(__xludf.DUMMYFUNCTION("""COMPUTED_VALUE"""),2.68)</f>
        <v>2.68</v>
      </c>
      <c r="F441" s="1">
        <f>IFERROR(__xludf.DUMMYFUNCTION("""COMPUTED_VALUE"""),2464037.0)</f>
        <v>2464037</v>
      </c>
    </row>
    <row r="442">
      <c r="A442" s="2">
        <f>IFERROR(__xludf.DUMMYFUNCTION("""COMPUTED_VALUE"""),42251.66666666667)</f>
        <v>42251.66667</v>
      </c>
      <c r="B442" s="1">
        <f>IFERROR(__xludf.DUMMYFUNCTION("""COMPUTED_VALUE"""),2.67)</f>
        <v>2.67</v>
      </c>
      <c r="C442" s="1">
        <f>IFERROR(__xludf.DUMMYFUNCTION("""COMPUTED_VALUE"""),2.75)</f>
        <v>2.75</v>
      </c>
      <c r="D442" s="1">
        <f>IFERROR(__xludf.DUMMYFUNCTION("""COMPUTED_VALUE"""),2.34)</f>
        <v>2.34</v>
      </c>
      <c r="E442" s="1">
        <f>IFERROR(__xludf.DUMMYFUNCTION("""COMPUTED_VALUE"""),2.42)</f>
        <v>2.42</v>
      </c>
      <c r="F442" s="1">
        <f>IFERROR(__xludf.DUMMYFUNCTION("""COMPUTED_VALUE"""),5924387.0)</f>
        <v>5924387</v>
      </c>
    </row>
    <row r="443">
      <c r="A443" s="2">
        <f>IFERROR(__xludf.DUMMYFUNCTION("""COMPUTED_VALUE"""),42258.66666666667)</f>
        <v>42258.66667</v>
      </c>
      <c r="B443" s="1">
        <f>IFERROR(__xludf.DUMMYFUNCTION("""COMPUTED_VALUE"""),2.49)</f>
        <v>2.49</v>
      </c>
      <c r="C443" s="1">
        <f>IFERROR(__xludf.DUMMYFUNCTION("""COMPUTED_VALUE"""),2.72)</f>
        <v>2.72</v>
      </c>
      <c r="D443" s="1">
        <f>IFERROR(__xludf.DUMMYFUNCTION("""COMPUTED_VALUE"""),2.44)</f>
        <v>2.44</v>
      </c>
      <c r="E443" s="1">
        <f>IFERROR(__xludf.DUMMYFUNCTION("""COMPUTED_VALUE"""),2.71)</f>
        <v>2.71</v>
      </c>
      <c r="F443" s="1">
        <f>IFERROR(__xludf.DUMMYFUNCTION("""COMPUTED_VALUE"""),2210976.0)</f>
        <v>2210976</v>
      </c>
    </row>
    <row r="444">
      <c r="A444" s="2">
        <f>IFERROR(__xludf.DUMMYFUNCTION("""COMPUTED_VALUE"""),42265.66666666667)</f>
        <v>42265.66667</v>
      </c>
      <c r="B444" s="1">
        <f>IFERROR(__xludf.DUMMYFUNCTION("""COMPUTED_VALUE"""),2.72)</f>
        <v>2.72</v>
      </c>
      <c r="C444" s="1">
        <f>IFERROR(__xludf.DUMMYFUNCTION("""COMPUTED_VALUE"""),2.99)</f>
        <v>2.99</v>
      </c>
      <c r="D444" s="1">
        <f>IFERROR(__xludf.DUMMYFUNCTION("""COMPUTED_VALUE"""),2.65)</f>
        <v>2.65</v>
      </c>
      <c r="E444" s="1">
        <f>IFERROR(__xludf.DUMMYFUNCTION("""COMPUTED_VALUE"""),2.89)</f>
        <v>2.89</v>
      </c>
      <c r="F444" s="1">
        <f>IFERROR(__xludf.DUMMYFUNCTION("""COMPUTED_VALUE"""),3471188.0)</f>
        <v>3471188</v>
      </c>
    </row>
    <row r="445">
      <c r="A445" s="2">
        <f>IFERROR(__xludf.DUMMYFUNCTION("""COMPUTED_VALUE"""),42272.66666666667)</f>
        <v>42272.66667</v>
      </c>
      <c r="B445" s="1">
        <f>IFERROR(__xludf.DUMMYFUNCTION("""COMPUTED_VALUE"""),2.89)</f>
        <v>2.89</v>
      </c>
      <c r="C445" s="1">
        <f>IFERROR(__xludf.DUMMYFUNCTION("""COMPUTED_VALUE"""),2.95)</f>
        <v>2.95</v>
      </c>
      <c r="D445" s="1">
        <f>IFERROR(__xludf.DUMMYFUNCTION("""COMPUTED_VALUE"""),2.71)</f>
        <v>2.71</v>
      </c>
      <c r="E445" s="1">
        <f>IFERROR(__xludf.DUMMYFUNCTION("""COMPUTED_VALUE"""),2.78)</f>
        <v>2.78</v>
      </c>
      <c r="F445" s="1">
        <f>IFERROR(__xludf.DUMMYFUNCTION("""COMPUTED_VALUE"""),3184104.0)</f>
        <v>3184104</v>
      </c>
    </row>
    <row r="446">
      <c r="A446" s="2">
        <f>IFERROR(__xludf.DUMMYFUNCTION("""COMPUTED_VALUE"""),42279.66666666667)</f>
        <v>42279.66667</v>
      </c>
      <c r="B446" s="1">
        <f>IFERROR(__xludf.DUMMYFUNCTION("""COMPUTED_VALUE"""),2.76)</f>
        <v>2.76</v>
      </c>
      <c r="C446" s="1">
        <f>IFERROR(__xludf.DUMMYFUNCTION("""COMPUTED_VALUE"""),2.79)</f>
        <v>2.79</v>
      </c>
      <c r="D446" s="1">
        <f>IFERROR(__xludf.DUMMYFUNCTION("""COMPUTED_VALUE"""),2.62)</f>
        <v>2.62</v>
      </c>
      <c r="E446" s="1">
        <f>IFERROR(__xludf.DUMMYFUNCTION("""COMPUTED_VALUE"""),2.77)</f>
        <v>2.77</v>
      </c>
      <c r="F446" s="1">
        <f>IFERROR(__xludf.DUMMYFUNCTION("""COMPUTED_VALUE"""),2282868.0)</f>
        <v>2282868</v>
      </c>
    </row>
    <row r="447">
      <c r="A447" s="2">
        <f>IFERROR(__xludf.DUMMYFUNCTION("""COMPUTED_VALUE"""),42286.66666666667)</f>
        <v>42286.66667</v>
      </c>
      <c r="B447" s="1">
        <f>IFERROR(__xludf.DUMMYFUNCTION("""COMPUTED_VALUE"""),2.81)</f>
        <v>2.81</v>
      </c>
      <c r="C447" s="1">
        <f>IFERROR(__xludf.DUMMYFUNCTION("""COMPUTED_VALUE"""),3.21)</f>
        <v>3.21</v>
      </c>
      <c r="D447" s="1">
        <f>IFERROR(__xludf.DUMMYFUNCTION("""COMPUTED_VALUE"""),2.63)</f>
        <v>2.63</v>
      </c>
      <c r="E447" s="1">
        <f>IFERROR(__xludf.DUMMYFUNCTION("""COMPUTED_VALUE"""),2.69)</f>
        <v>2.69</v>
      </c>
      <c r="F447" s="1">
        <f>IFERROR(__xludf.DUMMYFUNCTION("""COMPUTED_VALUE"""),6175332.0)</f>
        <v>6175332</v>
      </c>
    </row>
    <row r="448">
      <c r="A448" s="2">
        <f>IFERROR(__xludf.DUMMYFUNCTION("""COMPUTED_VALUE"""),42293.66666666667)</f>
        <v>42293.66667</v>
      </c>
      <c r="B448" s="1">
        <f>IFERROR(__xludf.DUMMYFUNCTION("""COMPUTED_VALUE"""),2.68)</f>
        <v>2.68</v>
      </c>
      <c r="C448" s="1">
        <f>IFERROR(__xludf.DUMMYFUNCTION("""COMPUTED_VALUE"""),2.72)</f>
        <v>2.72</v>
      </c>
      <c r="D448" s="1">
        <f>IFERROR(__xludf.DUMMYFUNCTION("""COMPUTED_VALUE"""),2.52)</f>
        <v>2.52</v>
      </c>
      <c r="E448" s="1">
        <f>IFERROR(__xludf.DUMMYFUNCTION("""COMPUTED_VALUE"""),2.64)</f>
        <v>2.64</v>
      </c>
      <c r="F448" s="1">
        <f>IFERROR(__xludf.DUMMYFUNCTION("""COMPUTED_VALUE"""),4106194.0)</f>
        <v>4106194</v>
      </c>
    </row>
    <row r="449">
      <c r="A449" s="2">
        <f>IFERROR(__xludf.DUMMYFUNCTION("""COMPUTED_VALUE"""),42300.66666666667)</f>
        <v>42300.66667</v>
      </c>
      <c r="B449" s="1">
        <f>IFERROR(__xludf.DUMMYFUNCTION("""COMPUTED_VALUE"""),2.64)</f>
        <v>2.64</v>
      </c>
      <c r="C449" s="1">
        <f>IFERROR(__xludf.DUMMYFUNCTION("""COMPUTED_VALUE"""),2.97)</f>
        <v>2.97</v>
      </c>
      <c r="D449" s="1">
        <f>IFERROR(__xludf.DUMMYFUNCTION("""COMPUTED_VALUE"""),2.51)</f>
        <v>2.51</v>
      </c>
      <c r="E449" s="1">
        <f>IFERROR(__xludf.DUMMYFUNCTION("""COMPUTED_VALUE"""),2.85)</f>
        <v>2.85</v>
      </c>
      <c r="F449" s="1">
        <f>IFERROR(__xludf.DUMMYFUNCTION("""COMPUTED_VALUE"""),3094972.0)</f>
        <v>3094972</v>
      </c>
    </row>
    <row r="450">
      <c r="A450" s="2">
        <f>IFERROR(__xludf.DUMMYFUNCTION("""COMPUTED_VALUE"""),42307.66666666667)</f>
        <v>42307.66667</v>
      </c>
      <c r="B450" s="1">
        <f>IFERROR(__xludf.DUMMYFUNCTION("""COMPUTED_VALUE"""),2.84)</f>
        <v>2.84</v>
      </c>
      <c r="C450" s="1">
        <f>IFERROR(__xludf.DUMMYFUNCTION("""COMPUTED_VALUE"""),2.89)</f>
        <v>2.89</v>
      </c>
      <c r="D450" s="1">
        <f>IFERROR(__xludf.DUMMYFUNCTION("""COMPUTED_VALUE"""),2.7)</f>
        <v>2.7</v>
      </c>
      <c r="E450" s="1">
        <f>IFERROR(__xludf.DUMMYFUNCTION("""COMPUTED_VALUE"""),2.82)</f>
        <v>2.82</v>
      </c>
      <c r="F450" s="1">
        <f>IFERROR(__xludf.DUMMYFUNCTION("""COMPUTED_VALUE"""),2065978.0)</f>
        <v>2065978</v>
      </c>
    </row>
    <row r="451">
      <c r="A451" s="2">
        <f>IFERROR(__xludf.DUMMYFUNCTION("""COMPUTED_VALUE"""),42314.66666666667)</f>
        <v>42314.66667</v>
      </c>
      <c r="B451" s="1">
        <f>IFERROR(__xludf.DUMMYFUNCTION("""COMPUTED_VALUE"""),2.82)</f>
        <v>2.82</v>
      </c>
      <c r="C451" s="1">
        <f>IFERROR(__xludf.DUMMYFUNCTION("""COMPUTED_VALUE"""),3.08)</f>
        <v>3.08</v>
      </c>
      <c r="D451" s="1">
        <f>IFERROR(__xludf.DUMMYFUNCTION("""COMPUTED_VALUE"""),2.82)</f>
        <v>2.82</v>
      </c>
      <c r="E451" s="1">
        <f>IFERROR(__xludf.DUMMYFUNCTION("""COMPUTED_VALUE"""),3.08)</f>
        <v>3.08</v>
      </c>
      <c r="F451" s="1">
        <f>IFERROR(__xludf.DUMMYFUNCTION("""COMPUTED_VALUE"""),1949148.0)</f>
        <v>1949148</v>
      </c>
    </row>
    <row r="452">
      <c r="A452" s="2">
        <f>IFERROR(__xludf.DUMMYFUNCTION("""COMPUTED_VALUE"""),42321.66666666667)</f>
        <v>42321.66667</v>
      </c>
      <c r="B452" s="1">
        <f>IFERROR(__xludf.DUMMYFUNCTION("""COMPUTED_VALUE"""),3.05)</f>
        <v>3.05</v>
      </c>
      <c r="C452" s="1">
        <f>IFERROR(__xludf.DUMMYFUNCTION("""COMPUTED_VALUE"""),3.08)</f>
        <v>3.08</v>
      </c>
      <c r="D452" s="1">
        <f>IFERROR(__xludf.DUMMYFUNCTION("""COMPUTED_VALUE"""),2.53)</f>
        <v>2.53</v>
      </c>
      <c r="E452" s="1">
        <f>IFERROR(__xludf.DUMMYFUNCTION("""COMPUTED_VALUE"""),2.55)</f>
        <v>2.55</v>
      </c>
      <c r="F452" s="1">
        <f>IFERROR(__xludf.DUMMYFUNCTION("""COMPUTED_VALUE"""),2787971.0)</f>
        <v>2787971</v>
      </c>
    </row>
    <row r="453">
      <c r="A453" s="2">
        <f>IFERROR(__xludf.DUMMYFUNCTION("""COMPUTED_VALUE"""),42328.66666666667)</f>
        <v>42328.66667</v>
      </c>
      <c r="B453" s="1">
        <f>IFERROR(__xludf.DUMMYFUNCTION("""COMPUTED_VALUE"""),2.54)</f>
        <v>2.54</v>
      </c>
      <c r="C453" s="1">
        <f>IFERROR(__xludf.DUMMYFUNCTION("""COMPUTED_VALUE"""),2.62)</f>
        <v>2.62</v>
      </c>
      <c r="D453" s="1">
        <f>IFERROR(__xludf.DUMMYFUNCTION("""COMPUTED_VALUE"""),2.31)</f>
        <v>2.31</v>
      </c>
      <c r="E453" s="1">
        <f>IFERROR(__xludf.DUMMYFUNCTION("""COMPUTED_VALUE"""),2.34)</f>
        <v>2.34</v>
      </c>
      <c r="F453" s="1">
        <f>IFERROR(__xludf.DUMMYFUNCTION("""COMPUTED_VALUE"""),3703149.0)</f>
        <v>3703149</v>
      </c>
    </row>
    <row r="454">
      <c r="A454" s="2">
        <f>IFERROR(__xludf.DUMMYFUNCTION("""COMPUTED_VALUE"""),42335.66666666667)</f>
        <v>42335.66667</v>
      </c>
      <c r="B454" s="1">
        <f>IFERROR(__xludf.DUMMYFUNCTION("""COMPUTED_VALUE"""),2.35)</f>
        <v>2.35</v>
      </c>
      <c r="C454" s="1">
        <f>IFERROR(__xludf.DUMMYFUNCTION("""COMPUTED_VALUE"""),2.45)</f>
        <v>2.45</v>
      </c>
      <c r="D454" s="1">
        <f>IFERROR(__xludf.DUMMYFUNCTION("""COMPUTED_VALUE"""),2.34)</f>
        <v>2.34</v>
      </c>
      <c r="E454" s="1">
        <f>IFERROR(__xludf.DUMMYFUNCTION("""COMPUTED_VALUE"""),2.44)</f>
        <v>2.44</v>
      </c>
      <c r="F454" s="1">
        <f>IFERROR(__xludf.DUMMYFUNCTION("""COMPUTED_VALUE"""),1370721.0)</f>
        <v>1370721</v>
      </c>
    </row>
    <row r="455">
      <c r="A455" s="2">
        <f>IFERROR(__xludf.DUMMYFUNCTION("""COMPUTED_VALUE"""),42342.66666666667)</f>
        <v>42342.66667</v>
      </c>
      <c r="B455" s="1">
        <f>IFERROR(__xludf.DUMMYFUNCTION("""COMPUTED_VALUE"""),2.46)</f>
        <v>2.46</v>
      </c>
      <c r="C455" s="1">
        <f>IFERROR(__xludf.DUMMYFUNCTION("""COMPUTED_VALUE"""),2.7)</f>
        <v>2.7</v>
      </c>
      <c r="D455" s="1">
        <f>IFERROR(__xludf.DUMMYFUNCTION("""COMPUTED_VALUE"""),2.45)</f>
        <v>2.45</v>
      </c>
      <c r="E455" s="1">
        <f>IFERROR(__xludf.DUMMYFUNCTION("""COMPUTED_VALUE"""),2.65)</f>
        <v>2.65</v>
      </c>
      <c r="F455" s="1">
        <f>IFERROR(__xludf.DUMMYFUNCTION("""COMPUTED_VALUE"""),2952813.0)</f>
        <v>2952813</v>
      </c>
    </row>
    <row r="456">
      <c r="A456" s="2">
        <f>IFERROR(__xludf.DUMMYFUNCTION("""COMPUTED_VALUE"""),42349.66666666667)</f>
        <v>42349.66667</v>
      </c>
      <c r="B456" s="1">
        <f>IFERROR(__xludf.DUMMYFUNCTION("""COMPUTED_VALUE"""),2.64)</f>
        <v>2.64</v>
      </c>
      <c r="C456" s="1">
        <f>IFERROR(__xludf.DUMMYFUNCTION("""COMPUTED_VALUE"""),2.64)</f>
        <v>2.64</v>
      </c>
      <c r="D456" s="1">
        <f>IFERROR(__xludf.DUMMYFUNCTION("""COMPUTED_VALUE"""),2.37)</f>
        <v>2.37</v>
      </c>
      <c r="E456" s="1">
        <f>IFERROR(__xludf.DUMMYFUNCTION("""COMPUTED_VALUE"""),2.42)</f>
        <v>2.42</v>
      </c>
      <c r="F456" s="1">
        <f>IFERROR(__xludf.DUMMYFUNCTION("""COMPUTED_VALUE"""),3178238.0)</f>
        <v>3178238</v>
      </c>
    </row>
    <row r="457">
      <c r="A457" s="2">
        <f>IFERROR(__xludf.DUMMYFUNCTION("""COMPUTED_VALUE"""),42356.66666666667)</f>
        <v>42356.66667</v>
      </c>
      <c r="B457" s="1">
        <f>IFERROR(__xludf.DUMMYFUNCTION("""COMPUTED_VALUE"""),2.41)</f>
        <v>2.41</v>
      </c>
      <c r="C457" s="1">
        <f>IFERROR(__xludf.DUMMYFUNCTION("""COMPUTED_VALUE"""),2.42)</f>
        <v>2.42</v>
      </c>
      <c r="D457" s="1">
        <f>IFERROR(__xludf.DUMMYFUNCTION("""COMPUTED_VALUE"""),2.23)</f>
        <v>2.23</v>
      </c>
      <c r="E457" s="1">
        <f>IFERROR(__xludf.DUMMYFUNCTION("""COMPUTED_VALUE"""),2.23)</f>
        <v>2.23</v>
      </c>
      <c r="F457" s="1">
        <f>IFERROR(__xludf.DUMMYFUNCTION("""COMPUTED_VALUE"""),2721833.0)</f>
        <v>2721833</v>
      </c>
    </row>
    <row r="458">
      <c r="A458" s="2">
        <f>IFERROR(__xludf.DUMMYFUNCTION("""COMPUTED_VALUE"""),42362.66666666667)</f>
        <v>42362.66667</v>
      </c>
      <c r="B458" s="1">
        <f>IFERROR(__xludf.DUMMYFUNCTION("""COMPUTED_VALUE"""),2.26)</f>
        <v>2.26</v>
      </c>
      <c r="C458" s="1">
        <f>IFERROR(__xludf.DUMMYFUNCTION("""COMPUTED_VALUE"""),2.54)</f>
        <v>2.54</v>
      </c>
      <c r="D458" s="1">
        <f>IFERROR(__xludf.DUMMYFUNCTION("""COMPUTED_VALUE"""),2.26)</f>
        <v>2.26</v>
      </c>
      <c r="E458" s="1">
        <f>IFERROR(__xludf.DUMMYFUNCTION("""COMPUTED_VALUE"""),2.47)</f>
        <v>2.47</v>
      </c>
      <c r="F458" s="1">
        <f>IFERROR(__xludf.DUMMYFUNCTION("""COMPUTED_VALUE"""),1651397.0)</f>
        <v>1651397</v>
      </c>
    </row>
    <row r="459">
      <c r="A459" s="2">
        <f>IFERROR(__xludf.DUMMYFUNCTION("""COMPUTED_VALUE"""),42369.66666666667)</f>
        <v>42369.66667</v>
      </c>
      <c r="B459" s="1">
        <f>IFERROR(__xludf.DUMMYFUNCTION("""COMPUTED_VALUE"""),2.45)</f>
        <v>2.45</v>
      </c>
      <c r="C459" s="1">
        <f>IFERROR(__xludf.DUMMYFUNCTION("""COMPUTED_VALUE"""),2.5)</f>
        <v>2.5</v>
      </c>
      <c r="D459" s="1">
        <f>IFERROR(__xludf.DUMMYFUNCTION("""COMPUTED_VALUE"""),2.39)</f>
        <v>2.39</v>
      </c>
      <c r="E459" s="1">
        <f>IFERROR(__xludf.DUMMYFUNCTION("""COMPUTED_VALUE"""),2.45)</f>
        <v>2.45</v>
      </c>
      <c r="F459" s="1">
        <f>IFERROR(__xludf.DUMMYFUNCTION("""COMPUTED_VALUE"""),1406648.0)</f>
        <v>1406648</v>
      </c>
    </row>
    <row r="460">
      <c r="A460" s="2">
        <f>IFERROR(__xludf.DUMMYFUNCTION("""COMPUTED_VALUE"""),42377.66666666667)</f>
        <v>42377.66667</v>
      </c>
      <c r="B460" s="1">
        <f>IFERROR(__xludf.DUMMYFUNCTION("""COMPUTED_VALUE"""),2.39)</f>
        <v>2.39</v>
      </c>
      <c r="C460" s="1">
        <f>IFERROR(__xludf.DUMMYFUNCTION("""COMPUTED_VALUE"""),2.42)</f>
        <v>2.42</v>
      </c>
      <c r="D460" s="1">
        <f>IFERROR(__xludf.DUMMYFUNCTION("""COMPUTED_VALUE"""),2.18)</f>
        <v>2.18</v>
      </c>
      <c r="E460" s="1">
        <f>IFERROR(__xludf.DUMMYFUNCTION("""COMPUTED_VALUE"""),2.2)</f>
        <v>2.2</v>
      </c>
      <c r="F460" s="1">
        <f>IFERROR(__xludf.DUMMYFUNCTION("""COMPUTED_VALUE"""),2137318.0)</f>
        <v>2137318</v>
      </c>
    </row>
    <row r="461">
      <c r="A461" s="2">
        <f>IFERROR(__xludf.DUMMYFUNCTION("""COMPUTED_VALUE"""),42384.66666666667)</f>
        <v>42384.66667</v>
      </c>
      <c r="B461" s="1">
        <f>IFERROR(__xludf.DUMMYFUNCTION("""COMPUTED_VALUE"""),2.2)</f>
        <v>2.2</v>
      </c>
      <c r="C461" s="1">
        <f>IFERROR(__xludf.DUMMYFUNCTION("""COMPUTED_VALUE"""),2.85)</f>
        <v>2.85</v>
      </c>
      <c r="D461" s="1">
        <f>IFERROR(__xludf.DUMMYFUNCTION("""COMPUTED_VALUE"""),2.13)</f>
        <v>2.13</v>
      </c>
      <c r="E461" s="1">
        <f>IFERROR(__xludf.DUMMYFUNCTION("""COMPUTED_VALUE"""),2.44)</f>
        <v>2.44</v>
      </c>
      <c r="F461" s="1">
        <f>IFERROR(__xludf.DUMMYFUNCTION("""COMPUTED_VALUE"""),7039963.0)</f>
        <v>7039963</v>
      </c>
    </row>
    <row r="462">
      <c r="A462" s="2">
        <f>IFERROR(__xludf.DUMMYFUNCTION("""COMPUTED_VALUE"""),42391.66666666667)</f>
        <v>42391.66667</v>
      </c>
      <c r="B462" s="1">
        <f>IFERROR(__xludf.DUMMYFUNCTION("""COMPUTED_VALUE"""),2.48)</f>
        <v>2.48</v>
      </c>
      <c r="C462" s="1">
        <f>IFERROR(__xludf.DUMMYFUNCTION("""COMPUTED_VALUE"""),2.6)</f>
        <v>2.6</v>
      </c>
      <c r="D462" s="1">
        <f>IFERROR(__xludf.DUMMYFUNCTION("""COMPUTED_VALUE"""),2.38)</f>
        <v>2.38</v>
      </c>
      <c r="E462" s="1">
        <f>IFERROR(__xludf.DUMMYFUNCTION("""COMPUTED_VALUE"""),2.6)</f>
        <v>2.6</v>
      </c>
      <c r="F462" s="1">
        <f>IFERROR(__xludf.DUMMYFUNCTION("""COMPUTED_VALUE"""),2701718.0)</f>
        <v>2701718</v>
      </c>
    </row>
    <row r="463">
      <c r="A463" s="2">
        <f>IFERROR(__xludf.DUMMYFUNCTION("""COMPUTED_VALUE"""),42398.66666666667)</f>
        <v>42398.66667</v>
      </c>
      <c r="B463" s="1">
        <f>IFERROR(__xludf.DUMMYFUNCTION("""COMPUTED_VALUE"""),2.6)</f>
        <v>2.6</v>
      </c>
      <c r="C463" s="1">
        <f>IFERROR(__xludf.DUMMYFUNCTION("""COMPUTED_VALUE"""),3.16)</f>
        <v>3.16</v>
      </c>
      <c r="D463" s="1">
        <f>IFERROR(__xludf.DUMMYFUNCTION("""COMPUTED_VALUE"""),2.56)</f>
        <v>2.56</v>
      </c>
      <c r="E463" s="1">
        <f>IFERROR(__xludf.DUMMYFUNCTION("""COMPUTED_VALUE"""),2.98)</f>
        <v>2.98</v>
      </c>
      <c r="F463" s="1">
        <f>IFERROR(__xludf.DUMMYFUNCTION("""COMPUTED_VALUE"""),6723826.0)</f>
        <v>6723826</v>
      </c>
    </row>
    <row r="464">
      <c r="A464" s="2">
        <f>IFERROR(__xludf.DUMMYFUNCTION("""COMPUTED_VALUE"""),42405.66666666667)</f>
        <v>42405.66667</v>
      </c>
      <c r="B464" s="1">
        <f>IFERROR(__xludf.DUMMYFUNCTION("""COMPUTED_VALUE"""),2.96)</f>
        <v>2.96</v>
      </c>
      <c r="C464" s="1">
        <f>IFERROR(__xludf.DUMMYFUNCTION("""COMPUTED_VALUE"""),3.33)</f>
        <v>3.33</v>
      </c>
      <c r="D464" s="1">
        <f>IFERROR(__xludf.DUMMYFUNCTION("""COMPUTED_VALUE"""),2.91)</f>
        <v>2.91</v>
      </c>
      <c r="E464" s="1">
        <f>IFERROR(__xludf.DUMMYFUNCTION("""COMPUTED_VALUE"""),3.2)</f>
        <v>3.2</v>
      </c>
      <c r="F464" s="1">
        <f>IFERROR(__xludf.DUMMYFUNCTION("""COMPUTED_VALUE"""),4654120.0)</f>
        <v>4654120</v>
      </c>
    </row>
    <row r="465">
      <c r="A465" s="2">
        <f>IFERROR(__xludf.DUMMYFUNCTION("""COMPUTED_VALUE"""),42412.66666666667)</f>
        <v>42412.66667</v>
      </c>
      <c r="B465" s="1">
        <f>IFERROR(__xludf.DUMMYFUNCTION("""COMPUTED_VALUE"""),3.17)</f>
        <v>3.17</v>
      </c>
      <c r="C465" s="1">
        <f>IFERROR(__xludf.DUMMYFUNCTION("""COMPUTED_VALUE"""),3.21)</f>
        <v>3.21</v>
      </c>
      <c r="D465" s="1">
        <f>IFERROR(__xludf.DUMMYFUNCTION("""COMPUTED_VALUE"""),2.93)</f>
        <v>2.93</v>
      </c>
      <c r="E465" s="1">
        <f>IFERROR(__xludf.DUMMYFUNCTION("""COMPUTED_VALUE"""),2.99)</f>
        <v>2.99</v>
      </c>
      <c r="F465" s="1">
        <f>IFERROR(__xludf.DUMMYFUNCTION("""COMPUTED_VALUE"""),3033905.0)</f>
        <v>3033905</v>
      </c>
    </row>
    <row r="466">
      <c r="A466" s="2">
        <f>IFERROR(__xludf.DUMMYFUNCTION("""COMPUTED_VALUE"""),42419.66666666667)</f>
        <v>42419.66667</v>
      </c>
      <c r="B466" s="1">
        <f>IFERROR(__xludf.DUMMYFUNCTION("""COMPUTED_VALUE"""),3.02)</f>
        <v>3.02</v>
      </c>
      <c r="C466" s="1">
        <f>IFERROR(__xludf.DUMMYFUNCTION("""COMPUTED_VALUE"""),3.29)</f>
        <v>3.29</v>
      </c>
      <c r="D466" s="1">
        <f>IFERROR(__xludf.DUMMYFUNCTION("""COMPUTED_VALUE"""),3.02)</f>
        <v>3.02</v>
      </c>
      <c r="E466" s="1">
        <f>IFERROR(__xludf.DUMMYFUNCTION("""COMPUTED_VALUE"""),3.19)</f>
        <v>3.19</v>
      </c>
      <c r="F466" s="1">
        <f>IFERROR(__xludf.DUMMYFUNCTION("""COMPUTED_VALUE"""),2424633.0)</f>
        <v>2424633</v>
      </c>
    </row>
    <row r="467">
      <c r="A467" s="2">
        <f>IFERROR(__xludf.DUMMYFUNCTION("""COMPUTED_VALUE"""),42426.66666666667)</f>
        <v>42426.66667</v>
      </c>
      <c r="B467" s="1">
        <f>IFERROR(__xludf.DUMMYFUNCTION("""COMPUTED_VALUE"""),3.24)</f>
        <v>3.24</v>
      </c>
      <c r="C467" s="1">
        <f>IFERROR(__xludf.DUMMYFUNCTION("""COMPUTED_VALUE"""),3.3)</f>
        <v>3.3</v>
      </c>
      <c r="D467" s="1">
        <f>IFERROR(__xludf.DUMMYFUNCTION("""COMPUTED_VALUE"""),3.07)</f>
        <v>3.07</v>
      </c>
      <c r="E467" s="1">
        <f>IFERROR(__xludf.DUMMYFUNCTION("""COMPUTED_VALUE"""),3.21)</f>
        <v>3.21</v>
      </c>
      <c r="F467" s="1">
        <f>IFERROR(__xludf.DUMMYFUNCTION("""COMPUTED_VALUE"""),1983478.0)</f>
        <v>1983478</v>
      </c>
    </row>
    <row r="468">
      <c r="A468" s="2">
        <f>IFERROR(__xludf.DUMMYFUNCTION("""COMPUTED_VALUE"""),42433.66666666667)</f>
        <v>42433.66667</v>
      </c>
      <c r="B468" s="1">
        <f>IFERROR(__xludf.DUMMYFUNCTION("""COMPUTED_VALUE"""),3.19)</f>
        <v>3.19</v>
      </c>
      <c r="C468" s="1">
        <f>IFERROR(__xludf.DUMMYFUNCTION("""COMPUTED_VALUE"""),3.38)</f>
        <v>3.38</v>
      </c>
      <c r="D468" s="1">
        <f>IFERROR(__xludf.DUMMYFUNCTION("""COMPUTED_VALUE"""),3.17)</f>
        <v>3.17</v>
      </c>
      <c r="E468" s="1">
        <f>IFERROR(__xludf.DUMMYFUNCTION("""COMPUTED_VALUE"""),3.26)</f>
        <v>3.26</v>
      </c>
      <c r="F468" s="1">
        <f>IFERROR(__xludf.DUMMYFUNCTION("""COMPUTED_VALUE"""),2584258.0)</f>
        <v>2584258</v>
      </c>
    </row>
    <row r="469">
      <c r="A469" s="2">
        <f>IFERROR(__xludf.DUMMYFUNCTION("""COMPUTED_VALUE"""),42440.66666666667)</f>
        <v>42440.66667</v>
      </c>
      <c r="B469" s="1">
        <f>IFERROR(__xludf.DUMMYFUNCTION("""COMPUTED_VALUE"""),3.25)</f>
        <v>3.25</v>
      </c>
      <c r="C469" s="1">
        <f>IFERROR(__xludf.DUMMYFUNCTION("""COMPUTED_VALUE"""),3.32)</f>
        <v>3.32</v>
      </c>
      <c r="D469" s="1">
        <f>IFERROR(__xludf.DUMMYFUNCTION("""COMPUTED_VALUE"""),3.06)</f>
        <v>3.06</v>
      </c>
      <c r="E469" s="1">
        <f>IFERROR(__xludf.DUMMYFUNCTION("""COMPUTED_VALUE"""),3.22)</f>
        <v>3.22</v>
      </c>
      <c r="F469" s="1">
        <f>IFERROR(__xludf.DUMMYFUNCTION("""COMPUTED_VALUE"""),1703638.0)</f>
        <v>1703638</v>
      </c>
    </row>
    <row r="470">
      <c r="A470" s="2">
        <f>IFERROR(__xludf.DUMMYFUNCTION("""COMPUTED_VALUE"""),42447.66666666667)</f>
        <v>42447.66667</v>
      </c>
      <c r="B470" s="1">
        <f>IFERROR(__xludf.DUMMYFUNCTION("""COMPUTED_VALUE"""),3.2)</f>
        <v>3.2</v>
      </c>
      <c r="C470" s="1">
        <f>IFERROR(__xludf.DUMMYFUNCTION("""COMPUTED_VALUE"""),3.35)</f>
        <v>3.35</v>
      </c>
      <c r="D470" s="1">
        <f>IFERROR(__xludf.DUMMYFUNCTION("""COMPUTED_VALUE"""),3.15)</f>
        <v>3.15</v>
      </c>
      <c r="E470" s="1">
        <f>IFERROR(__xludf.DUMMYFUNCTION("""COMPUTED_VALUE"""),3.29)</f>
        <v>3.29</v>
      </c>
      <c r="F470" s="1">
        <f>IFERROR(__xludf.DUMMYFUNCTION("""COMPUTED_VALUE"""),1417851.0)</f>
        <v>1417851</v>
      </c>
    </row>
    <row r="471">
      <c r="A471" s="2">
        <f>IFERROR(__xludf.DUMMYFUNCTION("""COMPUTED_VALUE"""),42453.66666666667)</f>
        <v>42453.66667</v>
      </c>
      <c r="B471" s="1">
        <f>IFERROR(__xludf.DUMMYFUNCTION("""COMPUTED_VALUE"""),3.29)</f>
        <v>3.29</v>
      </c>
      <c r="C471" s="1">
        <f>IFERROR(__xludf.DUMMYFUNCTION("""COMPUTED_VALUE"""),3.33)</f>
        <v>3.33</v>
      </c>
      <c r="D471" s="1">
        <f>IFERROR(__xludf.DUMMYFUNCTION("""COMPUTED_VALUE"""),3.17)</f>
        <v>3.17</v>
      </c>
      <c r="E471" s="1">
        <f>IFERROR(__xludf.DUMMYFUNCTION("""COMPUTED_VALUE"""),3.25)</f>
        <v>3.25</v>
      </c>
      <c r="F471" s="1">
        <f>IFERROR(__xludf.DUMMYFUNCTION("""COMPUTED_VALUE"""),1012537.0)</f>
        <v>1012537</v>
      </c>
    </row>
    <row r="472">
      <c r="A472" s="2">
        <f>IFERROR(__xludf.DUMMYFUNCTION("""COMPUTED_VALUE"""),42461.66666666667)</f>
        <v>42461.66667</v>
      </c>
      <c r="B472" s="1">
        <f>IFERROR(__xludf.DUMMYFUNCTION("""COMPUTED_VALUE"""),3.27)</f>
        <v>3.27</v>
      </c>
      <c r="C472" s="1">
        <f>IFERROR(__xludf.DUMMYFUNCTION("""COMPUTED_VALUE"""),3.47)</f>
        <v>3.47</v>
      </c>
      <c r="D472" s="1">
        <f>IFERROR(__xludf.DUMMYFUNCTION("""COMPUTED_VALUE"""),3.22)</f>
        <v>3.22</v>
      </c>
      <c r="E472" s="1">
        <f>IFERROR(__xludf.DUMMYFUNCTION("""COMPUTED_VALUE"""),3.45)</f>
        <v>3.45</v>
      </c>
      <c r="F472" s="1">
        <f>IFERROR(__xludf.DUMMYFUNCTION("""COMPUTED_VALUE"""),1258985.0)</f>
        <v>1258985</v>
      </c>
    </row>
    <row r="473">
      <c r="A473" s="2">
        <f>IFERROR(__xludf.DUMMYFUNCTION("""COMPUTED_VALUE"""),42468.66666666667)</f>
        <v>42468.66667</v>
      </c>
      <c r="B473" s="1">
        <f>IFERROR(__xludf.DUMMYFUNCTION("""COMPUTED_VALUE"""),3.46)</f>
        <v>3.46</v>
      </c>
      <c r="C473" s="1">
        <f>IFERROR(__xludf.DUMMYFUNCTION("""COMPUTED_VALUE"""),3.46)</f>
        <v>3.46</v>
      </c>
      <c r="D473" s="1">
        <f>IFERROR(__xludf.DUMMYFUNCTION("""COMPUTED_VALUE"""),3.27)</f>
        <v>3.27</v>
      </c>
      <c r="E473" s="1">
        <f>IFERROR(__xludf.DUMMYFUNCTION("""COMPUTED_VALUE"""),3.34)</f>
        <v>3.34</v>
      </c>
      <c r="F473" s="1">
        <f>IFERROR(__xludf.DUMMYFUNCTION("""COMPUTED_VALUE"""),1331724.0)</f>
        <v>1331724</v>
      </c>
    </row>
    <row r="474">
      <c r="A474" s="2">
        <f>IFERROR(__xludf.DUMMYFUNCTION("""COMPUTED_VALUE"""),42475.66666666667)</f>
        <v>42475.66667</v>
      </c>
      <c r="B474" s="1">
        <f>IFERROR(__xludf.DUMMYFUNCTION("""COMPUTED_VALUE"""),3.35)</f>
        <v>3.35</v>
      </c>
      <c r="C474" s="1">
        <f>IFERROR(__xludf.DUMMYFUNCTION("""COMPUTED_VALUE"""),3.4)</f>
        <v>3.4</v>
      </c>
      <c r="D474" s="1">
        <f>IFERROR(__xludf.DUMMYFUNCTION("""COMPUTED_VALUE"""),2.67)</f>
        <v>2.67</v>
      </c>
      <c r="E474" s="1">
        <f>IFERROR(__xludf.DUMMYFUNCTION("""COMPUTED_VALUE"""),2.68)</f>
        <v>2.68</v>
      </c>
      <c r="F474" s="1">
        <f>IFERROR(__xludf.DUMMYFUNCTION("""COMPUTED_VALUE"""),4087424.0)</f>
        <v>4087424</v>
      </c>
    </row>
    <row r="475">
      <c r="A475" s="2">
        <f>IFERROR(__xludf.DUMMYFUNCTION("""COMPUTED_VALUE"""),42482.66666666667)</f>
        <v>42482.66667</v>
      </c>
      <c r="B475" s="1">
        <f>IFERROR(__xludf.DUMMYFUNCTION("""COMPUTED_VALUE"""),2.67)</f>
        <v>2.67</v>
      </c>
      <c r="C475" s="1">
        <f>IFERROR(__xludf.DUMMYFUNCTION("""COMPUTED_VALUE"""),2.87)</f>
        <v>2.87</v>
      </c>
      <c r="D475" s="1">
        <f>IFERROR(__xludf.DUMMYFUNCTION("""COMPUTED_VALUE"""),2.61)</f>
        <v>2.61</v>
      </c>
      <c r="E475" s="1">
        <f>IFERROR(__xludf.DUMMYFUNCTION("""COMPUTED_VALUE"""),2.85)</f>
        <v>2.85</v>
      </c>
      <c r="F475" s="1">
        <f>IFERROR(__xludf.DUMMYFUNCTION("""COMPUTED_VALUE"""),2574239.0)</f>
        <v>2574239</v>
      </c>
    </row>
    <row r="476">
      <c r="A476" s="2">
        <f>IFERROR(__xludf.DUMMYFUNCTION("""COMPUTED_VALUE"""),42489.66666666667)</f>
        <v>42489.66667</v>
      </c>
      <c r="B476" s="1">
        <f>IFERROR(__xludf.DUMMYFUNCTION("""COMPUTED_VALUE"""),2.84)</f>
        <v>2.84</v>
      </c>
      <c r="C476" s="1">
        <f>IFERROR(__xludf.DUMMYFUNCTION("""COMPUTED_VALUE"""),2.9)</f>
        <v>2.9</v>
      </c>
      <c r="D476" s="1">
        <f>IFERROR(__xludf.DUMMYFUNCTION("""COMPUTED_VALUE"""),2.65)</f>
        <v>2.65</v>
      </c>
      <c r="E476" s="1">
        <f>IFERROR(__xludf.DUMMYFUNCTION("""COMPUTED_VALUE"""),2.69)</f>
        <v>2.69</v>
      </c>
      <c r="F476" s="1">
        <f>IFERROR(__xludf.DUMMYFUNCTION("""COMPUTED_VALUE"""),2620103.0)</f>
        <v>2620103</v>
      </c>
    </row>
    <row r="477">
      <c r="A477" s="2">
        <f>IFERROR(__xludf.DUMMYFUNCTION("""COMPUTED_VALUE"""),42496.66666666667)</f>
        <v>42496.66667</v>
      </c>
      <c r="B477" s="1">
        <f>IFERROR(__xludf.DUMMYFUNCTION("""COMPUTED_VALUE"""),2.69)</f>
        <v>2.69</v>
      </c>
      <c r="C477" s="1">
        <f>IFERROR(__xludf.DUMMYFUNCTION("""COMPUTED_VALUE"""),2.72)</f>
        <v>2.72</v>
      </c>
      <c r="D477" s="1">
        <f>IFERROR(__xludf.DUMMYFUNCTION("""COMPUTED_VALUE"""),2.62)</f>
        <v>2.62</v>
      </c>
      <c r="E477" s="1">
        <f>IFERROR(__xludf.DUMMYFUNCTION("""COMPUTED_VALUE"""),2.7)</f>
        <v>2.7</v>
      </c>
      <c r="F477" s="1">
        <f>IFERROR(__xludf.DUMMYFUNCTION("""COMPUTED_VALUE"""),2461915.0)</f>
        <v>2461915</v>
      </c>
    </row>
    <row r="478">
      <c r="A478" s="2">
        <f>IFERROR(__xludf.DUMMYFUNCTION("""COMPUTED_VALUE"""),42503.66666666667)</f>
        <v>42503.66667</v>
      </c>
      <c r="B478" s="1">
        <f>IFERROR(__xludf.DUMMYFUNCTION("""COMPUTED_VALUE"""),2.69)</f>
        <v>2.69</v>
      </c>
      <c r="C478" s="1">
        <f>IFERROR(__xludf.DUMMYFUNCTION("""COMPUTED_VALUE"""),2.72)</f>
        <v>2.72</v>
      </c>
      <c r="D478" s="1">
        <f>IFERROR(__xludf.DUMMYFUNCTION("""COMPUTED_VALUE"""),2.45)</f>
        <v>2.45</v>
      </c>
      <c r="E478" s="1">
        <f>IFERROR(__xludf.DUMMYFUNCTION("""COMPUTED_VALUE"""),2.5)</f>
        <v>2.5</v>
      </c>
      <c r="F478" s="1">
        <f>IFERROR(__xludf.DUMMYFUNCTION("""COMPUTED_VALUE"""),2768420.0)</f>
        <v>2768420</v>
      </c>
    </row>
    <row r="479">
      <c r="A479" s="2">
        <f>IFERROR(__xludf.DUMMYFUNCTION("""COMPUTED_VALUE"""),42510.66666666667)</f>
        <v>42510.66667</v>
      </c>
      <c r="B479" s="1">
        <f>IFERROR(__xludf.DUMMYFUNCTION("""COMPUTED_VALUE"""),2.52)</f>
        <v>2.52</v>
      </c>
      <c r="C479" s="1">
        <f>IFERROR(__xludf.DUMMYFUNCTION("""COMPUTED_VALUE"""),2.56)</f>
        <v>2.56</v>
      </c>
      <c r="D479" s="1">
        <f>IFERROR(__xludf.DUMMYFUNCTION("""COMPUTED_VALUE"""),2.44)</f>
        <v>2.44</v>
      </c>
      <c r="E479" s="1">
        <f>IFERROR(__xludf.DUMMYFUNCTION("""COMPUTED_VALUE"""),2.52)</f>
        <v>2.52</v>
      </c>
      <c r="F479" s="1">
        <f>IFERROR(__xludf.DUMMYFUNCTION("""COMPUTED_VALUE"""),1738395.0)</f>
        <v>1738395</v>
      </c>
    </row>
    <row r="480">
      <c r="A480" s="2">
        <f>IFERROR(__xludf.DUMMYFUNCTION("""COMPUTED_VALUE"""),42517.66666666667)</f>
        <v>42517.66667</v>
      </c>
      <c r="B480" s="1">
        <f>IFERROR(__xludf.DUMMYFUNCTION("""COMPUTED_VALUE"""),2.51)</f>
        <v>2.51</v>
      </c>
      <c r="C480" s="1">
        <f>IFERROR(__xludf.DUMMYFUNCTION("""COMPUTED_VALUE"""),2.63)</f>
        <v>2.63</v>
      </c>
      <c r="D480" s="1">
        <f>IFERROR(__xludf.DUMMYFUNCTION("""COMPUTED_VALUE"""),2.51)</f>
        <v>2.51</v>
      </c>
      <c r="E480" s="1">
        <f>IFERROR(__xludf.DUMMYFUNCTION("""COMPUTED_VALUE"""),2.61)</f>
        <v>2.61</v>
      </c>
      <c r="F480" s="1">
        <f>IFERROR(__xludf.DUMMYFUNCTION("""COMPUTED_VALUE"""),1846731.0)</f>
        <v>1846731</v>
      </c>
    </row>
    <row r="481">
      <c r="A481" s="2">
        <f>IFERROR(__xludf.DUMMYFUNCTION("""COMPUTED_VALUE"""),42524.66666666667)</f>
        <v>42524.66667</v>
      </c>
      <c r="B481" s="1">
        <f>IFERROR(__xludf.DUMMYFUNCTION("""COMPUTED_VALUE"""),2.61)</f>
        <v>2.61</v>
      </c>
      <c r="C481" s="1">
        <f>IFERROR(__xludf.DUMMYFUNCTION("""COMPUTED_VALUE"""),2.67)</f>
        <v>2.67</v>
      </c>
      <c r="D481" s="1">
        <f>IFERROR(__xludf.DUMMYFUNCTION("""COMPUTED_VALUE"""),2.6)</f>
        <v>2.6</v>
      </c>
      <c r="E481" s="1">
        <f>IFERROR(__xludf.DUMMYFUNCTION("""COMPUTED_VALUE"""),2.66)</f>
        <v>2.66</v>
      </c>
      <c r="F481" s="1">
        <f>IFERROR(__xludf.DUMMYFUNCTION("""COMPUTED_VALUE"""),1121101.0)</f>
        <v>1121101</v>
      </c>
    </row>
    <row r="482">
      <c r="A482" s="2">
        <f>IFERROR(__xludf.DUMMYFUNCTION("""COMPUTED_VALUE"""),42531.66666666667)</f>
        <v>42531.66667</v>
      </c>
      <c r="B482" s="1">
        <f>IFERROR(__xludf.DUMMYFUNCTION("""COMPUTED_VALUE"""),2.65)</f>
        <v>2.65</v>
      </c>
      <c r="C482" s="1">
        <f>IFERROR(__xludf.DUMMYFUNCTION("""COMPUTED_VALUE"""),2.67)</f>
        <v>2.67</v>
      </c>
      <c r="D482" s="1">
        <f>IFERROR(__xludf.DUMMYFUNCTION("""COMPUTED_VALUE"""),2.54)</f>
        <v>2.54</v>
      </c>
      <c r="E482" s="1">
        <f>IFERROR(__xludf.DUMMYFUNCTION("""COMPUTED_VALUE"""),2.58)</f>
        <v>2.58</v>
      </c>
      <c r="F482" s="1">
        <f>IFERROR(__xludf.DUMMYFUNCTION("""COMPUTED_VALUE"""),2581964.0)</f>
        <v>2581964</v>
      </c>
    </row>
    <row r="483">
      <c r="A483" s="2">
        <f>IFERROR(__xludf.DUMMYFUNCTION("""COMPUTED_VALUE"""),42538.66666666667)</f>
        <v>42538.66667</v>
      </c>
      <c r="B483" s="1">
        <f>IFERROR(__xludf.DUMMYFUNCTION("""COMPUTED_VALUE"""),2.55)</f>
        <v>2.55</v>
      </c>
      <c r="C483" s="1">
        <f>IFERROR(__xludf.DUMMYFUNCTION("""COMPUTED_VALUE"""),2.65)</f>
        <v>2.65</v>
      </c>
      <c r="D483" s="1">
        <f>IFERROR(__xludf.DUMMYFUNCTION("""COMPUTED_VALUE"""),2.48)</f>
        <v>2.48</v>
      </c>
      <c r="E483" s="1">
        <f>IFERROR(__xludf.DUMMYFUNCTION("""COMPUTED_VALUE"""),2.61)</f>
        <v>2.61</v>
      </c>
      <c r="F483" s="1">
        <f>IFERROR(__xludf.DUMMYFUNCTION("""COMPUTED_VALUE"""),2288103.0)</f>
        <v>2288103</v>
      </c>
    </row>
    <row r="484">
      <c r="A484" s="2">
        <f>IFERROR(__xludf.DUMMYFUNCTION("""COMPUTED_VALUE"""),42545.66666666667)</f>
        <v>42545.66667</v>
      </c>
      <c r="B484" s="1">
        <f>IFERROR(__xludf.DUMMYFUNCTION("""COMPUTED_VALUE"""),2.66)</f>
        <v>2.66</v>
      </c>
      <c r="C484" s="1">
        <f>IFERROR(__xludf.DUMMYFUNCTION("""COMPUTED_VALUE"""),2.71)</f>
        <v>2.71</v>
      </c>
      <c r="D484" s="1">
        <f>IFERROR(__xludf.DUMMYFUNCTION("""COMPUTED_VALUE"""),2.52)</f>
        <v>2.52</v>
      </c>
      <c r="E484" s="1">
        <f>IFERROR(__xludf.DUMMYFUNCTION("""COMPUTED_VALUE"""),2.52)</f>
        <v>2.52</v>
      </c>
      <c r="F484" s="1">
        <f>IFERROR(__xludf.DUMMYFUNCTION("""COMPUTED_VALUE"""),2325491.0)</f>
        <v>2325491</v>
      </c>
    </row>
    <row r="485">
      <c r="A485" s="2">
        <f>IFERROR(__xludf.DUMMYFUNCTION("""COMPUTED_VALUE"""),42552.66666666667)</f>
        <v>42552.66667</v>
      </c>
      <c r="B485" s="1">
        <f>IFERROR(__xludf.DUMMYFUNCTION("""COMPUTED_VALUE"""),2.49)</f>
        <v>2.49</v>
      </c>
      <c r="C485" s="1">
        <f>IFERROR(__xludf.DUMMYFUNCTION("""COMPUTED_VALUE"""),2.52)</f>
        <v>2.52</v>
      </c>
      <c r="D485" s="1">
        <f>IFERROR(__xludf.DUMMYFUNCTION("""COMPUTED_VALUE"""),2.34)</f>
        <v>2.34</v>
      </c>
      <c r="E485" s="1">
        <f>IFERROR(__xludf.DUMMYFUNCTION("""COMPUTED_VALUE"""),2.46)</f>
        <v>2.46</v>
      </c>
      <c r="F485" s="1">
        <f>IFERROR(__xludf.DUMMYFUNCTION("""COMPUTED_VALUE"""),1695086.0)</f>
        <v>1695086</v>
      </c>
    </row>
    <row r="486">
      <c r="A486" s="2">
        <f>IFERROR(__xludf.DUMMYFUNCTION("""COMPUTED_VALUE"""),42559.66666666667)</f>
        <v>42559.66667</v>
      </c>
      <c r="B486" s="1">
        <f>IFERROR(__xludf.DUMMYFUNCTION("""COMPUTED_VALUE"""),2.45)</f>
        <v>2.45</v>
      </c>
      <c r="C486" s="1">
        <f>IFERROR(__xludf.DUMMYFUNCTION("""COMPUTED_VALUE"""),2.54)</f>
        <v>2.54</v>
      </c>
      <c r="D486" s="1">
        <f>IFERROR(__xludf.DUMMYFUNCTION("""COMPUTED_VALUE"""),2.32)</f>
        <v>2.32</v>
      </c>
      <c r="E486" s="1">
        <f>IFERROR(__xludf.DUMMYFUNCTION("""COMPUTED_VALUE"""),2.53)</f>
        <v>2.53</v>
      </c>
      <c r="F486" s="1">
        <f>IFERROR(__xludf.DUMMYFUNCTION("""COMPUTED_VALUE"""),1218939.0)</f>
        <v>1218939</v>
      </c>
    </row>
    <row r="487">
      <c r="A487" s="2">
        <f>IFERROR(__xludf.DUMMYFUNCTION("""COMPUTED_VALUE"""),42566.66666666667)</f>
        <v>42566.66667</v>
      </c>
      <c r="B487" s="1">
        <f>IFERROR(__xludf.DUMMYFUNCTION("""COMPUTED_VALUE"""),2.54)</f>
        <v>2.54</v>
      </c>
      <c r="C487" s="1">
        <f>IFERROR(__xludf.DUMMYFUNCTION("""COMPUTED_VALUE"""),2.64)</f>
        <v>2.64</v>
      </c>
      <c r="D487" s="1">
        <f>IFERROR(__xludf.DUMMYFUNCTION("""COMPUTED_VALUE"""),2.52)</f>
        <v>2.52</v>
      </c>
      <c r="E487" s="1">
        <f>IFERROR(__xludf.DUMMYFUNCTION("""COMPUTED_VALUE"""),2.6)</f>
        <v>2.6</v>
      </c>
      <c r="F487" s="1">
        <f>IFERROR(__xludf.DUMMYFUNCTION("""COMPUTED_VALUE"""),1293102.0)</f>
        <v>1293102</v>
      </c>
    </row>
    <row r="488">
      <c r="A488" s="2">
        <f>IFERROR(__xludf.DUMMYFUNCTION("""COMPUTED_VALUE"""),42573.66666666667)</f>
        <v>42573.66667</v>
      </c>
      <c r="B488" s="1">
        <f>IFERROR(__xludf.DUMMYFUNCTION("""COMPUTED_VALUE"""),2.62)</f>
        <v>2.62</v>
      </c>
      <c r="C488" s="1">
        <f>IFERROR(__xludf.DUMMYFUNCTION("""COMPUTED_VALUE"""),2.66)</f>
        <v>2.66</v>
      </c>
      <c r="D488" s="1">
        <f>IFERROR(__xludf.DUMMYFUNCTION("""COMPUTED_VALUE"""),1.86)</f>
        <v>1.86</v>
      </c>
      <c r="E488" s="1">
        <f>IFERROR(__xludf.DUMMYFUNCTION("""COMPUTED_VALUE"""),2.01)</f>
        <v>2.01</v>
      </c>
      <c r="F488" s="1">
        <f>IFERROR(__xludf.DUMMYFUNCTION("""COMPUTED_VALUE"""),1.2215175E7)</f>
        <v>12215175</v>
      </c>
    </row>
    <row r="489">
      <c r="A489" s="2">
        <f>IFERROR(__xludf.DUMMYFUNCTION("""COMPUTED_VALUE"""),42580.66666666667)</f>
        <v>42580.66667</v>
      </c>
      <c r="B489" s="1">
        <f>IFERROR(__xludf.DUMMYFUNCTION("""COMPUTED_VALUE"""),2.01)</f>
        <v>2.01</v>
      </c>
      <c r="C489" s="1">
        <f>IFERROR(__xludf.DUMMYFUNCTION("""COMPUTED_VALUE"""),2.16)</f>
        <v>2.16</v>
      </c>
      <c r="D489" s="1">
        <f>IFERROR(__xludf.DUMMYFUNCTION("""COMPUTED_VALUE"""),2.01)</f>
        <v>2.01</v>
      </c>
      <c r="E489" s="1">
        <f>IFERROR(__xludf.DUMMYFUNCTION("""COMPUTED_VALUE"""),2.15)</f>
        <v>2.15</v>
      </c>
      <c r="F489" s="1">
        <f>IFERROR(__xludf.DUMMYFUNCTION("""COMPUTED_VALUE"""),2662749.0)</f>
        <v>2662749</v>
      </c>
    </row>
    <row r="490">
      <c r="A490" s="2">
        <f>IFERROR(__xludf.DUMMYFUNCTION("""COMPUTED_VALUE"""),42587.66666666667)</f>
        <v>42587.66667</v>
      </c>
      <c r="B490" s="1">
        <f>IFERROR(__xludf.DUMMYFUNCTION("""COMPUTED_VALUE"""),2.15)</f>
        <v>2.15</v>
      </c>
      <c r="C490" s="1">
        <f>IFERROR(__xludf.DUMMYFUNCTION("""COMPUTED_VALUE"""),2.17)</f>
        <v>2.17</v>
      </c>
      <c r="D490" s="1">
        <f>IFERROR(__xludf.DUMMYFUNCTION("""COMPUTED_VALUE"""),1.93)</f>
        <v>1.93</v>
      </c>
      <c r="E490" s="1">
        <f>IFERROR(__xludf.DUMMYFUNCTION("""COMPUTED_VALUE"""),2.15)</f>
        <v>2.15</v>
      </c>
      <c r="F490" s="1">
        <f>IFERROR(__xludf.DUMMYFUNCTION("""COMPUTED_VALUE"""),2815469.0)</f>
        <v>2815469</v>
      </c>
    </row>
    <row r="491">
      <c r="A491" s="2">
        <f>IFERROR(__xludf.DUMMYFUNCTION("""COMPUTED_VALUE"""),42594.66666666667)</f>
        <v>42594.66667</v>
      </c>
      <c r="B491" s="1">
        <f>IFERROR(__xludf.DUMMYFUNCTION("""COMPUTED_VALUE"""),2.15)</f>
        <v>2.15</v>
      </c>
      <c r="C491" s="1">
        <f>IFERROR(__xludf.DUMMYFUNCTION("""COMPUTED_VALUE"""),2.19)</f>
        <v>2.19</v>
      </c>
      <c r="D491" s="1">
        <f>IFERROR(__xludf.DUMMYFUNCTION("""COMPUTED_VALUE"""),2.11)</f>
        <v>2.11</v>
      </c>
      <c r="E491" s="1">
        <f>IFERROR(__xludf.DUMMYFUNCTION("""COMPUTED_VALUE"""),2.17)</f>
        <v>2.17</v>
      </c>
      <c r="F491" s="1">
        <f>IFERROR(__xludf.DUMMYFUNCTION("""COMPUTED_VALUE"""),1631499.0)</f>
        <v>1631499</v>
      </c>
    </row>
    <row r="492">
      <c r="A492" s="2">
        <f>IFERROR(__xludf.DUMMYFUNCTION("""COMPUTED_VALUE"""),42601.66666666667)</f>
        <v>42601.66667</v>
      </c>
      <c r="B492" s="1">
        <f>IFERROR(__xludf.DUMMYFUNCTION("""COMPUTED_VALUE"""),2.17)</f>
        <v>2.17</v>
      </c>
      <c r="C492" s="1">
        <f>IFERROR(__xludf.DUMMYFUNCTION("""COMPUTED_VALUE"""),2.19)</f>
        <v>2.19</v>
      </c>
      <c r="D492" s="1">
        <f>IFERROR(__xludf.DUMMYFUNCTION("""COMPUTED_VALUE"""),2.13)</f>
        <v>2.13</v>
      </c>
      <c r="E492" s="1">
        <f>IFERROR(__xludf.DUMMYFUNCTION("""COMPUTED_VALUE"""),2.15)</f>
        <v>2.15</v>
      </c>
      <c r="F492" s="1">
        <f>IFERROR(__xludf.DUMMYFUNCTION("""COMPUTED_VALUE"""),1450799.0)</f>
        <v>1450799</v>
      </c>
    </row>
    <row r="493">
      <c r="A493" s="2">
        <f>IFERROR(__xludf.DUMMYFUNCTION("""COMPUTED_VALUE"""),42608.66666666667)</f>
        <v>42608.66667</v>
      </c>
      <c r="B493" s="1">
        <f>IFERROR(__xludf.DUMMYFUNCTION("""COMPUTED_VALUE"""),2.13)</f>
        <v>2.13</v>
      </c>
      <c r="C493" s="1">
        <f>IFERROR(__xludf.DUMMYFUNCTION("""COMPUTED_VALUE"""),2.2)</f>
        <v>2.2</v>
      </c>
      <c r="D493" s="1">
        <f>IFERROR(__xludf.DUMMYFUNCTION("""COMPUTED_VALUE"""),2.11)</f>
        <v>2.11</v>
      </c>
      <c r="E493" s="1">
        <f>IFERROR(__xludf.DUMMYFUNCTION("""COMPUTED_VALUE"""),2.14)</f>
        <v>2.14</v>
      </c>
      <c r="F493" s="1">
        <f>IFERROR(__xludf.DUMMYFUNCTION("""COMPUTED_VALUE"""),1544598.0)</f>
        <v>1544598</v>
      </c>
    </row>
    <row r="494">
      <c r="A494" s="2">
        <f>IFERROR(__xludf.DUMMYFUNCTION("""COMPUTED_VALUE"""),42615.66666666667)</f>
        <v>42615.66667</v>
      </c>
      <c r="B494" s="1">
        <f>IFERROR(__xludf.DUMMYFUNCTION("""COMPUTED_VALUE"""),2.12)</f>
        <v>2.12</v>
      </c>
      <c r="C494" s="1">
        <f>IFERROR(__xludf.DUMMYFUNCTION("""COMPUTED_VALUE"""),2.23)</f>
        <v>2.23</v>
      </c>
      <c r="D494" s="1">
        <f>IFERROR(__xludf.DUMMYFUNCTION("""COMPUTED_VALUE"""),2.1)</f>
        <v>2.1</v>
      </c>
      <c r="E494" s="1">
        <f>IFERROR(__xludf.DUMMYFUNCTION("""COMPUTED_VALUE"""),2.22)</f>
        <v>2.22</v>
      </c>
      <c r="F494" s="1">
        <f>IFERROR(__xludf.DUMMYFUNCTION("""COMPUTED_VALUE"""),2055132.0)</f>
        <v>2055132</v>
      </c>
    </row>
    <row r="495">
      <c r="A495" s="2">
        <f>IFERROR(__xludf.DUMMYFUNCTION("""COMPUTED_VALUE"""),42622.66666666667)</f>
        <v>42622.66667</v>
      </c>
      <c r="B495" s="1">
        <f>IFERROR(__xludf.DUMMYFUNCTION("""COMPUTED_VALUE"""),2.25)</f>
        <v>2.25</v>
      </c>
      <c r="C495" s="1">
        <f>IFERROR(__xludf.DUMMYFUNCTION("""COMPUTED_VALUE"""),2.25)</f>
        <v>2.25</v>
      </c>
      <c r="D495" s="1">
        <f>IFERROR(__xludf.DUMMYFUNCTION("""COMPUTED_VALUE"""),2.09)</f>
        <v>2.09</v>
      </c>
      <c r="E495" s="1">
        <f>IFERROR(__xludf.DUMMYFUNCTION("""COMPUTED_VALUE"""),2.11)</f>
        <v>2.11</v>
      </c>
      <c r="F495" s="1">
        <f>IFERROR(__xludf.DUMMYFUNCTION("""COMPUTED_VALUE"""),1435679.0)</f>
        <v>1435679</v>
      </c>
    </row>
    <row r="496">
      <c r="A496" s="2">
        <f>IFERROR(__xludf.DUMMYFUNCTION("""COMPUTED_VALUE"""),42629.66666666667)</f>
        <v>42629.66667</v>
      </c>
      <c r="B496" s="1">
        <f>IFERROR(__xludf.DUMMYFUNCTION("""COMPUTED_VALUE"""),2.09)</f>
        <v>2.09</v>
      </c>
      <c r="C496" s="1">
        <f>IFERROR(__xludf.DUMMYFUNCTION("""COMPUTED_VALUE"""),2.21)</f>
        <v>2.21</v>
      </c>
      <c r="D496" s="1">
        <f>IFERROR(__xludf.DUMMYFUNCTION("""COMPUTED_VALUE"""),2.08)</f>
        <v>2.08</v>
      </c>
      <c r="E496" s="1">
        <f>IFERROR(__xludf.DUMMYFUNCTION("""COMPUTED_VALUE"""),2.14)</f>
        <v>2.14</v>
      </c>
      <c r="F496" s="1">
        <f>IFERROR(__xludf.DUMMYFUNCTION("""COMPUTED_VALUE"""),1542391.0)</f>
        <v>1542391</v>
      </c>
    </row>
    <row r="497">
      <c r="A497" s="2">
        <f>IFERROR(__xludf.DUMMYFUNCTION("""COMPUTED_VALUE"""),42636.66666666667)</f>
        <v>42636.66667</v>
      </c>
      <c r="B497" s="1">
        <f>IFERROR(__xludf.DUMMYFUNCTION("""COMPUTED_VALUE"""),2.14)</f>
        <v>2.14</v>
      </c>
      <c r="C497" s="1">
        <f>IFERROR(__xludf.DUMMYFUNCTION("""COMPUTED_VALUE"""),2.38)</f>
        <v>2.38</v>
      </c>
      <c r="D497" s="1">
        <f>IFERROR(__xludf.DUMMYFUNCTION("""COMPUTED_VALUE"""),2.14)</f>
        <v>2.14</v>
      </c>
      <c r="E497" s="1">
        <f>IFERROR(__xludf.DUMMYFUNCTION("""COMPUTED_VALUE"""),2.35)</f>
        <v>2.35</v>
      </c>
      <c r="F497" s="1">
        <f>IFERROR(__xludf.DUMMYFUNCTION("""COMPUTED_VALUE"""),1889034.0)</f>
        <v>1889034</v>
      </c>
    </row>
    <row r="498">
      <c r="A498" s="2">
        <f>IFERROR(__xludf.DUMMYFUNCTION("""COMPUTED_VALUE"""),42643.66666666667)</f>
        <v>42643.66667</v>
      </c>
      <c r="B498" s="1">
        <f>IFERROR(__xludf.DUMMYFUNCTION("""COMPUTED_VALUE"""),2.33)</f>
        <v>2.33</v>
      </c>
      <c r="C498" s="1">
        <f>IFERROR(__xludf.DUMMYFUNCTION("""COMPUTED_VALUE"""),2.37)</f>
        <v>2.37</v>
      </c>
      <c r="D498" s="1">
        <f>IFERROR(__xludf.DUMMYFUNCTION("""COMPUTED_VALUE"""),2.31)</f>
        <v>2.31</v>
      </c>
      <c r="E498" s="1">
        <f>IFERROR(__xludf.DUMMYFUNCTION("""COMPUTED_VALUE"""),2.34)</f>
        <v>2.34</v>
      </c>
      <c r="F498" s="1">
        <f>IFERROR(__xludf.DUMMYFUNCTION("""COMPUTED_VALUE"""),1485338.0)</f>
        <v>1485338</v>
      </c>
    </row>
    <row r="499">
      <c r="A499" s="2">
        <f>IFERROR(__xludf.DUMMYFUNCTION("""COMPUTED_VALUE"""),42650.66666666667)</f>
        <v>42650.66667</v>
      </c>
      <c r="B499" s="1">
        <f>IFERROR(__xludf.DUMMYFUNCTION("""COMPUTED_VALUE"""),2.34)</f>
        <v>2.34</v>
      </c>
      <c r="C499" s="1">
        <f>IFERROR(__xludf.DUMMYFUNCTION("""COMPUTED_VALUE"""),2.37)</f>
        <v>2.37</v>
      </c>
      <c r="D499" s="1">
        <f>IFERROR(__xludf.DUMMYFUNCTION("""COMPUTED_VALUE"""),2.24)</f>
        <v>2.24</v>
      </c>
      <c r="E499" s="1">
        <f>IFERROR(__xludf.DUMMYFUNCTION("""COMPUTED_VALUE"""),2.25)</f>
        <v>2.25</v>
      </c>
      <c r="F499" s="1">
        <f>IFERROR(__xludf.DUMMYFUNCTION("""COMPUTED_VALUE"""),1523210.0)</f>
        <v>1523210</v>
      </c>
    </row>
    <row r="500">
      <c r="A500" s="2">
        <f>IFERROR(__xludf.DUMMYFUNCTION("""COMPUTED_VALUE"""),42657.66666666667)</f>
        <v>42657.66667</v>
      </c>
      <c r="B500" s="1">
        <f>IFERROR(__xludf.DUMMYFUNCTION("""COMPUTED_VALUE"""),2.27)</f>
        <v>2.27</v>
      </c>
      <c r="C500" s="1">
        <f>IFERROR(__xludf.DUMMYFUNCTION("""COMPUTED_VALUE"""),2.3)</f>
        <v>2.3</v>
      </c>
      <c r="D500" s="1">
        <f>IFERROR(__xludf.DUMMYFUNCTION("""COMPUTED_VALUE"""),2.13)</f>
        <v>2.13</v>
      </c>
      <c r="E500" s="1">
        <f>IFERROR(__xludf.DUMMYFUNCTION("""COMPUTED_VALUE"""),2.14)</f>
        <v>2.14</v>
      </c>
      <c r="F500" s="1">
        <f>IFERROR(__xludf.DUMMYFUNCTION("""COMPUTED_VALUE"""),1447217.0)</f>
        <v>1447217</v>
      </c>
    </row>
    <row r="501">
      <c r="A501" s="2">
        <f>IFERROR(__xludf.DUMMYFUNCTION("""COMPUTED_VALUE"""),42664.66666666667)</f>
        <v>42664.66667</v>
      </c>
      <c r="B501" s="1">
        <f>IFERROR(__xludf.DUMMYFUNCTION("""COMPUTED_VALUE"""),2.14)</f>
        <v>2.14</v>
      </c>
      <c r="C501" s="1">
        <f>IFERROR(__xludf.DUMMYFUNCTION("""COMPUTED_VALUE"""),2.22)</f>
        <v>2.22</v>
      </c>
      <c r="D501" s="1">
        <f>IFERROR(__xludf.DUMMYFUNCTION("""COMPUTED_VALUE"""),2.13)</f>
        <v>2.13</v>
      </c>
      <c r="E501" s="1">
        <f>IFERROR(__xludf.DUMMYFUNCTION("""COMPUTED_VALUE"""),2.15)</f>
        <v>2.15</v>
      </c>
      <c r="F501" s="1">
        <f>IFERROR(__xludf.DUMMYFUNCTION("""COMPUTED_VALUE"""),1162865.0)</f>
        <v>1162865</v>
      </c>
    </row>
    <row r="502">
      <c r="A502" s="2">
        <f>IFERROR(__xludf.DUMMYFUNCTION("""COMPUTED_VALUE"""),42671.66666666667)</f>
        <v>42671.66667</v>
      </c>
      <c r="B502" s="1">
        <f>IFERROR(__xludf.DUMMYFUNCTION("""COMPUTED_VALUE"""),2.15)</f>
        <v>2.15</v>
      </c>
      <c r="C502" s="1">
        <f>IFERROR(__xludf.DUMMYFUNCTION("""COMPUTED_VALUE"""),2.49)</f>
        <v>2.49</v>
      </c>
      <c r="D502" s="1">
        <f>IFERROR(__xludf.DUMMYFUNCTION("""COMPUTED_VALUE"""),2.13)</f>
        <v>2.13</v>
      </c>
      <c r="E502" s="1">
        <f>IFERROR(__xludf.DUMMYFUNCTION("""COMPUTED_VALUE"""),2.44)</f>
        <v>2.44</v>
      </c>
      <c r="F502" s="1">
        <f>IFERROR(__xludf.DUMMYFUNCTION("""COMPUTED_VALUE"""),2753751.0)</f>
        <v>2753751</v>
      </c>
    </row>
    <row r="503">
      <c r="A503" s="2">
        <f>IFERROR(__xludf.DUMMYFUNCTION("""COMPUTED_VALUE"""),42678.66666666667)</f>
        <v>42678.66667</v>
      </c>
      <c r="B503" s="1">
        <f>IFERROR(__xludf.DUMMYFUNCTION("""COMPUTED_VALUE"""),2.44)</f>
        <v>2.44</v>
      </c>
      <c r="C503" s="1">
        <f>IFERROR(__xludf.DUMMYFUNCTION("""COMPUTED_VALUE"""),2.47)</f>
        <v>2.47</v>
      </c>
      <c r="D503" s="1">
        <f>IFERROR(__xludf.DUMMYFUNCTION("""COMPUTED_VALUE"""),2.2)</f>
        <v>2.2</v>
      </c>
      <c r="E503" s="1">
        <f>IFERROR(__xludf.DUMMYFUNCTION("""COMPUTED_VALUE"""),2.21)</f>
        <v>2.21</v>
      </c>
      <c r="F503" s="1">
        <f>IFERROR(__xludf.DUMMYFUNCTION("""COMPUTED_VALUE"""),2338941.0)</f>
        <v>2338941</v>
      </c>
    </row>
    <row r="504">
      <c r="A504" s="2">
        <f>IFERROR(__xludf.DUMMYFUNCTION("""COMPUTED_VALUE"""),42685.66666666667)</f>
        <v>42685.66667</v>
      </c>
      <c r="B504" s="1">
        <f>IFERROR(__xludf.DUMMYFUNCTION("""COMPUTED_VALUE"""),2.26)</f>
        <v>2.26</v>
      </c>
      <c r="C504" s="1">
        <f>IFERROR(__xludf.DUMMYFUNCTION("""COMPUTED_VALUE"""),2.56)</f>
        <v>2.56</v>
      </c>
      <c r="D504" s="1">
        <f>IFERROR(__xludf.DUMMYFUNCTION("""COMPUTED_VALUE"""),2.21)</f>
        <v>2.21</v>
      </c>
      <c r="E504" s="1">
        <f>IFERROR(__xludf.DUMMYFUNCTION("""COMPUTED_VALUE"""),2.55)</f>
        <v>2.55</v>
      </c>
      <c r="F504" s="1">
        <f>IFERROR(__xludf.DUMMYFUNCTION("""COMPUTED_VALUE"""),2191714.0)</f>
        <v>2191714</v>
      </c>
    </row>
    <row r="505">
      <c r="A505" s="2">
        <f>IFERROR(__xludf.DUMMYFUNCTION("""COMPUTED_VALUE"""),42692.66666666667)</f>
        <v>42692.66667</v>
      </c>
      <c r="B505" s="1">
        <f>IFERROR(__xludf.DUMMYFUNCTION("""COMPUTED_VALUE"""),2.57)</f>
        <v>2.57</v>
      </c>
      <c r="C505" s="1">
        <f>IFERROR(__xludf.DUMMYFUNCTION("""COMPUTED_VALUE"""),2.63)</f>
        <v>2.63</v>
      </c>
      <c r="D505" s="1">
        <f>IFERROR(__xludf.DUMMYFUNCTION("""COMPUTED_VALUE"""),2.54)</f>
        <v>2.54</v>
      </c>
      <c r="E505" s="1">
        <f>IFERROR(__xludf.DUMMYFUNCTION("""COMPUTED_VALUE"""),2.6)</f>
        <v>2.6</v>
      </c>
      <c r="F505" s="1">
        <f>IFERROR(__xludf.DUMMYFUNCTION("""COMPUTED_VALUE"""),1450503.0)</f>
        <v>1450503</v>
      </c>
    </row>
    <row r="506">
      <c r="A506" s="2">
        <f>IFERROR(__xludf.DUMMYFUNCTION("""COMPUTED_VALUE"""),42699.66666666667)</f>
        <v>42699.66667</v>
      </c>
      <c r="B506" s="1">
        <f>IFERROR(__xludf.DUMMYFUNCTION("""COMPUTED_VALUE"""),2.6)</f>
        <v>2.6</v>
      </c>
      <c r="C506" s="1">
        <f>IFERROR(__xludf.DUMMYFUNCTION("""COMPUTED_VALUE"""),2.7)</f>
        <v>2.7</v>
      </c>
      <c r="D506" s="1">
        <f>IFERROR(__xludf.DUMMYFUNCTION("""COMPUTED_VALUE"""),2.59)</f>
        <v>2.59</v>
      </c>
      <c r="E506" s="1">
        <f>IFERROR(__xludf.DUMMYFUNCTION("""COMPUTED_VALUE"""),2.69)</f>
        <v>2.69</v>
      </c>
      <c r="F506" s="1">
        <f>IFERROR(__xludf.DUMMYFUNCTION("""COMPUTED_VALUE"""),950850.0)</f>
        <v>950850</v>
      </c>
    </row>
    <row r="507">
      <c r="A507" s="2">
        <f>IFERROR(__xludf.DUMMYFUNCTION("""COMPUTED_VALUE"""),42706.66666666667)</f>
        <v>42706.66667</v>
      </c>
      <c r="B507" s="1">
        <f>IFERROR(__xludf.DUMMYFUNCTION("""COMPUTED_VALUE"""),2.66)</f>
        <v>2.66</v>
      </c>
      <c r="C507" s="1">
        <f>IFERROR(__xludf.DUMMYFUNCTION("""COMPUTED_VALUE"""),2.77)</f>
        <v>2.77</v>
      </c>
      <c r="D507" s="1">
        <f>IFERROR(__xludf.DUMMYFUNCTION("""COMPUTED_VALUE"""),2.6)</f>
        <v>2.6</v>
      </c>
      <c r="E507" s="1">
        <f>IFERROR(__xludf.DUMMYFUNCTION("""COMPUTED_VALUE"""),2.7)</f>
        <v>2.7</v>
      </c>
      <c r="F507" s="1">
        <f>IFERROR(__xludf.DUMMYFUNCTION("""COMPUTED_VALUE"""),1698771.0)</f>
        <v>1698771</v>
      </c>
    </row>
    <row r="508">
      <c r="A508" s="2">
        <f>IFERROR(__xludf.DUMMYFUNCTION("""COMPUTED_VALUE"""),42713.66666666667)</f>
        <v>42713.66667</v>
      </c>
      <c r="B508" s="1">
        <f>IFERROR(__xludf.DUMMYFUNCTION("""COMPUTED_VALUE"""),2.72)</f>
        <v>2.72</v>
      </c>
      <c r="C508" s="1">
        <f>IFERROR(__xludf.DUMMYFUNCTION("""COMPUTED_VALUE"""),2.93)</f>
        <v>2.93</v>
      </c>
      <c r="D508" s="1">
        <f>IFERROR(__xludf.DUMMYFUNCTION("""COMPUTED_VALUE"""),2.7)</f>
        <v>2.7</v>
      </c>
      <c r="E508" s="1">
        <f>IFERROR(__xludf.DUMMYFUNCTION("""COMPUTED_VALUE"""),2.85)</f>
        <v>2.85</v>
      </c>
      <c r="F508" s="1">
        <f>IFERROR(__xludf.DUMMYFUNCTION("""COMPUTED_VALUE"""),1624053.0)</f>
        <v>1624053</v>
      </c>
    </row>
    <row r="509">
      <c r="A509" s="2">
        <f>IFERROR(__xludf.DUMMYFUNCTION("""COMPUTED_VALUE"""),42720.66666666667)</f>
        <v>42720.66667</v>
      </c>
      <c r="B509" s="1">
        <f>IFERROR(__xludf.DUMMYFUNCTION("""COMPUTED_VALUE"""),2.84)</f>
        <v>2.84</v>
      </c>
      <c r="C509" s="1">
        <f>IFERROR(__xludf.DUMMYFUNCTION("""COMPUTED_VALUE"""),2.89)</f>
        <v>2.89</v>
      </c>
      <c r="D509" s="1">
        <f>IFERROR(__xludf.DUMMYFUNCTION("""COMPUTED_VALUE"""),2.74)</f>
        <v>2.74</v>
      </c>
      <c r="E509" s="1">
        <f>IFERROR(__xludf.DUMMYFUNCTION("""COMPUTED_VALUE"""),2.83)</f>
        <v>2.83</v>
      </c>
      <c r="F509" s="1">
        <f>IFERROR(__xludf.DUMMYFUNCTION("""COMPUTED_VALUE"""),1667047.0)</f>
        <v>1667047</v>
      </c>
    </row>
    <row r="510">
      <c r="A510" s="2">
        <f>IFERROR(__xludf.DUMMYFUNCTION("""COMPUTED_VALUE"""),42727.66666666667)</f>
        <v>42727.66667</v>
      </c>
      <c r="B510" s="1">
        <f>IFERROR(__xludf.DUMMYFUNCTION("""COMPUTED_VALUE"""),2.85)</f>
        <v>2.85</v>
      </c>
      <c r="C510" s="1">
        <f>IFERROR(__xludf.DUMMYFUNCTION("""COMPUTED_VALUE"""),2.96)</f>
        <v>2.96</v>
      </c>
      <c r="D510" s="1">
        <f>IFERROR(__xludf.DUMMYFUNCTION("""COMPUTED_VALUE"""),2.79)</f>
        <v>2.79</v>
      </c>
      <c r="E510" s="1">
        <f>IFERROR(__xludf.DUMMYFUNCTION("""COMPUTED_VALUE"""),2.87)</f>
        <v>2.87</v>
      </c>
      <c r="F510" s="1">
        <f>IFERROR(__xludf.DUMMYFUNCTION("""COMPUTED_VALUE"""),1191486.0)</f>
        <v>1191486</v>
      </c>
    </row>
    <row r="511">
      <c r="A511" s="2">
        <f>IFERROR(__xludf.DUMMYFUNCTION("""COMPUTED_VALUE"""),42734.66666666667)</f>
        <v>42734.66667</v>
      </c>
      <c r="B511" s="1">
        <f>IFERROR(__xludf.DUMMYFUNCTION("""COMPUTED_VALUE"""),2.89)</f>
        <v>2.89</v>
      </c>
      <c r="C511" s="1">
        <f>IFERROR(__xludf.DUMMYFUNCTION("""COMPUTED_VALUE"""),2.89)</f>
        <v>2.89</v>
      </c>
      <c r="D511" s="1">
        <f>IFERROR(__xludf.DUMMYFUNCTION("""COMPUTED_VALUE"""),2.79)</f>
        <v>2.79</v>
      </c>
      <c r="E511" s="1">
        <f>IFERROR(__xludf.DUMMYFUNCTION("""COMPUTED_VALUE"""),2.81)</f>
        <v>2.81</v>
      </c>
      <c r="F511" s="1">
        <f>IFERROR(__xludf.DUMMYFUNCTION("""COMPUTED_VALUE"""),947102.0)</f>
        <v>947102</v>
      </c>
    </row>
    <row r="512">
      <c r="A512" s="2">
        <f>IFERROR(__xludf.DUMMYFUNCTION("""COMPUTED_VALUE"""),42741.66666666667)</f>
        <v>42741.66667</v>
      </c>
      <c r="B512" s="1">
        <f>IFERROR(__xludf.DUMMYFUNCTION("""COMPUTED_VALUE"""),2.83)</f>
        <v>2.83</v>
      </c>
      <c r="C512" s="1">
        <f>IFERROR(__xludf.DUMMYFUNCTION("""COMPUTED_VALUE"""),2.9)</f>
        <v>2.9</v>
      </c>
      <c r="D512" s="1">
        <f>IFERROR(__xludf.DUMMYFUNCTION("""COMPUTED_VALUE"""),2.81)</f>
        <v>2.81</v>
      </c>
      <c r="E512" s="1">
        <f>IFERROR(__xludf.DUMMYFUNCTION("""COMPUTED_VALUE"""),2.85)</f>
        <v>2.85</v>
      </c>
      <c r="F512" s="1">
        <f>IFERROR(__xludf.DUMMYFUNCTION("""COMPUTED_VALUE"""),695650.0)</f>
        <v>695650</v>
      </c>
    </row>
    <row r="513">
      <c r="A513" s="2">
        <f>IFERROR(__xludf.DUMMYFUNCTION("""COMPUTED_VALUE"""),42748.66666666667)</f>
        <v>42748.66667</v>
      </c>
      <c r="B513" s="1">
        <f>IFERROR(__xludf.DUMMYFUNCTION("""COMPUTED_VALUE"""),2.85)</f>
        <v>2.85</v>
      </c>
      <c r="C513" s="1">
        <f>IFERROR(__xludf.DUMMYFUNCTION("""COMPUTED_VALUE"""),2.89)</f>
        <v>2.89</v>
      </c>
      <c r="D513" s="1">
        <f>IFERROR(__xludf.DUMMYFUNCTION("""COMPUTED_VALUE"""),2.74)</f>
        <v>2.74</v>
      </c>
      <c r="E513" s="1">
        <f>IFERROR(__xludf.DUMMYFUNCTION("""COMPUTED_VALUE"""),2.82)</f>
        <v>2.82</v>
      </c>
      <c r="F513" s="1">
        <f>IFERROR(__xludf.DUMMYFUNCTION("""COMPUTED_VALUE"""),1491991.0)</f>
        <v>1491991</v>
      </c>
    </row>
    <row r="514">
      <c r="A514" s="2">
        <f>IFERROR(__xludf.DUMMYFUNCTION("""COMPUTED_VALUE"""),42755.66666666667)</f>
        <v>42755.66667</v>
      </c>
      <c r="B514" s="1">
        <f>IFERROR(__xludf.DUMMYFUNCTION("""COMPUTED_VALUE"""),2.82)</f>
        <v>2.82</v>
      </c>
      <c r="C514" s="1">
        <f>IFERROR(__xludf.DUMMYFUNCTION("""COMPUTED_VALUE"""),2.82)</f>
        <v>2.82</v>
      </c>
      <c r="D514" s="1">
        <f>IFERROR(__xludf.DUMMYFUNCTION("""COMPUTED_VALUE"""),2.68)</f>
        <v>2.68</v>
      </c>
      <c r="E514" s="1">
        <f>IFERROR(__xludf.DUMMYFUNCTION("""COMPUTED_VALUE"""),2.77)</f>
        <v>2.77</v>
      </c>
      <c r="F514" s="1">
        <f>IFERROR(__xludf.DUMMYFUNCTION("""COMPUTED_VALUE"""),1479221.0)</f>
        <v>1479221</v>
      </c>
    </row>
    <row r="515">
      <c r="A515" s="2">
        <f>IFERROR(__xludf.DUMMYFUNCTION("""COMPUTED_VALUE"""),42762.66666666667)</f>
        <v>42762.66667</v>
      </c>
      <c r="B515" s="1">
        <f>IFERROR(__xludf.DUMMYFUNCTION("""COMPUTED_VALUE"""),2.76)</f>
        <v>2.76</v>
      </c>
      <c r="C515" s="1">
        <f>IFERROR(__xludf.DUMMYFUNCTION("""COMPUTED_VALUE"""),3.17)</f>
        <v>3.17</v>
      </c>
      <c r="D515" s="1">
        <f>IFERROR(__xludf.DUMMYFUNCTION("""COMPUTED_VALUE"""),2.66)</f>
        <v>2.66</v>
      </c>
      <c r="E515" s="1">
        <f>IFERROR(__xludf.DUMMYFUNCTION("""COMPUTED_VALUE"""),2.67)</f>
        <v>2.67</v>
      </c>
      <c r="F515" s="1">
        <f>IFERROR(__xludf.DUMMYFUNCTION("""COMPUTED_VALUE"""),3145749.0)</f>
        <v>3145749</v>
      </c>
    </row>
    <row r="516">
      <c r="A516" s="2">
        <f>IFERROR(__xludf.DUMMYFUNCTION("""COMPUTED_VALUE"""),42769.66666666667)</f>
        <v>42769.66667</v>
      </c>
      <c r="B516" s="1">
        <f>IFERROR(__xludf.DUMMYFUNCTION("""COMPUTED_VALUE"""),2.63)</f>
        <v>2.63</v>
      </c>
      <c r="C516" s="1">
        <f>IFERROR(__xludf.DUMMYFUNCTION("""COMPUTED_VALUE"""),2.7)</f>
        <v>2.7</v>
      </c>
      <c r="D516" s="1">
        <f>IFERROR(__xludf.DUMMYFUNCTION("""COMPUTED_VALUE"""),2.49)</f>
        <v>2.49</v>
      </c>
      <c r="E516" s="1">
        <f>IFERROR(__xludf.DUMMYFUNCTION("""COMPUTED_VALUE"""),2.58)</f>
        <v>2.58</v>
      </c>
      <c r="F516" s="1">
        <f>IFERROR(__xludf.DUMMYFUNCTION("""COMPUTED_VALUE"""),2723750.0)</f>
        <v>2723750</v>
      </c>
    </row>
    <row r="517">
      <c r="A517" s="2">
        <f>IFERROR(__xludf.DUMMYFUNCTION("""COMPUTED_VALUE"""),42776.66666666667)</f>
        <v>42776.66667</v>
      </c>
      <c r="B517" s="1">
        <f>IFERROR(__xludf.DUMMYFUNCTION("""COMPUTED_VALUE"""),2.58)</f>
        <v>2.58</v>
      </c>
      <c r="C517" s="1">
        <f>IFERROR(__xludf.DUMMYFUNCTION("""COMPUTED_VALUE"""),2.7)</f>
        <v>2.7</v>
      </c>
      <c r="D517" s="1">
        <f>IFERROR(__xludf.DUMMYFUNCTION("""COMPUTED_VALUE"""),2.55)</f>
        <v>2.55</v>
      </c>
      <c r="E517" s="1">
        <f>IFERROR(__xludf.DUMMYFUNCTION("""COMPUTED_VALUE"""),2.66)</f>
        <v>2.66</v>
      </c>
      <c r="F517" s="1">
        <f>IFERROR(__xludf.DUMMYFUNCTION("""COMPUTED_VALUE"""),1464379.0)</f>
        <v>1464379</v>
      </c>
    </row>
    <row r="518">
      <c r="A518" s="2">
        <f>IFERROR(__xludf.DUMMYFUNCTION("""COMPUTED_VALUE"""),42783.66666666667)</f>
        <v>42783.66667</v>
      </c>
      <c r="B518" s="1">
        <f>IFERROR(__xludf.DUMMYFUNCTION("""COMPUTED_VALUE"""),2.68)</f>
        <v>2.68</v>
      </c>
      <c r="C518" s="1">
        <f>IFERROR(__xludf.DUMMYFUNCTION("""COMPUTED_VALUE"""),2.75)</f>
        <v>2.75</v>
      </c>
      <c r="D518" s="1">
        <f>IFERROR(__xludf.DUMMYFUNCTION("""COMPUTED_VALUE"""),2.65)</f>
        <v>2.65</v>
      </c>
      <c r="E518" s="1">
        <f>IFERROR(__xludf.DUMMYFUNCTION("""COMPUTED_VALUE"""),2.71)</f>
        <v>2.71</v>
      </c>
      <c r="F518" s="1">
        <f>IFERROR(__xludf.DUMMYFUNCTION("""COMPUTED_VALUE"""),1292529.0)</f>
        <v>1292529</v>
      </c>
    </row>
    <row r="519">
      <c r="A519" s="2">
        <f>IFERROR(__xludf.DUMMYFUNCTION("""COMPUTED_VALUE"""),42790.66666666667)</f>
        <v>42790.66667</v>
      </c>
      <c r="B519" s="1">
        <f>IFERROR(__xludf.DUMMYFUNCTION("""COMPUTED_VALUE"""),2.7)</f>
        <v>2.7</v>
      </c>
      <c r="C519" s="1">
        <f>IFERROR(__xludf.DUMMYFUNCTION("""COMPUTED_VALUE"""),2.75)</f>
        <v>2.75</v>
      </c>
      <c r="D519" s="1">
        <f>IFERROR(__xludf.DUMMYFUNCTION("""COMPUTED_VALUE"""),2.57)</f>
        <v>2.57</v>
      </c>
      <c r="E519" s="1">
        <f>IFERROR(__xludf.DUMMYFUNCTION("""COMPUTED_VALUE"""),2.7)</f>
        <v>2.7</v>
      </c>
      <c r="F519" s="1">
        <f>IFERROR(__xludf.DUMMYFUNCTION("""COMPUTED_VALUE"""),1583913.0)</f>
        <v>1583913</v>
      </c>
    </row>
    <row r="520">
      <c r="A520" s="2">
        <f>IFERROR(__xludf.DUMMYFUNCTION("""COMPUTED_VALUE"""),42797.66666666667)</f>
        <v>42797.66667</v>
      </c>
      <c r="B520" s="1">
        <f>IFERROR(__xludf.DUMMYFUNCTION("""COMPUTED_VALUE"""),2.7)</f>
        <v>2.7</v>
      </c>
      <c r="C520" s="1">
        <f>IFERROR(__xludf.DUMMYFUNCTION("""COMPUTED_VALUE"""),2.7)</f>
        <v>2.7</v>
      </c>
      <c r="D520" s="1">
        <f>IFERROR(__xludf.DUMMYFUNCTION("""COMPUTED_VALUE"""),2.52)</f>
        <v>2.52</v>
      </c>
      <c r="E520" s="1">
        <f>IFERROR(__xludf.DUMMYFUNCTION("""COMPUTED_VALUE"""),2.53)</f>
        <v>2.53</v>
      </c>
      <c r="F520" s="1">
        <f>IFERROR(__xludf.DUMMYFUNCTION("""COMPUTED_VALUE"""),2565404.0)</f>
        <v>2565404</v>
      </c>
    </row>
    <row r="521">
      <c r="A521" s="2">
        <f>IFERROR(__xludf.DUMMYFUNCTION("""COMPUTED_VALUE"""),42804.66666666667)</f>
        <v>42804.66667</v>
      </c>
      <c r="B521" s="1">
        <f>IFERROR(__xludf.DUMMYFUNCTION("""COMPUTED_VALUE"""),2.51)</f>
        <v>2.51</v>
      </c>
      <c r="C521" s="1">
        <f>IFERROR(__xludf.DUMMYFUNCTION("""COMPUTED_VALUE"""),2.55)</f>
        <v>2.55</v>
      </c>
      <c r="D521" s="1">
        <f>IFERROR(__xludf.DUMMYFUNCTION("""COMPUTED_VALUE"""),2.44)</f>
        <v>2.44</v>
      </c>
      <c r="E521" s="1">
        <f>IFERROR(__xludf.DUMMYFUNCTION("""COMPUTED_VALUE"""),2.5)</f>
        <v>2.5</v>
      </c>
      <c r="F521" s="1">
        <f>IFERROR(__xludf.DUMMYFUNCTION("""COMPUTED_VALUE"""),1278460.0)</f>
        <v>1278460</v>
      </c>
    </row>
    <row r="522">
      <c r="A522" s="2">
        <f>IFERROR(__xludf.DUMMYFUNCTION("""COMPUTED_VALUE"""),42811.66666666667)</f>
        <v>42811.66667</v>
      </c>
      <c r="B522" s="1">
        <f>IFERROR(__xludf.DUMMYFUNCTION("""COMPUTED_VALUE"""),2.5)</f>
        <v>2.5</v>
      </c>
      <c r="C522" s="1">
        <f>IFERROR(__xludf.DUMMYFUNCTION("""COMPUTED_VALUE"""),2.56)</f>
        <v>2.56</v>
      </c>
      <c r="D522" s="1">
        <f>IFERROR(__xludf.DUMMYFUNCTION("""COMPUTED_VALUE"""),2.47)</f>
        <v>2.47</v>
      </c>
      <c r="E522" s="1">
        <f>IFERROR(__xludf.DUMMYFUNCTION("""COMPUTED_VALUE"""),2.53)</f>
        <v>2.53</v>
      </c>
      <c r="F522" s="1">
        <f>IFERROR(__xludf.DUMMYFUNCTION("""COMPUTED_VALUE"""),1283810.0)</f>
        <v>1283810</v>
      </c>
    </row>
    <row r="523">
      <c r="A523" s="2">
        <f>IFERROR(__xludf.DUMMYFUNCTION("""COMPUTED_VALUE"""),42818.66666666667)</f>
        <v>42818.66667</v>
      </c>
      <c r="B523" s="1">
        <f>IFERROR(__xludf.DUMMYFUNCTION("""COMPUTED_VALUE"""),2.54)</f>
        <v>2.54</v>
      </c>
      <c r="C523" s="1">
        <f>IFERROR(__xludf.DUMMYFUNCTION("""COMPUTED_VALUE"""),2.59)</f>
        <v>2.59</v>
      </c>
      <c r="D523" s="1">
        <f>IFERROR(__xludf.DUMMYFUNCTION("""COMPUTED_VALUE"""),2.44)</f>
        <v>2.44</v>
      </c>
      <c r="E523" s="1">
        <f>IFERROR(__xludf.DUMMYFUNCTION("""COMPUTED_VALUE"""),2.55)</f>
        <v>2.55</v>
      </c>
      <c r="F523" s="1">
        <f>IFERROR(__xludf.DUMMYFUNCTION("""COMPUTED_VALUE"""),1123469.0)</f>
        <v>1123469</v>
      </c>
    </row>
    <row r="524">
      <c r="A524" s="2">
        <f>IFERROR(__xludf.DUMMYFUNCTION("""COMPUTED_VALUE"""),42825.66666666667)</f>
        <v>42825.66667</v>
      </c>
      <c r="B524" s="1">
        <f>IFERROR(__xludf.DUMMYFUNCTION("""COMPUTED_VALUE"""),2.52)</f>
        <v>2.52</v>
      </c>
      <c r="C524" s="1">
        <f>IFERROR(__xludf.DUMMYFUNCTION("""COMPUTED_VALUE"""),2.58)</f>
        <v>2.58</v>
      </c>
      <c r="D524" s="1">
        <f>IFERROR(__xludf.DUMMYFUNCTION("""COMPUTED_VALUE"""),2.49)</f>
        <v>2.49</v>
      </c>
      <c r="E524" s="1">
        <f>IFERROR(__xludf.DUMMYFUNCTION("""COMPUTED_VALUE"""),2.54)</f>
        <v>2.54</v>
      </c>
      <c r="F524" s="1">
        <f>IFERROR(__xludf.DUMMYFUNCTION("""COMPUTED_VALUE"""),2363595.0)</f>
        <v>2363595</v>
      </c>
    </row>
    <row r="525">
      <c r="A525" s="2">
        <f>IFERROR(__xludf.DUMMYFUNCTION("""COMPUTED_VALUE"""),42832.66666666667)</f>
        <v>42832.66667</v>
      </c>
      <c r="B525" s="1">
        <f>IFERROR(__xludf.DUMMYFUNCTION("""COMPUTED_VALUE"""),2.54)</f>
        <v>2.54</v>
      </c>
      <c r="C525" s="1">
        <f>IFERROR(__xludf.DUMMYFUNCTION("""COMPUTED_VALUE"""),2.54)</f>
        <v>2.54</v>
      </c>
      <c r="D525" s="1">
        <f>IFERROR(__xludf.DUMMYFUNCTION("""COMPUTED_VALUE"""),2.42)</f>
        <v>2.42</v>
      </c>
      <c r="E525" s="1">
        <f>IFERROR(__xludf.DUMMYFUNCTION("""COMPUTED_VALUE"""),2.48)</f>
        <v>2.48</v>
      </c>
      <c r="F525" s="1">
        <f>IFERROR(__xludf.DUMMYFUNCTION("""COMPUTED_VALUE"""),1577339.0)</f>
        <v>1577339</v>
      </c>
    </row>
    <row r="526">
      <c r="A526" s="2">
        <f>IFERROR(__xludf.DUMMYFUNCTION("""COMPUTED_VALUE"""),42838.66666666667)</f>
        <v>42838.66667</v>
      </c>
      <c r="B526" s="1">
        <f>IFERROR(__xludf.DUMMYFUNCTION("""COMPUTED_VALUE"""),2.48)</f>
        <v>2.48</v>
      </c>
      <c r="C526" s="1">
        <f>IFERROR(__xludf.DUMMYFUNCTION("""COMPUTED_VALUE"""),2.5)</f>
        <v>2.5</v>
      </c>
      <c r="D526" s="1">
        <f>IFERROR(__xludf.DUMMYFUNCTION("""COMPUTED_VALUE"""),2.44)</f>
        <v>2.44</v>
      </c>
      <c r="E526" s="1">
        <f>IFERROR(__xludf.DUMMYFUNCTION("""COMPUTED_VALUE"""),2.44)</f>
        <v>2.44</v>
      </c>
      <c r="F526" s="1">
        <f>IFERROR(__xludf.DUMMYFUNCTION("""COMPUTED_VALUE"""),1254889.0)</f>
        <v>1254889</v>
      </c>
    </row>
    <row r="527">
      <c r="A527" s="2">
        <f>IFERROR(__xludf.DUMMYFUNCTION("""COMPUTED_VALUE"""),42846.66666666667)</f>
        <v>42846.66667</v>
      </c>
      <c r="B527" s="1">
        <f>IFERROR(__xludf.DUMMYFUNCTION("""COMPUTED_VALUE"""),2.46)</f>
        <v>2.46</v>
      </c>
      <c r="C527" s="1">
        <f>IFERROR(__xludf.DUMMYFUNCTION("""COMPUTED_VALUE"""),2.54)</f>
        <v>2.54</v>
      </c>
      <c r="D527" s="1">
        <f>IFERROR(__xludf.DUMMYFUNCTION("""COMPUTED_VALUE"""),2.42)</f>
        <v>2.42</v>
      </c>
      <c r="E527" s="1">
        <f>IFERROR(__xludf.DUMMYFUNCTION("""COMPUTED_VALUE"""),2.46)</f>
        <v>2.46</v>
      </c>
      <c r="F527" s="1">
        <f>IFERROR(__xludf.DUMMYFUNCTION("""COMPUTED_VALUE"""),1709056.0)</f>
        <v>1709056</v>
      </c>
    </row>
    <row r="528">
      <c r="A528" s="2">
        <f>IFERROR(__xludf.DUMMYFUNCTION("""COMPUTED_VALUE"""),42853.66666666667)</f>
        <v>42853.66667</v>
      </c>
      <c r="B528" s="1">
        <f>IFERROR(__xludf.DUMMYFUNCTION("""COMPUTED_VALUE"""),2.5)</f>
        <v>2.5</v>
      </c>
      <c r="C528" s="1">
        <f>IFERROR(__xludf.DUMMYFUNCTION("""COMPUTED_VALUE"""),2.58)</f>
        <v>2.58</v>
      </c>
      <c r="D528" s="1">
        <f>IFERROR(__xludf.DUMMYFUNCTION("""COMPUTED_VALUE"""),2.23)</f>
        <v>2.23</v>
      </c>
      <c r="E528" s="1">
        <f>IFERROR(__xludf.DUMMYFUNCTION("""COMPUTED_VALUE"""),2.44)</f>
        <v>2.44</v>
      </c>
      <c r="F528" s="1">
        <f>IFERROR(__xludf.DUMMYFUNCTION("""COMPUTED_VALUE"""),4279821.0)</f>
        <v>4279821</v>
      </c>
    </row>
    <row r="529">
      <c r="A529" s="2">
        <f>IFERROR(__xludf.DUMMYFUNCTION("""COMPUTED_VALUE"""),42860.66666666667)</f>
        <v>42860.66667</v>
      </c>
      <c r="B529" s="1">
        <f>IFERROR(__xludf.DUMMYFUNCTION("""COMPUTED_VALUE"""),2.44)</f>
        <v>2.44</v>
      </c>
      <c r="C529" s="1">
        <f>IFERROR(__xludf.DUMMYFUNCTION("""COMPUTED_VALUE"""),2.51)</f>
        <v>2.51</v>
      </c>
      <c r="D529" s="1">
        <f>IFERROR(__xludf.DUMMYFUNCTION("""COMPUTED_VALUE"""),2.32)</f>
        <v>2.32</v>
      </c>
      <c r="E529" s="1">
        <f>IFERROR(__xludf.DUMMYFUNCTION("""COMPUTED_VALUE"""),2.42)</f>
        <v>2.42</v>
      </c>
      <c r="F529" s="1">
        <f>IFERROR(__xludf.DUMMYFUNCTION("""COMPUTED_VALUE"""),2440721.0)</f>
        <v>2440721</v>
      </c>
    </row>
    <row r="530">
      <c r="A530" s="2">
        <f>IFERROR(__xludf.DUMMYFUNCTION("""COMPUTED_VALUE"""),42867.66666666667)</f>
        <v>42867.66667</v>
      </c>
      <c r="B530" s="1">
        <f>IFERROR(__xludf.DUMMYFUNCTION("""COMPUTED_VALUE"""),2.41)</f>
        <v>2.41</v>
      </c>
      <c r="C530" s="1">
        <f>IFERROR(__xludf.DUMMYFUNCTION("""COMPUTED_VALUE"""),2.45)</f>
        <v>2.45</v>
      </c>
      <c r="D530" s="1">
        <f>IFERROR(__xludf.DUMMYFUNCTION("""COMPUTED_VALUE"""),2.35)</f>
        <v>2.35</v>
      </c>
      <c r="E530" s="1">
        <f>IFERROR(__xludf.DUMMYFUNCTION("""COMPUTED_VALUE"""),2.42)</f>
        <v>2.42</v>
      </c>
      <c r="F530" s="1">
        <f>IFERROR(__xludf.DUMMYFUNCTION("""COMPUTED_VALUE"""),1822953.0)</f>
        <v>1822953</v>
      </c>
    </row>
    <row r="531">
      <c r="A531" s="2">
        <f>IFERROR(__xludf.DUMMYFUNCTION("""COMPUTED_VALUE"""),42874.66666666667)</f>
        <v>42874.66667</v>
      </c>
      <c r="B531" s="1">
        <f>IFERROR(__xludf.DUMMYFUNCTION("""COMPUTED_VALUE"""),2.42)</f>
        <v>2.42</v>
      </c>
      <c r="C531" s="1">
        <f>IFERROR(__xludf.DUMMYFUNCTION("""COMPUTED_VALUE"""),2.48)</f>
        <v>2.48</v>
      </c>
      <c r="D531" s="1">
        <f>IFERROR(__xludf.DUMMYFUNCTION("""COMPUTED_VALUE"""),2.33)</f>
        <v>2.33</v>
      </c>
      <c r="E531" s="1">
        <f>IFERROR(__xludf.DUMMYFUNCTION("""COMPUTED_VALUE"""),2.42)</f>
        <v>2.42</v>
      </c>
      <c r="F531" s="1">
        <f>IFERROR(__xludf.DUMMYFUNCTION("""COMPUTED_VALUE"""),2547640.0)</f>
        <v>2547640</v>
      </c>
    </row>
    <row r="532">
      <c r="A532" s="2">
        <f>IFERROR(__xludf.DUMMYFUNCTION("""COMPUTED_VALUE"""),42881.66666666667)</f>
        <v>42881.66667</v>
      </c>
      <c r="B532" s="1">
        <f>IFERROR(__xludf.DUMMYFUNCTION("""COMPUTED_VALUE"""),2.42)</f>
        <v>2.42</v>
      </c>
      <c r="C532" s="1">
        <f>IFERROR(__xludf.DUMMYFUNCTION("""COMPUTED_VALUE"""),2.47)</f>
        <v>2.47</v>
      </c>
      <c r="D532" s="1">
        <f>IFERROR(__xludf.DUMMYFUNCTION("""COMPUTED_VALUE"""),2.4)</f>
        <v>2.4</v>
      </c>
      <c r="E532" s="1">
        <f>IFERROR(__xludf.DUMMYFUNCTION("""COMPUTED_VALUE"""),2.43)</f>
        <v>2.43</v>
      </c>
      <c r="F532" s="1">
        <f>IFERROR(__xludf.DUMMYFUNCTION("""COMPUTED_VALUE"""),1896560.0)</f>
        <v>1896560</v>
      </c>
    </row>
    <row r="533">
      <c r="A533" s="2">
        <f>IFERROR(__xludf.DUMMYFUNCTION("""COMPUTED_VALUE"""),42888.66666666667)</f>
        <v>42888.66667</v>
      </c>
      <c r="B533" s="1">
        <f>IFERROR(__xludf.DUMMYFUNCTION("""COMPUTED_VALUE"""),2.42)</f>
        <v>2.42</v>
      </c>
      <c r="C533" s="1">
        <f>IFERROR(__xludf.DUMMYFUNCTION("""COMPUTED_VALUE"""),2.49)</f>
        <v>2.49</v>
      </c>
      <c r="D533" s="1">
        <f>IFERROR(__xludf.DUMMYFUNCTION("""COMPUTED_VALUE"""),2.38)</f>
        <v>2.38</v>
      </c>
      <c r="E533" s="1">
        <f>IFERROR(__xludf.DUMMYFUNCTION("""COMPUTED_VALUE"""),2.46)</f>
        <v>2.46</v>
      </c>
      <c r="F533" s="1">
        <f>IFERROR(__xludf.DUMMYFUNCTION("""COMPUTED_VALUE"""),1703781.0)</f>
        <v>1703781</v>
      </c>
    </row>
    <row r="534">
      <c r="A534" s="2">
        <f>IFERROR(__xludf.DUMMYFUNCTION("""COMPUTED_VALUE"""),42895.66666666667)</f>
        <v>42895.66667</v>
      </c>
      <c r="B534" s="1">
        <f>IFERROR(__xludf.DUMMYFUNCTION("""COMPUTED_VALUE"""),2.47)</f>
        <v>2.47</v>
      </c>
      <c r="C534" s="1">
        <f>IFERROR(__xludf.DUMMYFUNCTION("""COMPUTED_VALUE"""),2.52)</f>
        <v>2.52</v>
      </c>
      <c r="D534" s="1">
        <f>IFERROR(__xludf.DUMMYFUNCTION("""COMPUTED_VALUE"""),2.35)</f>
        <v>2.35</v>
      </c>
      <c r="E534" s="1">
        <f>IFERROR(__xludf.DUMMYFUNCTION("""COMPUTED_VALUE"""),2.48)</f>
        <v>2.48</v>
      </c>
      <c r="F534" s="1">
        <f>IFERROR(__xludf.DUMMYFUNCTION("""COMPUTED_VALUE"""),2000574.0)</f>
        <v>2000574</v>
      </c>
    </row>
    <row r="535">
      <c r="A535" s="2">
        <f>IFERROR(__xludf.DUMMYFUNCTION("""COMPUTED_VALUE"""),42902.66666666667)</f>
        <v>42902.66667</v>
      </c>
      <c r="B535" s="1">
        <f>IFERROR(__xludf.DUMMYFUNCTION("""COMPUTED_VALUE"""),2.46)</f>
        <v>2.46</v>
      </c>
      <c r="C535" s="1">
        <f>IFERROR(__xludf.DUMMYFUNCTION("""COMPUTED_VALUE"""),2.55)</f>
        <v>2.55</v>
      </c>
      <c r="D535" s="1">
        <f>IFERROR(__xludf.DUMMYFUNCTION("""COMPUTED_VALUE"""),2.41)</f>
        <v>2.41</v>
      </c>
      <c r="E535" s="1">
        <f>IFERROR(__xludf.DUMMYFUNCTION("""COMPUTED_VALUE"""),2.5)</f>
        <v>2.5</v>
      </c>
      <c r="F535" s="1">
        <f>IFERROR(__xludf.DUMMYFUNCTION("""COMPUTED_VALUE"""),2320230.0)</f>
        <v>2320230</v>
      </c>
    </row>
    <row r="536">
      <c r="A536" s="2">
        <f>IFERROR(__xludf.DUMMYFUNCTION("""COMPUTED_VALUE"""),42909.66666666667)</f>
        <v>42909.66667</v>
      </c>
      <c r="B536" s="1">
        <f>IFERROR(__xludf.DUMMYFUNCTION("""COMPUTED_VALUE"""),2.49)</f>
        <v>2.49</v>
      </c>
      <c r="C536" s="1">
        <f>IFERROR(__xludf.DUMMYFUNCTION("""COMPUTED_VALUE"""),2.51)</f>
        <v>2.51</v>
      </c>
      <c r="D536" s="1">
        <f>IFERROR(__xludf.DUMMYFUNCTION("""COMPUTED_VALUE"""),2.38)</f>
        <v>2.38</v>
      </c>
      <c r="E536" s="1">
        <f>IFERROR(__xludf.DUMMYFUNCTION("""COMPUTED_VALUE"""),2.46)</f>
        <v>2.46</v>
      </c>
      <c r="F536" s="1">
        <f>IFERROR(__xludf.DUMMYFUNCTION("""COMPUTED_VALUE"""),1272050.0)</f>
        <v>1272050</v>
      </c>
    </row>
    <row r="537">
      <c r="A537" s="2">
        <f>IFERROR(__xludf.DUMMYFUNCTION("""COMPUTED_VALUE"""),42916.66666666667)</f>
        <v>42916.66667</v>
      </c>
      <c r="B537" s="1">
        <f>IFERROR(__xludf.DUMMYFUNCTION("""COMPUTED_VALUE"""),2.47)</f>
        <v>2.47</v>
      </c>
      <c r="C537" s="1">
        <f>IFERROR(__xludf.DUMMYFUNCTION("""COMPUTED_VALUE"""),2.5)</f>
        <v>2.5</v>
      </c>
      <c r="D537" s="1">
        <f>IFERROR(__xludf.DUMMYFUNCTION("""COMPUTED_VALUE"""),2.38)</f>
        <v>2.38</v>
      </c>
      <c r="E537" s="1">
        <f>IFERROR(__xludf.DUMMYFUNCTION("""COMPUTED_VALUE"""),2.47)</f>
        <v>2.47</v>
      </c>
      <c r="F537" s="1">
        <f>IFERROR(__xludf.DUMMYFUNCTION("""COMPUTED_VALUE"""),1388146.0)</f>
        <v>1388146</v>
      </c>
    </row>
    <row r="538">
      <c r="A538" s="2">
        <f>IFERROR(__xludf.DUMMYFUNCTION("""COMPUTED_VALUE"""),42923.66666666667)</f>
        <v>42923.66667</v>
      </c>
      <c r="B538" s="1">
        <f>IFERROR(__xludf.DUMMYFUNCTION("""COMPUTED_VALUE"""),2.48)</f>
        <v>2.48</v>
      </c>
      <c r="C538" s="1">
        <f>IFERROR(__xludf.DUMMYFUNCTION("""COMPUTED_VALUE"""),2.48)</f>
        <v>2.48</v>
      </c>
      <c r="D538" s="1">
        <f>IFERROR(__xludf.DUMMYFUNCTION("""COMPUTED_VALUE"""),2.38)</f>
        <v>2.38</v>
      </c>
      <c r="E538" s="1">
        <f>IFERROR(__xludf.DUMMYFUNCTION("""COMPUTED_VALUE"""),2.44)</f>
        <v>2.44</v>
      </c>
      <c r="F538" s="1">
        <f>IFERROR(__xludf.DUMMYFUNCTION("""COMPUTED_VALUE"""),814446.0)</f>
        <v>814446</v>
      </c>
    </row>
    <row r="539">
      <c r="A539" s="2">
        <f>IFERROR(__xludf.DUMMYFUNCTION("""COMPUTED_VALUE"""),42930.66666666667)</f>
        <v>42930.66667</v>
      </c>
      <c r="B539" s="1">
        <f>IFERROR(__xludf.DUMMYFUNCTION("""COMPUTED_VALUE"""),2.43)</f>
        <v>2.43</v>
      </c>
      <c r="C539" s="1">
        <f>IFERROR(__xludf.DUMMYFUNCTION("""COMPUTED_VALUE"""),2.7)</f>
        <v>2.7</v>
      </c>
      <c r="D539" s="1">
        <f>IFERROR(__xludf.DUMMYFUNCTION("""COMPUTED_VALUE"""),2.42)</f>
        <v>2.42</v>
      </c>
      <c r="E539" s="1">
        <f>IFERROR(__xludf.DUMMYFUNCTION("""COMPUTED_VALUE"""),2.69)</f>
        <v>2.69</v>
      </c>
      <c r="F539" s="1">
        <f>IFERROR(__xludf.DUMMYFUNCTION("""COMPUTED_VALUE"""),1685798.0)</f>
        <v>1685798</v>
      </c>
    </row>
    <row r="540">
      <c r="A540" s="2">
        <f>IFERROR(__xludf.DUMMYFUNCTION("""COMPUTED_VALUE"""),42937.66666666667)</f>
        <v>42937.66667</v>
      </c>
      <c r="B540" s="1">
        <f>IFERROR(__xludf.DUMMYFUNCTION("""COMPUTED_VALUE"""),2.7)</f>
        <v>2.7</v>
      </c>
      <c r="C540" s="1">
        <f>IFERROR(__xludf.DUMMYFUNCTION("""COMPUTED_VALUE"""),2.76)</f>
        <v>2.76</v>
      </c>
      <c r="D540" s="1">
        <f>IFERROR(__xludf.DUMMYFUNCTION("""COMPUTED_VALUE"""),2.49)</f>
        <v>2.49</v>
      </c>
      <c r="E540" s="1">
        <f>IFERROR(__xludf.DUMMYFUNCTION("""COMPUTED_VALUE"""),2.57)</f>
        <v>2.57</v>
      </c>
      <c r="F540" s="1">
        <f>IFERROR(__xludf.DUMMYFUNCTION("""COMPUTED_VALUE"""),2864813.0)</f>
        <v>2864813</v>
      </c>
    </row>
    <row r="541">
      <c r="A541" s="2">
        <f>IFERROR(__xludf.DUMMYFUNCTION("""COMPUTED_VALUE"""),42944.66666666667)</f>
        <v>42944.66667</v>
      </c>
      <c r="B541" s="1">
        <f>IFERROR(__xludf.DUMMYFUNCTION("""COMPUTED_VALUE"""),2.58)</f>
        <v>2.58</v>
      </c>
      <c r="C541" s="1">
        <f>IFERROR(__xludf.DUMMYFUNCTION("""COMPUTED_VALUE"""),2.74)</f>
        <v>2.74</v>
      </c>
      <c r="D541" s="1">
        <f>IFERROR(__xludf.DUMMYFUNCTION("""COMPUTED_VALUE"""),2.5)</f>
        <v>2.5</v>
      </c>
      <c r="E541" s="1">
        <f>IFERROR(__xludf.DUMMYFUNCTION("""COMPUTED_VALUE"""),2.68)</f>
        <v>2.68</v>
      </c>
      <c r="F541" s="1">
        <f>IFERROR(__xludf.DUMMYFUNCTION("""COMPUTED_VALUE"""),2409157.0)</f>
        <v>2409157</v>
      </c>
    </row>
    <row r="542">
      <c r="A542" s="2">
        <f>IFERROR(__xludf.DUMMYFUNCTION("""COMPUTED_VALUE"""),42951.66666666667)</f>
        <v>42951.66667</v>
      </c>
      <c r="B542" s="1">
        <f>IFERROR(__xludf.DUMMYFUNCTION("""COMPUTED_VALUE"""),2.7)</f>
        <v>2.7</v>
      </c>
      <c r="C542" s="1">
        <f>IFERROR(__xludf.DUMMYFUNCTION("""COMPUTED_VALUE"""),2.78)</f>
        <v>2.78</v>
      </c>
      <c r="D542" s="1">
        <f>IFERROR(__xludf.DUMMYFUNCTION("""COMPUTED_VALUE"""),2.55)</f>
        <v>2.55</v>
      </c>
      <c r="E542" s="1">
        <f>IFERROR(__xludf.DUMMYFUNCTION("""COMPUTED_VALUE"""),2.71)</f>
        <v>2.71</v>
      </c>
      <c r="F542" s="1">
        <f>IFERROR(__xludf.DUMMYFUNCTION("""COMPUTED_VALUE"""),2820566.0)</f>
        <v>2820566</v>
      </c>
    </row>
    <row r="543">
      <c r="A543" s="2">
        <f>IFERROR(__xludf.DUMMYFUNCTION("""COMPUTED_VALUE"""),42958.66666666667)</f>
        <v>42958.66667</v>
      </c>
      <c r="B543" s="1">
        <f>IFERROR(__xludf.DUMMYFUNCTION("""COMPUTED_VALUE"""),2.71)</f>
        <v>2.71</v>
      </c>
      <c r="C543" s="1">
        <f>IFERROR(__xludf.DUMMYFUNCTION("""COMPUTED_VALUE"""),2.72)</f>
        <v>2.72</v>
      </c>
      <c r="D543" s="1">
        <f>IFERROR(__xludf.DUMMYFUNCTION("""COMPUTED_VALUE"""),2.63)</f>
        <v>2.63</v>
      </c>
      <c r="E543" s="1">
        <f>IFERROR(__xludf.DUMMYFUNCTION("""COMPUTED_VALUE"""),2.69)</f>
        <v>2.69</v>
      </c>
      <c r="F543" s="1">
        <f>IFERROR(__xludf.DUMMYFUNCTION("""COMPUTED_VALUE"""),2371097.0)</f>
        <v>2371097</v>
      </c>
    </row>
    <row r="544">
      <c r="A544" s="2">
        <f>IFERROR(__xludf.DUMMYFUNCTION("""COMPUTED_VALUE"""),42965.66666666667)</f>
        <v>42965.66667</v>
      </c>
      <c r="B544" s="1">
        <f>IFERROR(__xludf.DUMMYFUNCTION("""COMPUTED_VALUE"""),2.69)</f>
        <v>2.69</v>
      </c>
      <c r="C544" s="1">
        <f>IFERROR(__xludf.DUMMYFUNCTION("""COMPUTED_VALUE"""),2.75)</f>
        <v>2.75</v>
      </c>
      <c r="D544" s="1">
        <f>IFERROR(__xludf.DUMMYFUNCTION("""COMPUTED_VALUE"""),2.66)</f>
        <v>2.66</v>
      </c>
      <c r="E544" s="1">
        <f>IFERROR(__xludf.DUMMYFUNCTION("""COMPUTED_VALUE"""),2.68)</f>
        <v>2.68</v>
      </c>
      <c r="F544" s="1">
        <f>IFERROR(__xludf.DUMMYFUNCTION("""COMPUTED_VALUE"""),1648339.0)</f>
        <v>1648339</v>
      </c>
    </row>
    <row r="545">
      <c r="A545" s="2">
        <f>IFERROR(__xludf.DUMMYFUNCTION("""COMPUTED_VALUE"""),42972.66666666667)</f>
        <v>42972.66667</v>
      </c>
      <c r="B545" s="1">
        <f>IFERROR(__xludf.DUMMYFUNCTION("""COMPUTED_VALUE"""),2.67)</f>
        <v>2.67</v>
      </c>
      <c r="C545" s="1">
        <f>IFERROR(__xludf.DUMMYFUNCTION("""COMPUTED_VALUE"""),2.79)</f>
        <v>2.79</v>
      </c>
      <c r="D545" s="1">
        <f>IFERROR(__xludf.DUMMYFUNCTION("""COMPUTED_VALUE"""),2.61)</f>
        <v>2.61</v>
      </c>
      <c r="E545" s="1">
        <f>IFERROR(__xludf.DUMMYFUNCTION("""COMPUTED_VALUE"""),2.75)</f>
        <v>2.75</v>
      </c>
      <c r="F545" s="1">
        <f>IFERROR(__xludf.DUMMYFUNCTION("""COMPUTED_VALUE"""),2030661.0)</f>
        <v>2030661</v>
      </c>
    </row>
    <row r="546">
      <c r="A546" s="2">
        <f>IFERROR(__xludf.DUMMYFUNCTION("""COMPUTED_VALUE"""),42979.66666666667)</f>
        <v>42979.66667</v>
      </c>
      <c r="B546" s="1">
        <f>IFERROR(__xludf.DUMMYFUNCTION("""COMPUTED_VALUE"""),2.76)</f>
        <v>2.76</v>
      </c>
      <c r="C546" s="1">
        <f>IFERROR(__xludf.DUMMYFUNCTION("""COMPUTED_VALUE"""),2.78)</f>
        <v>2.78</v>
      </c>
      <c r="D546" s="1">
        <f>IFERROR(__xludf.DUMMYFUNCTION("""COMPUTED_VALUE"""),2.5)</f>
        <v>2.5</v>
      </c>
      <c r="E546" s="1">
        <f>IFERROR(__xludf.DUMMYFUNCTION("""COMPUTED_VALUE"""),2.68)</f>
        <v>2.68</v>
      </c>
      <c r="F546" s="1">
        <f>IFERROR(__xludf.DUMMYFUNCTION("""COMPUTED_VALUE"""),2619697.0)</f>
        <v>2619697</v>
      </c>
    </row>
    <row r="547">
      <c r="A547" s="2">
        <f>IFERROR(__xludf.DUMMYFUNCTION("""COMPUTED_VALUE"""),42986.66666666667)</f>
        <v>42986.66667</v>
      </c>
      <c r="B547" s="1">
        <f>IFERROR(__xludf.DUMMYFUNCTION("""COMPUTED_VALUE"""),2.67)</f>
        <v>2.67</v>
      </c>
      <c r="C547" s="1">
        <f>IFERROR(__xludf.DUMMYFUNCTION("""COMPUTED_VALUE"""),2.69)</f>
        <v>2.69</v>
      </c>
      <c r="D547" s="1">
        <f>IFERROR(__xludf.DUMMYFUNCTION("""COMPUTED_VALUE"""),2.57)</f>
        <v>2.57</v>
      </c>
      <c r="E547" s="1">
        <f>IFERROR(__xludf.DUMMYFUNCTION("""COMPUTED_VALUE"""),2.58)</f>
        <v>2.58</v>
      </c>
      <c r="F547" s="1">
        <f>IFERROR(__xludf.DUMMYFUNCTION("""COMPUTED_VALUE"""),885706.0)</f>
        <v>885706</v>
      </c>
    </row>
    <row r="548">
      <c r="A548" s="2">
        <f>IFERROR(__xludf.DUMMYFUNCTION("""COMPUTED_VALUE"""),42993.66666666667)</f>
        <v>42993.66667</v>
      </c>
      <c r="B548" s="1">
        <f>IFERROR(__xludf.DUMMYFUNCTION("""COMPUTED_VALUE"""),2.59)</f>
        <v>2.59</v>
      </c>
      <c r="C548" s="1">
        <f>IFERROR(__xludf.DUMMYFUNCTION("""COMPUTED_VALUE"""),2.62)</f>
        <v>2.62</v>
      </c>
      <c r="D548" s="1">
        <f>IFERROR(__xludf.DUMMYFUNCTION("""COMPUTED_VALUE"""),2.3)</f>
        <v>2.3</v>
      </c>
      <c r="E548" s="1">
        <f>IFERROR(__xludf.DUMMYFUNCTION("""COMPUTED_VALUE"""),2.34)</f>
        <v>2.34</v>
      </c>
      <c r="F548" s="1">
        <f>IFERROR(__xludf.DUMMYFUNCTION("""COMPUTED_VALUE"""),3047408.0)</f>
        <v>3047408</v>
      </c>
    </row>
    <row r="549">
      <c r="A549" s="2">
        <f>IFERROR(__xludf.DUMMYFUNCTION("""COMPUTED_VALUE"""),43000.66666666667)</f>
        <v>43000.66667</v>
      </c>
      <c r="B549" s="1">
        <f>IFERROR(__xludf.DUMMYFUNCTION("""COMPUTED_VALUE"""),2.3)</f>
        <v>2.3</v>
      </c>
      <c r="C549" s="1">
        <f>IFERROR(__xludf.DUMMYFUNCTION("""COMPUTED_VALUE"""),2.32)</f>
        <v>2.32</v>
      </c>
      <c r="D549" s="1">
        <f>IFERROR(__xludf.DUMMYFUNCTION("""COMPUTED_VALUE"""),2.04)</f>
        <v>2.04</v>
      </c>
      <c r="E549" s="1">
        <f>IFERROR(__xludf.DUMMYFUNCTION("""COMPUTED_VALUE"""),2.19)</f>
        <v>2.19</v>
      </c>
      <c r="F549" s="1">
        <f>IFERROR(__xludf.DUMMYFUNCTION("""COMPUTED_VALUE"""),6497965.0)</f>
        <v>6497965</v>
      </c>
    </row>
    <row r="550">
      <c r="A550" s="2">
        <f>IFERROR(__xludf.DUMMYFUNCTION("""COMPUTED_VALUE"""),43007.66666666667)</f>
        <v>43007.66667</v>
      </c>
      <c r="B550" s="1">
        <f>IFERROR(__xludf.DUMMYFUNCTION("""COMPUTED_VALUE"""),2.19)</f>
        <v>2.19</v>
      </c>
      <c r="C550" s="1">
        <f>IFERROR(__xludf.DUMMYFUNCTION("""COMPUTED_VALUE"""),2.28)</f>
        <v>2.28</v>
      </c>
      <c r="D550" s="1">
        <f>IFERROR(__xludf.DUMMYFUNCTION("""COMPUTED_VALUE"""),2.11)</f>
        <v>2.11</v>
      </c>
      <c r="E550" s="1">
        <f>IFERROR(__xludf.DUMMYFUNCTION("""COMPUTED_VALUE"""),2.21)</f>
        <v>2.21</v>
      </c>
      <c r="F550" s="1">
        <f>IFERROR(__xludf.DUMMYFUNCTION("""COMPUTED_VALUE"""),2850125.0)</f>
        <v>2850125</v>
      </c>
    </row>
    <row r="551">
      <c r="A551" s="2">
        <f>IFERROR(__xludf.DUMMYFUNCTION("""COMPUTED_VALUE"""),43014.66666666667)</f>
        <v>43014.66667</v>
      </c>
      <c r="B551" s="1">
        <f>IFERROR(__xludf.DUMMYFUNCTION("""COMPUTED_VALUE"""),2.24)</f>
        <v>2.24</v>
      </c>
      <c r="C551" s="1">
        <f>IFERROR(__xludf.DUMMYFUNCTION("""COMPUTED_VALUE"""),2.35)</f>
        <v>2.35</v>
      </c>
      <c r="D551" s="1">
        <f>IFERROR(__xludf.DUMMYFUNCTION("""COMPUTED_VALUE"""),2.23)</f>
        <v>2.23</v>
      </c>
      <c r="E551" s="1">
        <f>IFERROR(__xludf.DUMMYFUNCTION("""COMPUTED_VALUE"""),2.28)</f>
        <v>2.28</v>
      </c>
      <c r="F551" s="1">
        <f>IFERROR(__xludf.DUMMYFUNCTION("""COMPUTED_VALUE"""),2539866.0)</f>
        <v>2539866</v>
      </c>
    </row>
    <row r="552">
      <c r="A552" s="2">
        <f>IFERROR(__xludf.DUMMYFUNCTION("""COMPUTED_VALUE"""),43021.66666666667)</f>
        <v>43021.66667</v>
      </c>
      <c r="B552" s="1">
        <f>IFERROR(__xludf.DUMMYFUNCTION("""COMPUTED_VALUE"""),2.28)</f>
        <v>2.28</v>
      </c>
      <c r="C552" s="1">
        <f>IFERROR(__xludf.DUMMYFUNCTION("""COMPUTED_VALUE"""),2.31)</f>
        <v>2.31</v>
      </c>
      <c r="D552" s="1">
        <f>IFERROR(__xludf.DUMMYFUNCTION("""COMPUTED_VALUE"""),2.23)</f>
        <v>2.23</v>
      </c>
      <c r="E552" s="1">
        <f>IFERROR(__xludf.DUMMYFUNCTION("""COMPUTED_VALUE"""),2.26)</f>
        <v>2.26</v>
      </c>
      <c r="F552" s="1">
        <f>IFERROR(__xludf.DUMMYFUNCTION("""COMPUTED_VALUE"""),1780362.0)</f>
        <v>1780362</v>
      </c>
    </row>
    <row r="553">
      <c r="A553" s="2">
        <f>IFERROR(__xludf.DUMMYFUNCTION("""COMPUTED_VALUE"""),43028.66666666667)</f>
        <v>43028.66667</v>
      </c>
      <c r="B553" s="1">
        <f>IFERROR(__xludf.DUMMYFUNCTION("""COMPUTED_VALUE"""),2.26)</f>
        <v>2.26</v>
      </c>
      <c r="C553" s="1">
        <f>IFERROR(__xludf.DUMMYFUNCTION("""COMPUTED_VALUE"""),2.28)</f>
        <v>2.28</v>
      </c>
      <c r="D553" s="1">
        <f>IFERROR(__xludf.DUMMYFUNCTION("""COMPUTED_VALUE"""),2.16)</f>
        <v>2.16</v>
      </c>
      <c r="E553" s="1">
        <f>IFERROR(__xludf.DUMMYFUNCTION("""COMPUTED_VALUE"""),2.24)</f>
        <v>2.24</v>
      </c>
      <c r="F553" s="1">
        <f>IFERROR(__xludf.DUMMYFUNCTION("""COMPUTED_VALUE"""),1972906.0)</f>
        <v>1972906</v>
      </c>
    </row>
    <row r="554">
      <c r="A554" s="2">
        <f>IFERROR(__xludf.DUMMYFUNCTION("""COMPUTED_VALUE"""),43035.66666666667)</f>
        <v>43035.66667</v>
      </c>
      <c r="B554" s="1">
        <f>IFERROR(__xludf.DUMMYFUNCTION("""COMPUTED_VALUE"""),2.25)</f>
        <v>2.25</v>
      </c>
      <c r="C554" s="1">
        <f>IFERROR(__xludf.DUMMYFUNCTION("""COMPUTED_VALUE"""),2.27)</f>
        <v>2.27</v>
      </c>
      <c r="D554" s="1">
        <f>IFERROR(__xludf.DUMMYFUNCTION("""COMPUTED_VALUE"""),1.77)</f>
        <v>1.77</v>
      </c>
      <c r="E554" s="1">
        <f>IFERROR(__xludf.DUMMYFUNCTION("""COMPUTED_VALUE"""),2.05)</f>
        <v>2.05</v>
      </c>
      <c r="F554" s="1">
        <f>IFERROR(__xludf.DUMMYFUNCTION("""COMPUTED_VALUE"""),4129102.0)</f>
        <v>4129102</v>
      </c>
    </row>
    <row r="555">
      <c r="A555" s="2">
        <f>IFERROR(__xludf.DUMMYFUNCTION("""COMPUTED_VALUE"""),43042.66666666667)</f>
        <v>43042.66667</v>
      </c>
      <c r="B555" s="1">
        <f>IFERROR(__xludf.DUMMYFUNCTION("""COMPUTED_VALUE"""),2.03)</f>
        <v>2.03</v>
      </c>
      <c r="C555" s="1">
        <f>IFERROR(__xludf.DUMMYFUNCTION("""COMPUTED_VALUE"""),2.05)</f>
        <v>2.05</v>
      </c>
      <c r="D555" s="1">
        <f>IFERROR(__xludf.DUMMYFUNCTION("""COMPUTED_VALUE"""),1.97)</f>
        <v>1.97</v>
      </c>
      <c r="E555" s="1">
        <f>IFERROR(__xludf.DUMMYFUNCTION("""COMPUTED_VALUE"""),2.03)</f>
        <v>2.03</v>
      </c>
      <c r="F555" s="1">
        <f>IFERROR(__xludf.DUMMYFUNCTION("""COMPUTED_VALUE"""),2740554.0)</f>
        <v>2740554</v>
      </c>
    </row>
    <row r="556">
      <c r="A556" s="2">
        <f>IFERROR(__xludf.DUMMYFUNCTION("""COMPUTED_VALUE"""),43049.66666666667)</f>
        <v>43049.66667</v>
      </c>
      <c r="B556" s="1">
        <f>IFERROR(__xludf.DUMMYFUNCTION("""COMPUTED_VALUE"""),2.02)</f>
        <v>2.02</v>
      </c>
      <c r="C556" s="1">
        <f>IFERROR(__xludf.DUMMYFUNCTION("""COMPUTED_VALUE"""),2.06)</f>
        <v>2.06</v>
      </c>
      <c r="D556" s="1">
        <f>IFERROR(__xludf.DUMMYFUNCTION("""COMPUTED_VALUE"""),1.92)</f>
        <v>1.92</v>
      </c>
      <c r="E556" s="1">
        <f>IFERROR(__xludf.DUMMYFUNCTION("""COMPUTED_VALUE"""),2.0)</f>
        <v>2</v>
      </c>
      <c r="F556" s="1">
        <f>IFERROR(__xludf.DUMMYFUNCTION("""COMPUTED_VALUE"""),1700118.0)</f>
        <v>1700118</v>
      </c>
    </row>
    <row r="557">
      <c r="A557" s="2">
        <f>IFERROR(__xludf.DUMMYFUNCTION("""COMPUTED_VALUE"""),43056.66666666667)</f>
        <v>43056.66667</v>
      </c>
      <c r="B557" s="1">
        <f>IFERROR(__xludf.DUMMYFUNCTION("""COMPUTED_VALUE"""),1.98)</f>
        <v>1.98</v>
      </c>
      <c r="C557" s="1">
        <f>IFERROR(__xludf.DUMMYFUNCTION("""COMPUTED_VALUE"""),2.08)</f>
        <v>2.08</v>
      </c>
      <c r="D557" s="1">
        <f>IFERROR(__xludf.DUMMYFUNCTION("""COMPUTED_VALUE"""),1.96)</f>
        <v>1.96</v>
      </c>
      <c r="E557" s="1">
        <f>IFERROR(__xludf.DUMMYFUNCTION("""COMPUTED_VALUE"""),2.05)</f>
        <v>2.05</v>
      </c>
      <c r="F557" s="1">
        <f>IFERROR(__xludf.DUMMYFUNCTION("""COMPUTED_VALUE"""),2084722.0)</f>
        <v>2084722</v>
      </c>
    </row>
    <row r="558">
      <c r="A558" s="2">
        <f>IFERROR(__xludf.DUMMYFUNCTION("""COMPUTED_VALUE"""),43063.54166666667)</f>
        <v>43063.54167</v>
      </c>
      <c r="B558" s="1">
        <f>IFERROR(__xludf.DUMMYFUNCTION("""COMPUTED_VALUE"""),2.04)</f>
        <v>2.04</v>
      </c>
      <c r="C558" s="1">
        <f>IFERROR(__xludf.DUMMYFUNCTION("""COMPUTED_VALUE"""),2.15)</f>
        <v>2.15</v>
      </c>
      <c r="D558" s="1">
        <f>IFERROR(__xludf.DUMMYFUNCTION("""COMPUTED_VALUE"""),2.04)</f>
        <v>2.04</v>
      </c>
      <c r="E558" s="1">
        <f>IFERROR(__xludf.DUMMYFUNCTION("""COMPUTED_VALUE"""),2.1)</f>
        <v>2.1</v>
      </c>
      <c r="F558" s="1">
        <f>IFERROR(__xludf.DUMMYFUNCTION("""COMPUTED_VALUE"""),1493460.0)</f>
        <v>1493460</v>
      </c>
    </row>
    <row r="559">
      <c r="A559" s="2">
        <f>IFERROR(__xludf.DUMMYFUNCTION("""COMPUTED_VALUE"""),43070.66666666667)</f>
        <v>43070.66667</v>
      </c>
      <c r="B559" s="1">
        <f>IFERROR(__xludf.DUMMYFUNCTION("""COMPUTED_VALUE"""),2.11)</f>
        <v>2.11</v>
      </c>
      <c r="C559" s="1">
        <f>IFERROR(__xludf.DUMMYFUNCTION("""COMPUTED_VALUE"""),2.24)</f>
        <v>2.24</v>
      </c>
      <c r="D559" s="1">
        <f>IFERROR(__xludf.DUMMYFUNCTION("""COMPUTED_VALUE"""),2.09)</f>
        <v>2.09</v>
      </c>
      <c r="E559" s="1">
        <f>IFERROR(__xludf.DUMMYFUNCTION("""COMPUTED_VALUE"""),2.2)</f>
        <v>2.2</v>
      </c>
      <c r="F559" s="1">
        <f>IFERROR(__xludf.DUMMYFUNCTION("""COMPUTED_VALUE"""),2133232.0)</f>
        <v>2133232</v>
      </c>
    </row>
    <row r="560">
      <c r="A560" s="2">
        <f>IFERROR(__xludf.DUMMYFUNCTION("""COMPUTED_VALUE"""),43077.66666666667)</f>
        <v>43077.66667</v>
      </c>
      <c r="B560" s="1">
        <f>IFERROR(__xludf.DUMMYFUNCTION("""COMPUTED_VALUE"""),2.21)</f>
        <v>2.21</v>
      </c>
      <c r="C560" s="1">
        <f>IFERROR(__xludf.DUMMYFUNCTION("""COMPUTED_VALUE"""),2.24)</f>
        <v>2.24</v>
      </c>
      <c r="D560" s="1">
        <f>IFERROR(__xludf.DUMMYFUNCTION("""COMPUTED_VALUE"""),2.13)</f>
        <v>2.13</v>
      </c>
      <c r="E560" s="1">
        <f>IFERROR(__xludf.DUMMYFUNCTION("""COMPUTED_VALUE"""),2.16)</f>
        <v>2.16</v>
      </c>
      <c r="F560" s="1">
        <f>IFERROR(__xludf.DUMMYFUNCTION("""COMPUTED_VALUE"""),1607900.0)</f>
        <v>1607900</v>
      </c>
    </row>
    <row r="561">
      <c r="A561" s="2">
        <f>IFERROR(__xludf.DUMMYFUNCTION("""COMPUTED_VALUE"""),43084.66666666667)</f>
        <v>43084.66667</v>
      </c>
      <c r="B561" s="1">
        <f>IFERROR(__xludf.DUMMYFUNCTION("""COMPUTED_VALUE"""),2.16)</f>
        <v>2.16</v>
      </c>
      <c r="C561" s="1">
        <f>IFERROR(__xludf.DUMMYFUNCTION("""COMPUTED_VALUE"""),2.23)</f>
        <v>2.23</v>
      </c>
      <c r="D561" s="1">
        <f>IFERROR(__xludf.DUMMYFUNCTION("""COMPUTED_VALUE"""),2.13)</f>
        <v>2.13</v>
      </c>
      <c r="E561" s="1">
        <f>IFERROR(__xludf.DUMMYFUNCTION("""COMPUTED_VALUE"""),2.2)</f>
        <v>2.2</v>
      </c>
      <c r="F561" s="1">
        <f>IFERROR(__xludf.DUMMYFUNCTION("""COMPUTED_VALUE"""),2480085.0)</f>
        <v>2480085</v>
      </c>
    </row>
    <row r="562">
      <c r="A562" s="2">
        <f>IFERROR(__xludf.DUMMYFUNCTION("""COMPUTED_VALUE"""),43091.66666666667)</f>
        <v>43091.66667</v>
      </c>
      <c r="B562" s="1">
        <f>IFERROR(__xludf.DUMMYFUNCTION("""COMPUTED_VALUE"""),2.21)</f>
        <v>2.21</v>
      </c>
      <c r="C562" s="1">
        <f>IFERROR(__xludf.DUMMYFUNCTION("""COMPUTED_VALUE"""),2.23)</f>
        <v>2.23</v>
      </c>
      <c r="D562" s="1">
        <f>IFERROR(__xludf.DUMMYFUNCTION("""COMPUTED_VALUE"""),2.1)</f>
        <v>2.1</v>
      </c>
      <c r="E562" s="1">
        <f>IFERROR(__xludf.DUMMYFUNCTION("""COMPUTED_VALUE"""),2.1)</f>
        <v>2.1</v>
      </c>
      <c r="F562" s="1">
        <f>IFERROR(__xludf.DUMMYFUNCTION("""COMPUTED_VALUE"""),2118718.0)</f>
        <v>2118718</v>
      </c>
    </row>
    <row r="563">
      <c r="A563" s="2">
        <f>IFERROR(__xludf.DUMMYFUNCTION("""COMPUTED_VALUE"""),43098.66666666667)</f>
        <v>43098.66667</v>
      </c>
      <c r="B563" s="1">
        <f>IFERROR(__xludf.DUMMYFUNCTION("""COMPUTED_VALUE"""),2.08)</f>
        <v>2.08</v>
      </c>
      <c r="C563" s="1">
        <f>IFERROR(__xludf.DUMMYFUNCTION("""COMPUTED_VALUE"""),2.12)</f>
        <v>2.12</v>
      </c>
      <c r="D563" s="1">
        <f>IFERROR(__xludf.DUMMYFUNCTION("""COMPUTED_VALUE"""),2.04)</f>
        <v>2.04</v>
      </c>
      <c r="E563" s="1">
        <f>IFERROR(__xludf.DUMMYFUNCTION("""COMPUTED_VALUE"""),2.09)</f>
        <v>2.09</v>
      </c>
      <c r="F563" s="1">
        <f>IFERROR(__xludf.DUMMYFUNCTION("""COMPUTED_VALUE"""),1373896.0)</f>
        <v>1373896</v>
      </c>
    </row>
    <row r="564">
      <c r="A564" s="2">
        <f>IFERROR(__xludf.DUMMYFUNCTION("""COMPUTED_VALUE"""),43105.66666666667)</f>
        <v>43105.66667</v>
      </c>
      <c r="B564" s="1">
        <f>IFERROR(__xludf.DUMMYFUNCTION("""COMPUTED_VALUE"""),2.09)</f>
        <v>2.09</v>
      </c>
      <c r="C564" s="1">
        <f>IFERROR(__xludf.DUMMYFUNCTION("""COMPUTED_VALUE"""),2.19)</f>
        <v>2.19</v>
      </c>
      <c r="D564" s="1">
        <f>IFERROR(__xludf.DUMMYFUNCTION("""COMPUTED_VALUE"""),2.09)</f>
        <v>2.09</v>
      </c>
      <c r="E564" s="1">
        <f>IFERROR(__xludf.DUMMYFUNCTION("""COMPUTED_VALUE"""),2.17)</f>
        <v>2.17</v>
      </c>
      <c r="F564" s="1">
        <f>IFERROR(__xludf.DUMMYFUNCTION("""COMPUTED_VALUE"""),1425147.0)</f>
        <v>1425147</v>
      </c>
    </row>
    <row r="565">
      <c r="A565" s="2">
        <f>IFERROR(__xludf.DUMMYFUNCTION("""COMPUTED_VALUE"""),43112.66666666667)</f>
        <v>43112.66667</v>
      </c>
      <c r="B565" s="1">
        <f>IFERROR(__xludf.DUMMYFUNCTION("""COMPUTED_VALUE"""),2.17)</f>
        <v>2.17</v>
      </c>
      <c r="C565" s="1">
        <f>IFERROR(__xludf.DUMMYFUNCTION("""COMPUTED_VALUE"""),2.19)</f>
        <v>2.19</v>
      </c>
      <c r="D565" s="1">
        <f>IFERROR(__xludf.DUMMYFUNCTION("""COMPUTED_VALUE"""),2.1)</f>
        <v>2.1</v>
      </c>
      <c r="E565" s="1">
        <f>IFERROR(__xludf.DUMMYFUNCTION("""COMPUTED_VALUE"""),2.15)</f>
        <v>2.15</v>
      </c>
      <c r="F565" s="1">
        <f>IFERROR(__xludf.DUMMYFUNCTION("""COMPUTED_VALUE"""),1439227.0)</f>
        <v>1439227</v>
      </c>
    </row>
    <row r="566">
      <c r="A566" s="2">
        <f>IFERROR(__xludf.DUMMYFUNCTION("""COMPUTED_VALUE"""),43119.66666666667)</f>
        <v>43119.66667</v>
      </c>
      <c r="B566" s="1">
        <f>IFERROR(__xludf.DUMMYFUNCTION("""COMPUTED_VALUE"""),2.15)</f>
        <v>2.15</v>
      </c>
      <c r="C566" s="1">
        <f>IFERROR(__xludf.DUMMYFUNCTION("""COMPUTED_VALUE"""),2.3)</f>
        <v>2.3</v>
      </c>
      <c r="D566" s="1">
        <f>IFERROR(__xludf.DUMMYFUNCTION("""COMPUTED_VALUE"""),2.13)</f>
        <v>2.13</v>
      </c>
      <c r="E566" s="1">
        <f>IFERROR(__xludf.DUMMYFUNCTION("""COMPUTED_VALUE"""),2.28)</f>
        <v>2.28</v>
      </c>
      <c r="F566" s="1">
        <f>IFERROR(__xludf.DUMMYFUNCTION("""COMPUTED_VALUE"""),1479138.0)</f>
        <v>1479138</v>
      </c>
    </row>
    <row r="567">
      <c r="A567" s="2">
        <f>IFERROR(__xludf.DUMMYFUNCTION("""COMPUTED_VALUE"""),43126.66666666667)</f>
        <v>43126.66667</v>
      </c>
      <c r="B567" s="1">
        <f>IFERROR(__xludf.DUMMYFUNCTION("""COMPUTED_VALUE"""),2.29)</f>
        <v>2.29</v>
      </c>
      <c r="C567" s="1">
        <f>IFERROR(__xludf.DUMMYFUNCTION("""COMPUTED_VALUE"""),2.4)</f>
        <v>2.4</v>
      </c>
      <c r="D567" s="1">
        <f>IFERROR(__xludf.DUMMYFUNCTION("""COMPUTED_VALUE"""),2.23)</f>
        <v>2.23</v>
      </c>
      <c r="E567" s="1">
        <f>IFERROR(__xludf.DUMMYFUNCTION("""COMPUTED_VALUE"""),2.38)</f>
        <v>2.38</v>
      </c>
      <c r="F567" s="1">
        <f>IFERROR(__xludf.DUMMYFUNCTION("""COMPUTED_VALUE"""),3017488.0)</f>
        <v>3017488</v>
      </c>
    </row>
    <row r="568">
      <c r="A568" s="2">
        <f>IFERROR(__xludf.DUMMYFUNCTION("""COMPUTED_VALUE"""),43133.66666666667)</f>
        <v>43133.66667</v>
      </c>
      <c r="B568" s="1">
        <f>IFERROR(__xludf.DUMMYFUNCTION("""COMPUTED_VALUE"""),2.38)</f>
        <v>2.38</v>
      </c>
      <c r="C568" s="1">
        <f>IFERROR(__xludf.DUMMYFUNCTION("""COMPUTED_VALUE"""),2.48)</f>
        <v>2.48</v>
      </c>
      <c r="D568" s="1">
        <f>IFERROR(__xludf.DUMMYFUNCTION("""COMPUTED_VALUE"""),2.06)</f>
        <v>2.06</v>
      </c>
      <c r="E568" s="1">
        <f>IFERROR(__xludf.DUMMYFUNCTION("""COMPUTED_VALUE"""),2.06)</f>
        <v>2.06</v>
      </c>
      <c r="F568" s="1">
        <f>IFERROR(__xludf.DUMMYFUNCTION("""COMPUTED_VALUE"""),5233017.0)</f>
        <v>5233017</v>
      </c>
    </row>
    <row r="569">
      <c r="A569" s="2">
        <f>IFERROR(__xludf.DUMMYFUNCTION("""COMPUTED_VALUE"""),43140.66666666667)</f>
        <v>43140.66667</v>
      </c>
      <c r="B569" s="1">
        <f>IFERROR(__xludf.DUMMYFUNCTION("""COMPUTED_VALUE"""),2.04)</f>
        <v>2.04</v>
      </c>
      <c r="C569" s="1">
        <f>IFERROR(__xludf.DUMMYFUNCTION("""COMPUTED_VALUE"""),2.09)</f>
        <v>2.09</v>
      </c>
      <c r="D569" s="1">
        <f>IFERROR(__xludf.DUMMYFUNCTION("""COMPUTED_VALUE"""),1.84)</f>
        <v>1.84</v>
      </c>
      <c r="E569" s="1">
        <f>IFERROR(__xludf.DUMMYFUNCTION("""COMPUTED_VALUE"""),1.89)</f>
        <v>1.89</v>
      </c>
      <c r="F569" s="1">
        <f>IFERROR(__xludf.DUMMYFUNCTION("""COMPUTED_VALUE"""),3711042.0)</f>
        <v>3711042</v>
      </c>
    </row>
    <row r="570">
      <c r="A570" s="2">
        <f>IFERROR(__xludf.DUMMYFUNCTION("""COMPUTED_VALUE"""),43147.66666666667)</f>
        <v>43147.66667</v>
      </c>
      <c r="B570" s="1">
        <f>IFERROR(__xludf.DUMMYFUNCTION("""COMPUTED_VALUE"""),1.89)</f>
        <v>1.89</v>
      </c>
      <c r="C570" s="1">
        <f>IFERROR(__xludf.DUMMYFUNCTION("""COMPUTED_VALUE"""),1.97)</f>
        <v>1.97</v>
      </c>
      <c r="D570" s="1">
        <f>IFERROR(__xludf.DUMMYFUNCTION("""COMPUTED_VALUE"""),1.82)</f>
        <v>1.82</v>
      </c>
      <c r="E570" s="1">
        <f>IFERROR(__xludf.DUMMYFUNCTION("""COMPUTED_VALUE"""),1.91)</f>
        <v>1.91</v>
      </c>
      <c r="F570" s="1">
        <f>IFERROR(__xludf.DUMMYFUNCTION("""COMPUTED_VALUE"""),2238147.0)</f>
        <v>2238147</v>
      </c>
    </row>
    <row r="571">
      <c r="A571" s="2">
        <f>IFERROR(__xludf.DUMMYFUNCTION("""COMPUTED_VALUE"""),43154.66666666667)</f>
        <v>43154.66667</v>
      </c>
      <c r="B571" s="1">
        <f>IFERROR(__xludf.DUMMYFUNCTION("""COMPUTED_VALUE"""),1.9)</f>
        <v>1.9</v>
      </c>
      <c r="C571" s="1">
        <f>IFERROR(__xludf.DUMMYFUNCTION("""COMPUTED_VALUE"""),1.93)</f>
        <v>1.93</v>
      </c>
      <c r="D571" s="1">
        <f>IFERROR(__xludf.DUMMYFUNCTION("""COMPUTED_VALUE"""),1.81)</f>
        <v>1.81</v>
      </c>
      <c r="E571" s="1">
        <f>IFERROR(__xludf.DUMMYFUNCTION("""COMPUTED_VALUE"""),1.85)</f>
        <v>1.85</v>
      </c>
      <c r="F571" s="1">
        <f>IFERROR(__xludf.DUMMYFUNCTION("""COMPUTED_VALUE"""),2082538.0)</f>
        <v>2082538</v>
      </c>
    </row>
    <row r="572">
      <c r="A572" s="2">
        <f>IFERROR(__xludf.DUMMYFUNCTION("""COMPUTED_VALUE"""),43161.66666666667)</f>
        <v>43161.66667</v>
      </c>
      <c r="B572" s="1">
        <f>IFERROR(__xludf.DUMMYFUNCTION("""COMPUTED_VALUE"""),1.86)</f>
        <v>1.86</v>
      </c>
      <c r="C572" s="1">
        <f>IFERROR(__xludf.DUMMYFUNCTION("""COMPUTED_VALUE"""),1.92)</f>
        <v>1.92</v>
      </c>
      <c r="D572" s="1">
        <f>IFERROR(__xludf.DUMMYFUNCTION("""COMPUTED_VALUE"""),1.76)</f>
        <v>1.76</v>
      </c>
      <c r="E572" s="1">
        <f>IFERROR(__xludf.DUMMYFUNCTION("""COMPUTED_VALUE"""),1.83)</f>
        <v>1.83</v>
      </c>
      <c r="F572" s="1">
        <f>IFERROR(__xludf.DUMMYFUNCTION("""COMPUTED_VALUE"""),2165331.0)</f>
        <v>2165331</v>
      </c>
    </row>
    <row r="573">
      <c r="A573" s="2">
        <f>IFERROR(__xludf.DUMMYFUNCTION("""COMPUTED_VALUE"""),43168.66666666667)</f>
        <v>43168.66667</v>
      </c>
      <c r="B573" s="1">
        <f>IFERROR(__xludf.DUMMYFUNCTION("""COMPUTED_VALUE"""),1.82)</f>
        <v>1.82</v>
      </c>
      <c r="C573" s="1">
        <f>IFERROR(__xludf.DUMMYFUNCTION("""COMPUTED_VALUE"""),1.99)</f>
        <v>1.99</v>
      </c>
      <c r="D573" s="1">
        <f>IFERROR(__xludf.DUMMYFUNCTION("""COMPUTED_VALUE"""),1.82)</f>
        <v>1.82</v>
      </c>
      <c r="E573" s="1">
        <f>IFERROR(__xludf.DUMMYFUNCTION("""COMPUTED_VALUE"""),1.98)</f>
        <v>1.98</v>
      </c>
      <c r="F573" s="1">
        <f>IFERROR(__xludf.DUMMYFUNCTION("""COMPUTED_VALUE"""),2069096.0)</f>
        <v>2069096</v>
      </c>
    </row>
    <row r="574">
      <c r="A574" s="2">
        <f>IFERROR(__xludf.DUMMYFUNCTION("""COMPUTED_VALUE"""),43175.66666666667)</f>
        <v>43175.66667</v>
      </c>
      <c r="B574" s="1">
        <f>IFERROR(__xludf.DUMMYFUNCTION("""COMPUTED_VALUE"""),1.99)</f>
        <v>1.99</v>
      </c>
      <c r="C574" s="1">
        <f>IFERROR(__xludf.DUMMYFUNCTION("""COMPUTED_VALUE"""),2.0)</f>
        <v>2</v>
      </c>
      <c r="D574" s="1">
        <f>IFERROR(__xludf.DUMMYFUNCTION("""COMPUTED_VALUE"""),1.92)</f>
        <v>1.92</v>
      </c>
      <c r="E574" s="1">
        <f>IFERROR(__xludf.DUMMYFUNCTION("""COMPUTED_VALUE"""),1.97)</f>
        <v>1.97</v>
      </c>
      <c r="F574" s="1">
        <f>IFERROR(__xludf.DUMMYFUNCTION("""COMPUTED_VALUE"""),2352762.0)</f>
        <v>2352762</v>
      </c>
    </row>
    <row r="575">
      <c r="A575" s="2">
        <f>IFERROR(__xludf.DUMMYFUNCTION("""COMPUTED_VALUE"""),43182.66666666667)</f>
        <v>43182.66667</v>
      </c>
      <c r="B575" s="1">
        <f>IFERROR(__xludf.DUMMYFUNCTION("""COMPUTED_VALUE"""),1.95)</f>
        <v>1.95</v>
      </c>
      <c r="C575" s="1">
        <f>IFERROR(__xludf.DUMMYFUNCTION("""COMPUTED_VALUE"""),1.95)</f>
        <v>1.95</v>
      </c>
      <c r="D575" s="1">
        <f>IFERROR(__xludf.DUMMYFUNCTION("""COMPUTED_VALUE"""),1.72)</f>
        <v>1.72</v>
      </c>
      <c r="E575" s="1">
        <f>IFERROR(__xludf.DUMMYFUNCTION("""COMPUTED_VALUE"""),1.73)</f>
        <v>1.73</v>
      </c>
      <c r="F575" s="1">
        <f>IFERROR(__xludf.DUMMYFUNCTION("""COMPUTED_VALUE"""),2260216.0)</f>
        <v>2260216</v>
      </c>
    </row>
    <row r="576">
      <c r="A576" s="2">
        <f>IFERROR(__xludf.DUMMYFUNCTION("""COMPUTED_VALUE"""),43188.66666666667)</f>
        <v>43188.66667</v>
      </c>
      <c r="B576" s="1">
        <f>IFERROR(__xludf.DUMMYFUNCTION("""COMPUTED_VALUE"""),1.75)</f>
        <v>1.75</v>
      </c>
      <c r="C576" s="1">
        <f>IFERROR(__xludf.DUMMYFUNCTION("""COMPUTED_VALUE"""),1.76)</f>
        <v>1.76</v>
      </c>
      <c r="D576" s="1">
        <f>IFERROR(__xludf.DUMMYFUNCTION("""COMPUTED_VALUE"""),1.61)</f>
        <v>1.61</v>
      </c>
      <c r="E576" s="1">
        <f>IFERROR(__xludf.DUMMYFUNCTION("""COMPUTED_VALUE"""),1.7)</f>
        <v>1.7</v>
      </c>
      <c r="F576" s="1">
        <f>IFERROR(__xludf.DUMMYFUNCTION("""COMPUTED_VALUE"""),2431321.0)</f>
        <v>2431321</v>
      </c>
    </row>
    <row r="577">
      <c r="A577" s="2">
        <f>IFERROR(__xludf.DUMMYFUNCTION("""COMPUTED_VALUE"""),43196.66666666667)</f>
        <v>43196.66667</v>
      </c>
      <c r="B577" s="1">
        <f>IFERROR(__xludf.DUMMYFUNCTION("""COMPUTED_VALUE"""),1.7)</f>
        <v>1.7</v>
      </c>
      <c r="C577" s="1">
        <f>IFERROR(__xludf.DUMMYFUNCTION("""COMPUTED_VALUE"""),1.7)</f>
        <v>1.7</v>
      </c>
      <c r="D577" s="1">
        <f>IFERROR(__xludf.DUMMYFUNCTION("""COMPUTED_VALUE"""),1.63)</f>
        <v>1.63</v>
      </c>
      <c r="E577" s="1">
        <f>IFERROR(__xludf.DUMMYFUNCTION("""COMPUTED_VALUE"""),1.66)</f>
        <v>1.66</v>
      </c>
      <c r="F577" s="1">
        <f>IFERROR(__xludf.DUMMYFUNCTION("""COMPUTED_VALUE"""),1879050.0)</f>
        <v>1879050</v>
      </c>
    </row>
    <row r="578">
      <c r="A578" s="2">
        <f>IFERROR(__xludf.DUMMYFUNCTION("""COMPUTED_VALUE"""),43203.66666666667)</f>
        <v>43203.66667</v>
      </c>
      <c r="B578" s="1">
        <f>IFERROR(__xludf.DUMMYFUNCTION("""COMPUTED_VALUE"""),1.66)</f>
        <v>1.66</v>
      </c>
      <c r="C578" s="1">
        <f>IFERROR(__xludf.DUMMYFUNCTION("""COMPUTED_VALUE"""),1.78)</f>
        <v>1.78</v>
      </c>
      <c r="D578" s="1">
        <f>IFERROR(__xludf.DUMMYFUNCTION("""COMPUTED_VALUE"""),1.64)</f>
        <v>1.64</v>
      </c>
      <c r="E578" s="1">
        <f>IFERROR(__xludf.DUMMYFUNCTION("""COMPUTED_VALUE"""),1.74)</f>
        <v>1.74</v>
      </c>
      <c r="F578" s="1">
        <f>IFERROR(__xludf.DUMMYFUNCTION("""COMPUTED_VALUE"""),1408654.0)</f>
        <v>1408654</v>
      </c>
    </row>
    <row r="579">
      <c r="A579" s="2">
        <f>IFERROR(__xludf.DUMMYFUNCTION("""COMPUTED_VALUE"""),43210.66666666667)</f>
        <v>43210.66667</v>
      </c>
      <c r="B579" s="1">
        <f>IFERROR(__xludf.DUMMYFUNCTION("""COMPUTED_VALUE"""),1.75)</f>
        <v>1.75</v>
      </c>
      <c r="C579" s="1">
        <f>IFERROR(__xludf.DUMMYFUNCTION("""COMPUTED_VALUE"""),1.84)</f>
        <v>1.84</v>
      </c>
      <c r="D579" s="1">
        <f>IFERROR(__xludf.DUMMYFUNCTION("""COMPUTED_VALUE"""),1.72)</f>
        <v>1.72</v>
      </c>
      <c r="E579" s="1">
        <f>IFERROR(__xludf.DUMMYFUNCTION("""COMPUTED_VALUE"""),1.75)</f>
        <v>1.75</v>
      </c>
      <c r="F579" s="1">
        <f>IFERROR(__xludf.DUMMYFUNCTION("""COMPUTED_VALUE"""),1358973.0)</f>
        <v>1358973</v>
      </c>
    </row>
    <row r="580">
      <c r="A580" s="2">
        <f>IFERROR(__xludf.DUMMYFUNCTION("""COMPUTED_VALUE"""),43217.66666666667)</f>
        <v>43217.66667</v>
      </c>
      <c r="B580" s="1">
        <f>IFERROR(__xludf.DUMMYFUNCTION("""COMPUTED_VALUE"""),1.76)</f>
        <v>1.76</v>
      </c>
      <c r="C580" s="1">
        <f>IFERROR(__xludf.DUMMYFUNCTION("""COMPUTED_VALUE"""),1.83)</f>
        <v>1.83</v>
      </c>
      <c r="D580" s="1">
        <f>IFERROR(__xludf.DUMMYFUNCTION("""COMPUTED_VALUE"""),1.73)</f>
        <v>1.73</v>
      </c>
      <c r="E580" s="1">
        <f>IFERROR(__xludf.DUMMYFUNCTION("""COMPUTED_VALUE"""),1.81)</f>
        <v>1.81</v>
      </c>
      <c r="F580" s="1">
        <f>IFERROR(__xludf.DUMMYFUNCTION("""COMPUTED_VALUE"""),1128480.0)</f>
        <v>1128480</v>
      </c>
    </row>
    <row r="581">
      <c r="A581" s="2">
        <f>IFERROR(__xludf.DUMMYFUNCTION("""COMPUTED_VALUE"""),43224.66666666667)</f>
        <v>43224.66667</v>
      </c>
      <c r="B581" s="1">
        <f>IFERROR(__xludf.DUMMYFUNCTION("""COMPUTED_VALUE"""),1.81)</f>
        <v>1.81</v>
      </c>
      <c r="C581" s="1">
        <f>IFERROR(__xludf.DUMMYFUNCTION("""COMPUTED_VALUE"""),2.17)</f>
        <v>2.17</v>
      </c>
      <c r="D581" s="1">
        <f>IFERROR(__xludf.DUMMYFUNCTION("""COMPUTED_VALUE"""),1.76)</f>
        <v>1.76</v>
      </c>
      <c r="E581" s="1">
        <f>IFERROR(__xludf.DUMMYFUNCTION("""COMPUTED_VALUE"""),2.13)</f>
        <v>2.13</v>
      </c>
      <c r="F581" s="1">
        <f>IFERROR(__xludf.DUMMYFUNCTION("""COMPUTED_VALUE"""),2989180.0)</f>
        <v>2989180</v>
      </c>
    </row>
    <row r="582">
      <c r="A582" s="2">
        <f>IFERROR(__xludf.DUMMYFUNCTION("""COMPUTED_VALUE"""),43231.66666666667)</f>
        <v>43231.66667</v>
      </c>
      <c r="B582" s="1">
        <f>IFERROR(__xludf.DUMMYFUNCTION("""COMPUTED_VALUE"""),2.15)</f>
        <v>2.15</v>
      </c>
      <c r="C582" s="1">
        <f>IFERROR(__xludf.DUMMYFUNCTION("""COMPUTED_VALUE"""),2.43)</f>
        <v>2.43</v>
      </c>
      <c r="D582" s="1">
        <f>IFERROR(__xludf.DUMMYFUNCTION("""COMPUTED_VALUE"""),2.13)</f>
        <v>2.13</v>
      </c>
      <c r="E582" s="1">
        <f>IFERROR(__xludf.DUMMYFUNCTION("""COMPUTED_VALUE"""),2.34)</f>
        <v>2.34</v>
      </c>
      <c r="F582" s="1">
        <f>IFERROR(__xludf.DUMMYFUNCTION("""COMPUTED_VALUE"""),3137104.0)</f>
        <v>3137104</v>
      </c>
    </row>
    <row r="583">
      <c r="A583" s="2">
        <f>IFERROR(__xludf.DUMMYFUNCTION("""COMPUTED_VALUE"""),43238.66666666667)</f>
        <v>43238.66667</v>
      </c>
      <c r="B583" s="1">
        <f>IFERROR(__xludf.DUMMYFUNCTION("""COMPUTED_VALUE"""),2.34)</f>
        <v>2.34</v>
      </c>
      <c r="C583" s="1">
        <f>IFERROR(__xludf.DUMMYFUNCTION("""COMPUTED_VALUE"""),2.42)</f>
        <v>2.42</v>
      </c>
      <c r="D583" s="1">
        <f>IFERROR(__xludf.DUMMYFUNCTION("""COMPUTED_VALUE"""),2.33)</f>
        <v>2.33</v>
      </c>
      <c r="E583" s="1">
        <f>IFERROR(__xludf.DUMMYFUNCTION("""COMPUTED_VALUE"""),2.37)</f>
        <v>2.37</v>
      </c>
      <c r="F583" s="1">
        <f>IFERROR(__xludf.DUMMYFUNCTION("""COMPUTED_VALUE"""),1895340.0)</f>
        <v>1895340</v>
      </c>
    </row>
    <row r="584">
      <c r="A584" s="2">
        <f>IFERROR(__xludf.DUMMYFUNCTION("""COMPUTED_VALUE"""),43245.66666666667)</f>
        <v>43245.66667</v>
      </c>
      <c r="B584" s="1">
        <f>IFERROR(__xludf.DUMMYFUNCTION("""COMPUTED_VALUE"""),2.38)</f>
        <v>2.38</v>
      </c>
      <c r="C584" s="1">
        <f>IFERROR(__xludf.DUMMYFUNCTION("""COMPUTED_VALUE"""),2.44)</f>
        <v>2.44</v>
      </c>
      <c r="D584" s="1">
        <f>IFERROR(__xludf.DUMMYFUNCTION("""COMPUTED_VALUE"""),2.34)</f>
        <v>2.34</v>
      </c>
      <c r="E584" s="1">
        <f>IFERROR(__xludf.DUMMYFUNCTION("""COMPUTED_VALUE"""),2.37)</f>
        <v>2.37</v>
      </c>
      <c r="F584" s="1">
        <f>IFERROR(__xludf.DUMMYFUNCTION("""COMPUTED_VALUE"""),1995935.0)</f>
        <v>1995935</v>
      </c>
    </row>
    <row r="585">
      <c r="A585" s="2">
        <f>IFERROR(__xludf.DUMMYFUNCTION("""COMPUTED_VALUE"""),43252.66666666667)</f>
        <v>43252.66667</v>
      </c>
      <c r="B585" s="1">
        <f>IFERROR(__xludf.DUMMYFUNCTION("""COMPUTED_VALUE"""),2.35)</f>
        <v>2.35</v>
      </c>
      <c r="C585" s="1">
        <f>IFERROR(__xludf.DUMMYFUNCTION("""COMPUTED_VALUE"""),2.47)</f>
        <v>2.47</v>
      </c>
      <c r="D585" s="1">
        <f>IFERROR(__xludf.DUMMYFUNCTION("""COMPUTED_VALUE"""),2.35)</f>
        <v>2.35</v>
      </c>
      <c r="E585" s="1">
        <f>IFERROR(__xludf.DUMMYFUNCTION("""COMPUTED_VALUE"""),2.44)</f>
        <v>2.44</v>
      </c>
      <c r="F585" s="1">
        <f>IFERROR(__xludf.DUMMYFUNCTION("""COMPUTED_VALUE"""),1465681.0)</f>
        <v>1465681</v>
      </c>
    </row>
    <row r="586">
      <c r="A586" s="2">
        <f>IFERROR(__xludf.DUMMYFUNCTION("""COMPUTED_VALUE"""),43259.66666666667)</f>
        <v>43259.66667</v>
      </c>
      <c r="B586" s="1">
        <f>IFERROR(__xludf.DUMMYFUNCTION("""COMPUTED_VALUE"""),2.46)</f>
        <v>2.46</v>
      </c>
      <c r="C586" s="1">
        <f>IFERROR(__xludf.DUMMYFUNCTION("""COMPUTED_VALUE"""),2.64)</f>
        <v>2.64</v>
      </c>
      <c r="D586" s="1">
        <f>IFERROR(__xludf.DUMMYFUNCTION("""COMPUTED_VALUE"""),2.42)</f>
        <v>2.42</v>
      </c>
      <c r="E586" s="1">
        <f>IFERROR(__xludf.DUMMYFUNCTION("""COMPUTED_VALUE"""),2.62)</f>
        <v>2.62</v>
      </c>
      <c r="F586" s="1">
        <f>IFERROR(__xludf.DUMMYFUNCTION("""COMPUTED_VALUE"""),1880678.0)</f>
        <v>1880678</v>
      </c>
    </row>
    <row r="587">
      <c r="A587" s="2">
        <f>IFERROR(__xludf.DUMMYFUNCTION("""COMPUTED_VALUE"""),43266.66666666667)</f>
        <v>43266.66667</v>
      </c>
      <c r="B587" s="1">
        <f>IFERROR(__xludf.DUMMYFUNCTION("""COMPUTED_VALUE"""),2.63)</f>
        <v>2.63</v>
      </c>
      <c r="C587" s="1">
        <f>IFERROR(__xludf.DUMMYFUNCTION("""COMPUTED_VALUE"""),2.71)</f>
        <v>2.71</v>
      </c>
      <c r="D587" s="1">
        <f>IFERROR(__xludf.DUMMYFUNCTION("""COMPUTED_VALUE"""),2.53)</f>
        <v>2.53</v>
      </c>
      <c r="E587" s="1">
        <f>IFERROR(__xludf.DUMMYFUNCTION("""COMPUTED_VALUE"""),2.58)</f>
        <v>2.58</v>
      </c>
      <c r="F587" s="1">
        <f>IFERROR(__xludf.DUMMYFUNCTION("""COMPUTED_VALUE"""),1877261.0)</f>
        <v>1877261</v>
      </c>
    </row>
    <row r="588">
      <c r="A588" s="2">
        <f>IFERROR(__xludf.DUMMYFUNCTION("""COMPUTED_VALUE"""),43273.66666666667)</f>
        <v>43273.66667</v>
      </c>
      <c r="B588" s="1">
        <f>IFERROR(__xludf.DUMMYFUNCTION("""COMPUTED_VALUE"""),2.56)</f>
        <v>2.56</v>
      </c>
      <c r="C588" s="1">
        <f>IFERROR(__xludf.DUMMYFUNCTION("""COMPUTED_VALUE"""),2.59)</f>
        <v>2.59</v>
      </c>
      <c r="D588" s="1">
        <f>IFERROR(__xludf.DUMMYFUNCTION("""COMPUTED_VALUE"""),2.46)</f>
        <v>2.46</v>
      </c>
      <c r="E588" s="1">
        <f>IFERROR(__xludf.DUMMYFUNCTION("""COMPUTED_VALUE"""),2.49)</f>
        <v>2.49</v>
      </c>
      <c r="F588" s="1">
        <f>IFERROR(__xludf.DUMMYFUNCTION("""COMPUTED_VALUE"""),1911263.0)</f>
        <v>1911263</v>
      </c>
    </row>
    <row r="589">
      <c r="A589" s="2">
        <f>IFERROR(__xludf.DUMMYFUNCTION("""COMPUTED_VALUE"""),43280.66666666667)</f>
        <v>43280.66667</v>
      </c>
      <c r="B589" s="1">
        <f>IFERROR(__xludf.DUMMYFUNCTION("""COMPUTED_VALUE"""),2.48)</f>
        <v>2.48</v>
      </c>
      <c r="C589" s="1">
        <f>IFERROR(__xludf.DUMMYFUNCTION("""COMPUTED_VALUE"""),2.49)</f>
        <v>2.49</v>
      </c>
      <c r="D589" s="1">
        <f>IFERROR(__xludf.DUMMYFUNCTION("""COMPUTED_VALUE"""),2.36)</f>
        <v>2.36</v>
      </c>
      <c r="E589" s="1">
        <f>IFERROR(__xludf.DUMMYFUNCTION("""COMPUTED_VALUE"""),2.37)</f>
        <v>2.37</v>
      </c>
      <c r="F589" s="1">
        <f>IFERROR(__xludf.DUMMYFUNCTION("""COMPUTED_VALUE"""),1728659.0)</f>
        <v>1728659</v>
      </c>
    </row>
    <row r="590">
      <c r="A590" s="2">
        <f>IFERROR(__xludf.DUMMYFUNCTION("""COMPUTED_VALUE"""),43287.66666666667)</f>
        <v>43287.66667</v>
      </c>
      <c r="B590" s="1">
        <f>IFERROR(__xludf.DUMMYFUNCTION("""COMPUTED_VALUE"""),2.36)</f>
        <v>2.36</v>
      </c>
      <c r="C590" s="1">
        <f>IFERROR(__xludf.DUMMYFUNCTION("""COMPUTED_VALUE"""),2.47)</f>
        <v>2.47</v>
      </c>
      <c r="D590" s="1">
        <f>IFERROR(__xludf.DUMMYFUNCTION("""COMPUTED_VALUE"""),2.32)</f>
        <v>2.32</v>
      </c>
      <c r="E590" s="1">
        <f>IFERROR(__xludf.DUMMYFUNCTION("""COMPUTED_VALUE"""),2.42)</f>
        <v>2.42</v>
      </c>
      <c r="F590" s="1">
        <f>IFERROR(__xludf.DUMMYFUNCTION("""COMPUTED_VALUE"""),1275643.0)</f>
        <v>1275643</v>
      </c>
    </row>
    <row r="591">
      <c r="A591" s="2">
        <f>IFERROR(__xludf.DUMMYFUNCTION("""COMPUTED_VALUE"""),43294.66666666667)</f>
        <v>43294.66667</v>
      </c>
      <c r="B591" s="1">
        <f>IFERROR(__xludf.DUMMYFUNCTION("""COMPUTED_VALUE"""),2.44)</f>
        <v>2.44</v>
      </c>
      <c r="C591" s="1">
        <f>IFERROR(__xludf.DUMMYFUNCTION("""COMPUTED_VALUE"""),2.5)</f>
        <v>2.5</v>
      </c>
      <c r="D591" s="1">
        <f>IFERROR(__xludf.DUMMYFUNCTION("""COMPUTED_VALUE"""),2.37)</f>
        <v>2.37</v>
      </c>
      <c r="E591" s="1">
        <f>IFERROR(__xludf.DUMMYFUNCTION("""COMPUTED_VALUE"""),2.4)</f>
        <v>2.4</v>
      </c>
      <c r="F591" s="1">
        <f>IFERROR(__xludf.DUMMYFUNCTION("""COMPUTED_VALUE"""),1297806.0)</f>
        <v>1297806</v>
      </c>
    </row>
    <row r="592">
      <c r="A592" s="2">
        <f>IFERROR(__xludf.DUMMYFUNCTION("""COMPUTED_VALUE"""),43301.66666666667)</f>
        <v>43301.66667</v>
      </c>
      <c r="B592" s="1">
        <f>IFERROR(__xludf.DUMMYFUNCTION("""COMPUTED_VALUE"""),2.4)</f>
        <v>2.4</v>
      </c>
      <c r="C592" s="1">
        <f>IFERROR(__xludf.DUMMYFUNCTION("""COMPUTED_VALUE"""),2.44)</f>
        <v>2.44</v>
      </c>
      <c r="D592" s="1">
        <f>IFERROR(__xludf.DUMMYFUNCTION("""COMPUTED_VALUE"""),2.37)</f>
        <v>2.37</v>
      </c>
      <c r="E592" s="1">
        <f>IFERROR(__xludf.DUMMYFUNCTION("""COMPUTED_VALUE"""),2.38)</f>
        <v>2.38</v>
      </c>
      <c r="F592" s="1">
        <f>IFERROR(__xludf.DUMMYFUNCTION("""COMPUTED_VALUE"""),909559.0)</f>
        <v>909559</v>
      </c>
    </row>
    <row r="593">
      <c r="A593" s="2">
        <f>IFERROR(__xludf.DUMMYFUNCTION("""COMPUTED_VALUE"""),43308.66666666667)</f>
        <v>43308.66667</v>
      </c>
      <c r="B593" s="1">
        <f>IFERROR(__xludf.DUMMYFUNCTION("""COMPUTED_VALUE"""),2.37)</f>
        <v>2.37</v>
      </c>
      <c r="C593" s="1">
        <f>IFERROR(__xludf.DUMMYFUNCTION("""COMPUTED_VALUE"""),2.39)</f>
        <v>2.39</v>
      </c>
      <c r="D593" s="1">
        <f>IFERROR(__xludf.DUMMYFUNCTION("""COMPUTED_VALUE"""),2.17)</f>
        <v>2.17</v>
      </c>
      <c r="E593" s="1">
        <f>IFERROR(__xludf.DUMMYFUNCTION("""COMPUTED_VALUE"""),2.22)</f>
        <v>2.22</v>
      </c>
      <c r="F593" s="1">
        <f>IFERROR(__xludf.DUMMYFUNCTION("""COMPUTED_VALUE"""),1204209.0)</f>
        <v>1204209</v>
      </c>
    </row>
    <row r="594">
      <c r="A594" s="2">
        <f>IFERROR(__xludf.DUMMYFUNCTION("""COMPUTED_VALUE"""),43315.66666666667)</f>
        <v>43315.66667</v>
      </c>
      <c r="B594" s="1">
        <f>IFERROR(__xludf.DUMMYFUNCTION("""COMPUTED_VALUE"""),2.22)</f>
        <v>2.22</v>
      </c>
      <c r="C594" s="1">
        <f>IFERROR(__xludf.DUMMYFUNCTION("""COMPUTED_VALUE"""),2.25)</f>
        <v>2.25</v>
      </c>
      <c r="D594" s="1">
        <f>IFERROR(__xludf.DUMMYFUNCTION("""COMPUTED_VALUE"""),2.09)</f>
        <v>2.09</v>
      </c>
      <c r="E594" s="1">
        <f>IFERROR(__xludf.DUMMYFUNCTION("""COMPUTED_VALUE"""),2.1)</f>
        <v>2.1</v>
      </c>
      <c r="F594" s="1">
        <f>IFERROR(__xludf.DUMMYFUNCTION("""COMPUTED_VALUE"""),2795368.0)</f>
        <v>2795368</v>
      </c>
    </row>
    <row r="595">
      <c r="A595" s="2">
        <f>IFERROR(__xludf.DUMMYFUNCTION("""COMPUTED_VALUE"""),43322.66666666667)</f>
        <v>43322.66667</v>
      </c>
      <c r="B595" s="1">
        <f>IFERROR(__xludf.DUMMYFUNCTION("""COMPUTED_VALUE"""),2.1)</f>
        <v>2.1</v>
      </c>
      <c r="C595" s="1">
        <f>IFERROR(__xludf.DUMMYFUNCTION("""COMPUTED_VALUE"""),2.14)</f>
        <v>2.14</v>
      </c>
      <c r="D595" s="1">
        <f>IFERROR(__xludf.DUMMYFUNCTION("""COMPUTED_VALUE"""),1.87)</f>
        <v>1.87</v>
      </c>
      <c r="E595" s="1">
        <f>IFERROR(__xludf.DUMMYFUNCTION("""COMPUTED_VALUE"""),1.98)</f>
        <v>1.98</v>
      </c>
      <c r="F595" s="1">
        <f>IFERROR(__xludf.DUMMYFUNCTION("""COMPUTED_VALUE"""),2492570.0)</f>
        <v>2492570</v>
      </c>
    </row>
    <row r="596">
      <c r="A596" s="2">
        <f>IFERROR(__xludf.DUMMYFUNCTION("""COMPUTED_VALUE"""),43329.66666666667)</f>
        <v>43329.66667</v>
      </c>
      <c r="B596" s="1">
        <f>IFERROR(__xludf.DUMMYFUNCTION("""COMPUTED_VALUE"""),1.99)</f>
        <v>1.99</v>
      </c>
      <c r="C596" s="1">
        <f>IFERROR(__xludf.DUMMYFUNCTION("""COMPUTED_VALUE"""),2.03)</f>
        <v>2.03</v>
      </c>
      <c r="D596" s="1">
        <f>IFERROR(__xludf.DUMMYFUNCTION("""COMPUTED_VALUE"""),1.87)</f>
        <v>1.87</v>
      </c>
      <c r="E596" s="1">
        <f>IFERROR(__xludf.DUMMYFUNCTION("""COMPUTED_VALUE"""),1.89)</f>
        <v>1.89</v>
      </c>
      <c r="F596" s="1">
        <f>IFERROR(__xludf.DUMMYFUNCTION("""COMPUTED_VALUE"""),2233285.0)</f>
        <v>2233285</v>
      </c>
    </row>
    <row r="597">
      <c r="A597" s="2">
        <f>IFERROR(__xludf.DUMMYFUNCTION("""COMPUTED_VALUE"""),43336.66666666667)</f>
        <v>43336.66667</v>
      </c>
      <c r="B597" s="1">
        <f>IFERROR(__xludf.DUMMYFUNCTION("""COMPUTED_VALUE"""),1.91)</f>
        <v>1.91</v>
      </c>
      <c r="C597" s="1">
        <f>IFERROR(__xludf.DUMMYFUNCTION("""COMPUTED_VALUE"""),1.91)</f>
        <v>1.91</v>
      </c>
      <c r="D597" s="1">
        <f>IFERROR(__xludf.DUMMYFUNCTION("""COMPUTED_VALUE"""),1.42)</f>
        <v>1.42</v>
      </c>
      <c r="E597" s="1">
        <f>IFERROR(__xludf.DUMMYFUNCTION("""COMPUTED_VALUE"""),1.64)</f>
        <v>1.64</v>
      </c>
      <c r="F597" s="1">
        <f>IFERROR(__xludf.DUMMYFUNCTION("""COMPUTED_VALUE"""),4.6239412E7)</f>
        <v>46239412</v>
      </c>
    </row>
    <row r="598">
      <c r="A598" s="2">
        <f>IFERROR(__xludf.DUMMYFUNCTION("""COMPUTED_VALUE"""),43343.66666666667)</f>
        <v>43343.66667</v>
      </c>
      <c r="B598" s="1">
        <f>IFERROR(__xludf.DUMMYFUNCTION("""COMPUTED_VALUE"""),1.65)</f>
        <v>1.65</v>
      </c>
      <c r="C598" s="1">
        <f>IFERROR(__xludf.DUMMYFUNCTION("""COMPUTED_VALUE"""),2.09)</f>
        <v>2.09</v>
      </c>
      <c r="D598" s="1">
        <f>IFERROR(__xludf.DUMMYFUNCTION("""COMPUTED_VALUE"""),1.65)</f>
        <v>1.65</v>
      </c>
      <c r="E598" s="1">
        <f>IFERROR(__xludf.DUMMYFUNCTION("""COMPUTED_VALUE"""),2.05)</f>
        <v>2.05</v>
      </c>
      <c r="F598" s="1">
        <f>IFERROR(__xludf.DUMMYFUNCTION("""COMPUTED_VALUE"""),8871689.0)</f>
        <v>8871689</v>
      </c>
    </row>
    <row r="599">
      <c r="A599" s="2">
        <f>IFERROR(__xludf.DUMMYFUNCTION("""COMPUTED_VALUE"""),43350.66666666667)</f>
        <v>43350.66667</v>
      </c>
      <c r="B599" s="1">
        <f>IFERROR(__xludf.DUMMYFUNCTION("""COMPUTED_VALUE"""),2.03)</f>
        <v>2.03</v>
      </c>
      <c r="C599" s="1">
        <f>IFERROR(__xludf.DUMMYFUNCTION("""COMPUTED_VALUE"""),2.06)</f>
        <v>2.06</v>
      </c>
      <c r="D599" s="1">
        <f>IFERROR(__xludf.DUMMYFUNCTION("""COMPUTED_VALUE"""),1.91)</f>
        <v>1.91</v>
      </c>
      <c r="E599" s="1">
        <f>IFERROR(__xludf.DUMMYFUNCTION("""COMPUTED_VALUE"""),2.02)</f>
        <v>2.02</v>
      </c>
      <c r="F599" s="1">
        <f>IFERROR(__xludf.DUMMYFUNCTION("""COMPUTED_VALUE"""),1956797.0)</f>
        <v>1956797</v>
      </c>
    </row>
    <row r="600">
      <c r="A600" s="2">
        <f>IFERROR(__xludf.DUMMYFUNCTION("""COMPUTED_VALUE"""),43357.66666666667)</f>
        <v>43357.66667</v>
      </c>
      <c r="B600" s="1">
        <f>IFERROR(__xludf.DUMMYFUNCTION("""COMPUTED_VALUE"""),2.03)</f>
        <v>2.03</v>
      </c>
      <c r="C600" s="1">
        <f>IFERROR(__xludf.DUMMYFUNCTION("""COMPUTED_VALUE"""),2.03)</f>
        <v>2.03</v>
      </c>
      <c r="D600" s="1">
        <f>IFERROR(__xludf.DUMMYFUNCTION("""COMPUTED_VALUE"""),1.97)</f>
        <v>1.97</v>
      </c>
      <c r="E600" s="1">
        <f>IFERROR(__xludf.DUMMYFUNCTION("""COMPUTED_VALUE"""),2.01)</f>
        <v>2.01</v>
      </c>
      <c r="F600" s="1">
        <f>IFERROR(__xludf.DUMMYFUNCTION("""COMPUTED_VALUE"""),2499532.0)</f>
        <v>2499532</v>
      </c>
    </row>
    <row r="601">
      <c r="A601" s="2">
        <f>IFERROR(__xludf.DUMMYFUNCTION("""COMPUTED_VALUE"""),43364.66666666667)</f>
        <v>43364.66667</v>
      </c>
      <c r="B601" s="1">
        <f>IFERROR(__xludf.DUMMYFUNCTION("""COMPUTED_VALUE"""),2.01)</f>
        <v>2.01</v>
      </c>
      <c r="C601" s="1">
        <f>IFERROR(__xludf.DUMMYFUNCTION("""COMPUTED_VALUE"""),2.15)</f>
        <v>2.15</v>
      </c>
      <c r="D601" s="1">
        <f>IFERROR(__xludf.DUMMYFUNCTION("""COMPUTED_VALUE"""),2.01)</f>
        <v>2.01</v>
      </c>
      <c r="E601" s="1">
        <f>IFERROR(__xludf.DUMMYFUNCTION("""COMPUTED_VALUE"""),2.07)</f>
        <v>2.07</v>
      </c>
      <c r="F601" s="1">
        <f>IFERROR(__xludf.DUMMYFUNCTION("""COMPUTED_VALUE"""),1313002.0)</f>
        <v>1313002</v>
      </c>
    </row>
    <row r="602">
      <c r="A602" s="2">
        <f>IFERROR(__xludf.DUMMYFUNCTION("""COMPUTED_VALUE"""),43371.66666666667)</f>
        <v>43371.66667</v>
      </c>
      <c r="B602" s="1">
        <f>IFERROR(__xludf.DUMMYFUNCTION("""COMPUTED_VALUE"""),2.08)</f>
        <v>2.08</v>
      </c>
      <c r="C602" s="1">
        <f>IFERROR(__xludf.DUMMYFUNCTION("""COMPUTED_VALUE"""),2.14)</f>
        <v>2.14</v>
      </c>
      <c r="D602" s="1">
        <f>IFERROR(__xludf.DUMMYFUNCTION("""COMPUTED_VALUE"""),1.97)</f>
        <v>1.97</v>
      </c>
      <c r="E602" s="1">
        <f>IFERROR(__xludf.DUMMYFUNCTION("""COMPUTED_VALUE"""),2.06)</f>
        <v>2.06</v>
      </c>
      <c r="F602" s="1">
        <f>IFERROR(__xludf.DUMMYFUNCTION("""COMPUTED_VALUE"""),1335111.0)</f>
        <v>1335111</v>
      </c>
    </row>
    <row r="603">
      <c r="A603" s="2">
        <f>IFERROR(__xludf.DUMMYFUNCTION("""COMPUTED_VALUE"""),43378.66666666667)</f>
        <v>43378.66667</v>
      </c>
      <c r="B603" s="1">
        <f>IFERROR(__xludf.DUMMYFUNCTION("""COMPUTED_VALUE"""),2.07)</f>
        <v>2.07</v>
      </c>
      <c r="C603" s="1">
        <f>IFERROR(__xludf.DUMMYFUNCTION("""COMPUTED_VALUE"""),2.16)</f>
        <v>2.16</v>
      </c>
      <c r="D603" s="1">
        <f>IFERROR(__xludf.DUMMYFUNCTION("""COMPUTED_VALUE"""),0.85)</f>
        <v>0.85</v>
      </c>
      <c r="E603" s="1">
        <f>IFERROR(__xludf.DUMMYFUNCTION("""COMPUTED_VALUE"""),1.24)</f>
        <v>1.24</v>
      </c>
      <c r="F603" s="1">
        <f>IFERROR(__xludf.DUMMYFUNCTION("""COMPUTED_VALUE"""),1.5868122E7)</f>
        <v>15868122</v>
      </c>
    </row>
    <row r="604">
      <c r="A604" s="2">
        <f>IFERROR(__xludf.DUMMYFUNCTION("""COMPUTED_VALUE"""),43385.66666666667)</f>
        <v>43385.66667</v>
      </c>
      <c r="B604" s="1">
        <f>IFERROR(__xludf.DUMMYFUNCTION("""COMPUTED_VALUE"""),1.31)</f>
        <v>1.31</v>
      </c>
      <c r="C604" s="1">
        <f>IFERROR(__xludf.DUMMYFUNCTION("""COMPUTED_VALUE"""),1.56)</f>
        <v>1.56</v>
      </c>
      <c r="D604" s="1">
        <f>IFERROR(__xludf.DUMMYFUNCTION("""COMPUTED_VALUE"""),1.07)</f>
        <v>1.07</v>
      </c>
      <c r="E604" s="1">
        <f>IFERROR(__xludf.DUMMYFUNCTION("""COMPUTED_VALUE"""),1.31)</f>
        <v>1.31</v>
      </c>
      <c r="F604" s="1">
        <f>IFERROR(__xludf.DUMMYFUNCTION("""COMPUTED_VALUE"""),1.0323727E7)</f>
        <v>10323727</v>
      </c>
    </row>
    <row r="605">
      <c r="A605" s="2">
        <f>IFERROR(__xludf.DUMMYFUNCTION("""COMPUTED_VALUE"""),43392.66666666667)</f>
        <v>43392.66667</v>
      </c>
      <c r="B605" s="1">
        <f>IFERROR(__xludf.DUMMYFUNCTION("""COMPUTED_VALUE"""),1.35)</f>
        <v>1.35</v>
      </c>
      <c r="C605" s="1">
        <f>IFERROR(__xludf.DUMMYFUNCTION("""COMPUTED_VALUE"""),1.43)</f>
        <v>1.43</v>
      </c>
      <c r="D605" s="1">
        <f>IFERROR(__xludf.DUMMYFUNCTION("""COMPUTED_VALUE"""),1.32)</f>
        <v>1.32</v>
      </c>
      <c r="E605" s="1">
        <f>IFERROR(__xludf.DUMMYFUNCTION("""COMPUTED_VALUE"""),1.41)</f>
        <v>1.41</v>
      </c>
      <c r="F605" s="1">
        <f>IFERROR(__xludf.DUMMYFUNCTION("""COMPUTED_VALUE"""),2131895.0)</f>
        <v>2131895</v>
      </c>
    </row>
    <row r="606">
      <c r="A606" s="2">
        <f>IFERROR(__xludf.DUMMYFUNCTION("""COMPUTED_VALUE"""),43399.66666666667)</f>
        <v>43399.66667</v>
      </c>
      <c r="B606" s="1">
        <f>IFERROR(__xludf.DUMMYFUNCTION("""COMPUTED_VALUE"""),1.46)</f>
        <v>1.46</v>
      </c>
      <c r="C606" s="1">
        <f>IFERROR(__xludf.DUMMYFUNCTION("""COMPUTED_VALUE"""),1.48)</f>
        <v>1.48</v>
      </c>
      <c r="D606" s="1">
        <f>IFERROR(__xludf.DUMMYFUNCTION("""COMPUTED_VALUE"""),1.39)</f>
        <v>1.39</v>
      </c>
      <c r="E606" s="1">
        <f>IFERROR(__xludf.DUMMYFUNCTION("""COMPUTED_VALUE"""),1.44)</f>
        <v>1.44</v>
      </c>
      <c r="F606" s="1">
        <f>IFERROR(__xludf.DUMMYFUNCTION("""COMPUTED_VALUE"""),2517114.0)</f>
        <v>2517114</v>
      </c>
    </row>
    <row r="607">
      <c r="A607" s="2">
        <f>IFERROR(__xludf.DUMMYFUNCTION("""COMPUTED_VALUE"""),43406.66666666667)</f>
        <v>43406.66667</v>
      </c>
      <c r="B607" s="1">
        <f>IFERROR(__xludf.DUMMYFUNCTION("""COMPUTED_VALUE"""),1.44)</f>
        <v>1.44</v>
      </c>
      <c r="C607" s="1">
        <f>IFERROR(__xludf.DUMMYFUNCTION("""COMPUTED_VALUE"""),1.46)</f>
        <v>1.46</v>
      </c>
      <c r="D607" s="1">
        <f>IFERROR(__xludf.DUMMYFUNCTION("""COMPUTED_VALUE"""),1.29)</f>
        <v>1.29</v>
      </c>
      <c r="E607" s="1">
        <f>IFERROR(__xludf.DUMMYFUNCTION("""COMPUTED_VALUE"""),1.38)</f>
        <v>1.38</v>
      </c>
      <c r="F607" s="1">
        <f>IFERROR(__xludf.DUMMYFUNCTION("""COMPUTED_VALUE"""),1919104.0)</f>
        <v>1919104</v>
      </c>
    </row>
    <row r="608">
      <c r="A608" s="2">
        <f>IFERROR(__xludf.DUMMYFUNCTION("""COMPUTED_VALUE"""),43413.66666666667)</f>
        <v>43413.66667</v>
      </c>
      <c r="B608" s="1">
        <f>IFERROR(__xludf.DUMMYFUNCTION("""COMPUTED_VALUE"""),1.36)</f>
        <v>1.36</v>
      </c>
      <c r="C608" s="1">
        <f>IFERROR(__xludf.DUMMYFUNCTION("""COMPUTED_VALUE"""),1.39)</f>
        <v>1.39</v>
      </c>
      <c r="D608" s="1">
        <f>IFERROR(__xludf.DUMMYFUNCTION("""COMPUTED_VALUE"""),1.12)</f>
        <v>1.12</v>
      </c>
      <c r="E608" s="1">
        <f>IFERROR(__xludf.DUMMYFUNCTION("""COMPUTED_VALUE"""),1.21)</f>
        <v>1.21</v>
      </c>
      <c r="F608" s="1">
        <f>IFERROR(__xludf.DUMMYFUNCTION("""COMPUTED_VALUE"""),2029965.0)</f>
        <v>2029965</v>
      </c>
    </row>
    <row r="609">
      <c r="A609" s="2">
        <f>IFERROR(__xludf.DUMMYFUNCTION("""COMPUTED_VALUE"""),43420.66666666667)</f>
        <v>43420.66667</v>
      </c>
      <c r="B609" s="1">
        <f>IFERROR(__xludf.DUMMYFUNCTION("""COMPUTED_VALUE"""),1.22)</f>
        <v>1.22</v>
      </c>
      <c r="C609" s="1">
        <f>IFERROR(__xludf.DUMMYFUNCTION("""COMPUTED_VALUE"""),1.49)</f>
        <v>1.49</v>
      </c>
      <c r="D609" s="1">
        <f>IFERROR(__xludf.DUMMYFUNCTION("""COMPUTED_VALUE"""),1.13)</f>
        <v>1.13</v>
      </c>
      <c r="E609" s="1">
        <f>IFERROR(__xludf.DUMMYFUNCTION("""COMPUTED_VALUE"""),1.43)</f>
        <v>1.43</v>
      </c>
      <c r="F609" s="1">
        <f>IFERROR(__xludf.DUMMYFUNCTION("""COMPUTED_VALUE"""),3849596.0)</f>
        <v>3849596</v>
      </c>
    </row>
    <row r="610">
      <c r="A610" s="2">
        <f>IFERROR(__xludf.DUMMYFUNCTION("""COMPUTED_VALUE"""),43427.54166666667)</f>
        <v>43427.54167</v>
      </c>
      <c r="B610" s="1">
        <f>IFERROR(__xludf.DUMMYFUNCTION("""COMPUTED_VALUE"""),1.43)</f>
        <v>1.43</v>
      </c>
      <c r="C610" s="1">
        <f>IFERROR(__xludf.DUMMYFUNCTION("""COMPUTED_VALUE"""),1.44)</f>
        <v>1.44</v>
      </c>
      <c r="D610" s="1">
        <f>IFERROR(__xludf.DUMMYFUNCTION("""COMPUTED_VALUE"""),1.33)</f>
        <v>1.33</v>
      </c>
      <c r="E610" s="1">
        <f>IFERROR(__xludf.DUMMYFUNCTION("""COMPUTED_VALUE"""),1.4)</f>
        <v>1.4</v>
      </c>
      <c r="F610" s="1">
        <f>IFERROR(__xludf.DUMMYFUNCTION("""COMPUTED_VALUE"""),940283.0)</f>
        <v>940283</v>
      </c>
    </row>
    <row r="611">
      <c r="A611" s="2">
        <f>IFERROR(__xludf.DUMMYFUNCTION("""COMPUTED_VALUE"""),43434.66666666667)</f>
        <v>43434.66667</v>
      </c>
      <c r="B611" s="1">
        <f>IFERROR(__xludf.DUMMYFUNCTION("""COMPUTED_VALUE"""),1.39)</f>
        <v>1.39</v>
      </c>
      <c r="C611" s="1">
        <f>IFERROR(__xludf.DUMMYFUNCTION("""COMPUTED_VALUE"""),1.5)</f>
        <v>1.5</v>
      </c>
      <c r="D611" s="1">
        <f>IFERROR(__xludf.DUMMYFUNCTION("""COMPUTED_VALUE"""),1.34)</f>
        <v>1.34</v>
      </c>
      <c r="E611" s="1">
        <f>IFERROR(__xludf.DUMMYFUNCTION("""COMPUTED_VALUE"""),1.49)</f>
        <v>1.49</v>
      </c>
      <c r="F611" s="1">
        <f>IFERROR(__xludf.DUMMYFUNCTION("""COMPUTED_VALUE"""),1008317.0)</f>
        <v>1008317</v>
      </c>
    </row>
    <row r="612">
      <c r="A612" s="2">
        <f>IFERROR(__xludf.DUMMYFUNCTION("""COMPUTED_VALUE"""),43441.66666666667)</f>
        <v>43441.66667</v>
      </c>
      <c r="B612" s="1">
        <f>IFERROR(__xludf.DUMMYFUNCTION("""COMPUTED_VALUE"""),1.48)</f>
        <v>1.48</v>
      </c>
      <c r="C612" s="1">
        <f>IFERROR(__xludf.DUMMYFUNCTION("""COMPUTED_VALUE"""),1.65)</f>
        <v>1.65</v>
      </c>
      <c r="D612" s="1">
        <f>IFERROR(__xludf.DUMMYFUNCTION("""COMPUTED_VALUE"""),1.45)</f>
        <v>1.45</v>
      </c>
      <c r="E612" s="1">
        <f>IFERROR(__xludf.DUMMYFUNCTION("""COMPUTED_VALUE"""),1.63)</f>
        <v>1.63</v>
      </c>
      <c r="F612" s="1">
        <f>IFERROR(__xludf.DUMMYFUNCTION("""COMPUTED_VALUE"""),1490307.0)</f>
        <v>1490307</v>
      </c>
    </row>
    <row r="613">
      <c r="A613" s="2">
        <f>IFERROR(__xludf.DUMMYFUNCTION("""COMPUTED_VALUE"""),43448.66666666667)</f>
        <v>43448.66667</v>
      </c>
      <c r="B613" s="1">
        <f>IFERROR(__xludf.DUMMYFUNCTION("""COMPUTED_VALUE"""),1.62)</f>
        <v>1.62</v>
      </c>
      <c r="C613" s="1">
        <f>IFERROR(__xludf.DUMMYFUNCTION("""COMPUTED_VALUE"""),1.67)</f>
        <v>1.67</v>
      </c>
      <c r="D613" s="1">
        <f>IFERROR(__xludf.DUMMYFUNCTION("""COMPUTED_VALUE"""),1.55)</f>
        <v>1.55</v>
      </c>
      <c r="E613" s="1">
        <f>IFERROR(__xludf.DUMMYFUNCTION("""COMPUTED_VALUE"""),1.67)</f>
        <v>1.67</v>
      </c>
      <c r="F613" s="1">
        <f>IFERROR(__xludf.DUMMYFUNCTION("""COMPUTED_VALUE"""),1273416.0)</f>
        <v>1273416</v>
      </c>
    </row>
    <row r="614">
      <c r="A614" s="2">
        <f>IFERROR(__xludf.DUMMYFUNCTION("""COMPUTED_VALUE"""),43455.66666666667)</f>
        <v>43455.66667</v>
      </c>
      <c r="B614" s="1">
        <f>IFERROR(__xludf.DUMMYFUNCTION("""COMPUTED_VALUE"""),1.66)</f>
        <v>1.66</v>
      </c>
      <c r="C614" s="1">
        <f>IFERROR(__xludf.DUMMYFUNCTION("""COMPUTED_VALUE"""),1.7)</f>
        <v>1.7</v>
      </c>
      <c r="D614" s="1">
        <f>IFERROR(__xludf.DUMMYFUNCTION("""COMPUTED_VALUE"""),1.38)</f>
        <v>1.38</v>
      </c>
      <c r="E614" s="1">
        <f>IFERROR(__xludf.DUMMYFUNCTION("""COMPUTED_VALUE"""),1.4)</f>
        <v>1.4</v>
      </c>
      <c r="F614" s="1">
        <f>IFERROR(__xludf.DUMMYFUNCTION("""COMPUTED_VALUE"""),1463973.0)</f>
        <v>1463973</v>
      </c>
    </row>
    <row r="615">
      <c r="A615" s="2">
        <f>IFERROR(__xludf.DUMMYFUNCTION("""COMPUTED_VALUE"""),43462.66666666667)</f>
        <v>43462.66667</v>
      </c>
      <c r="B615" s="1">
        <f>IFERROR(__xludf.DUMMYFUNCTION("""COMPUTED_VALUE"""),1.4)</f>
        <v>1.4</v>
      </c>
      <c r="C615" s="1">
        <f>IFERROR(__xludf.DUMMYFUNCTION("""COMPUTED_VALUE"""),1.42)</f>
        <v>1.42</v>
      </c>
      <c r="D615" s="1">
        <f>IFERROR(__xludf.DUMMYFUNCTION("""COMPUTED_VALUE"""),1.37)</f>
        <v>1.37</v>
      </c>
      <c r="E615" s="1">
        <f>IFERROR(__xludf.DUMMYFUNCTION("""COMPUTED_VALUE"""),1.39)</f>
        <v>1.39</v>
      </c>
      <c r="F615" s="1">
        <f>IFERROR(__xludf.DUMMYFUNCTION("""COMPUTED_VALUE"""),820348.0)</f>
        <v>820348</v>
      </c>
    </row>
    <row r="616">
      <c r="A616" s="2">
        <f>IFERROR(__xludf.DUMMYFUNCTION("""COMPUTED_VALUE"""),43469.66666666667)</f>
        <v>43469.66667</v>
      </c>
      <c r="B616" s="1">
        <f>IFERROR(__xludf.DUMMYFUNCTION("""COMPUTED_VALUE"""),1.39)</f>
        <v>1.39</v>
      </c>
      <c r="C616" s="1">
        <f>IFERROR(__xludf.DUMMYFUNCTION("""COMPUTED_VALUE"""),1.59)</f>
        <v>1.59</v>
      </c>
      <c r="D616" s="1">
        <f>IFERROR(__xludf.DUMMYFUNCTION("""COMPUTED_VALUE"""),1.35)</f>
        <v>1.35</v>
      </c>
      <c r="E616" s="1">
        <f>IFERROR(__xludf.DUMMYFUNCTION("""COMPUTED_VALUE"""),1.56)</f>
        <v>1.56</v>
      </c>
      <c r="F616" s="1">
        <f>IFERROR(__xludf.DUMMYFUNCTION("""COMPUTED_VALUE"""),1148059.0)</f>
        <v>1148059</v>
      </c>
    </row>
    <row r="617">
      <c r="A617" s="2">
        <f>IFERROR(__xludf.DUMMYFUNCTION("""COMPUTED_VALUE"""),43476.66666666667)</f>
        <v>43476.66667</v>
      </c>
      <c r="B617" s="1">
        <f>IFERROR(__xludf.DUMMYFUNCTION("""COMPUTED_VALUE"""),1.54)</f>
        <v>1.54</v>
      </c>
      <c r="C617" s="1">
        <f>IFERROR(__xludf.DUMMYFUNCTION("""COMPUTED_VALUE"""),1.59)</f>
        <v>1.59</v>
      </c>
      <c r="D617" s="1">
        <f>IFERROR(__xludf.DUMMYFUNCTION("""COMPUTED_VALUE"""),1.49)</f>
        <v>1.49</v>
      </c>
      <c r="E617" s="1">
        <f>IFERROR(__xludf.DUMMYFUNCTION("""COMPUTED_VALUE"""),1.5)</f>
        <v>1.5</v>
      </c>
      <c r="F617" s="1">
        <f>IFERROR(__xludf.DUMMYFUNCTION("""COMPUTED_VALUE"""),613454.0)</f>
        <v>613454</v>
      </c>
    </row>
    <row r="618">
      <c r="A618" s="2">
        <f>IFERROR(__xludf.DUMMYFUNCTION("""COMPUTED_VALUE"""),43483.66666666667)</f>
        <v>43483.66667</v>
      </c>
      <c r="B618" s="1">
        <f>IFERROR(__xludf.DUMMYFUNCTION("""COMPUTED_VALUE"""),1.52)</f>
        <v>1.52</v>
      </c>
      <c r="C618" s="1">
        <f>IFERROR(__xludf.DUMMYFUNCTION("""COMPUTED_VALUE"""),1.54)</f>
        <v>1.54</v>
      </c>
      <c r="D618" s="1">
        <f>IFERROR(__xludf.DUMMYFUNCTION("""COMPUTED_VALUE"""),1.44)</f>
        <v>1.44</v>
      </c>
      <c r="E618" s="1">
        <f>IFERROR(__xludf.DUMMYFUNCTION("""COMPUTED_VALUE"""),1.5)</f>
        <v>1.5</v>
      </c>
      <c r="F618" s="1">
        <f>IFERROR(__xludf.DUMMYFUNCTION("""COMPUTED_VALUE"""),1037214.0)</f>
        <v>1037214</v>
      </c>
    </row>
    <row r="619">
      <c r="A619" s="2">
        <f>IFERROR(__xludf.DUMMYFUNCTION("""COMPUTED_VALUE"""),43490.66666666667)</f>
        <v>43490.66667</v>
      </c>
      <c r="B619" s="1">
        <f>IFERROR(__xludf.DUMMYFUNCTION("""COMPUTED_VALUE"""),1.45)</f>
        <v>1.45</v>
      </c>
      <c r="C619" s="1">
        <f>IFERROR(__xludf.DUMMYFUNCTION("""COMPUTED_VALUE"""),1.51)</f>
        <v>1.51</v>
      </c>
      <c r="D619" s="1">
        <f>IFERROR(__xludf.DUMMYFUNCTION("""COMPUTED_VALUE"""),1.45)</f>
        <v>1.45</v>
      </c>
      <c r="E619" s="1">
        <f>IFERROR(__xludf.DUMMYFUNCTION("""COMPUTED_VALUE"""),1.5)</f>
        <v>1.5</v>
      </c>
      <c r="F619" s="1">
        <f>IFERROR(__xludf.DUMMYFUNCTION("""COMPUTED_VALUE"""),967167.0)</f>
        <v>967167</v>
      </c>
    </row>
    <row r="620">
      <c r="A620" s="2">
        <f>IFERROR(__xludf.DUMMYFUNCTION("""COMPUTED_VALUE"""),43497.66666666667)</f>
        <v>43497.66667</v>
      </c>
      <c r="B620" s="1">
        <f>IFERROR(__xludf.DUMMYFUNCTION("""COMPUTED_VALUE"""),1.5)</f>
        <v>1.5</v>
      </c>
      <c r="C620" s="1">
        <f>IFERROR(__xludf.DUMMYFUNCTION("""COMPUTED_VALUE"""),1.55)</f>
        <v>1.55</v>
      </c>
      <c r="D620" s="1">
        <f>IFERROR(__xludf.DUMMYFUNCTION("""COMPUTED_VALUE"""),1.47)</f>
        <v>1.47</v>
      </c>
      <c r="E620" s="1">
        <f>IFERROR(__xludf.DUMMYFUNCTION("""COMPUTED_VALUE"""),1.53)</f>
        <v>1.53</v>
      </c>
      <c r="F620" s="1">
        <f>IFERROR(__xludf.DUMMYFUNCTION("""COMPUTED_VALUE"""),448340.0)</f>
        <v>448340</v>
      </c>
    </row>
    <row r="621">
      <c r="A621" s="2">
        <f>IFERROR(__xludf.DUMMYFUNCTION("""COMPUTED_VALUE"""),43504.66666666667)</f>
        <v>43504.66667</v>
      </c>
      <c r="B621" s="1">
        <f>IFERROR(__xludf.DUMMYFUNCTION("""COMPUTED_VALUE"""),1.53)</f>
        <v>1.53</v>
      </c>
      <c r="C621" s="1">
        <f>IFERROR(__xludf.DUMMYFUNCTION("""COMPUTED_VALUE"""),1.59)</f>
        <v>1.59</v>
      </c>
      <c r="D621" s="1">
        <f>IFERROR(__xludf.DUMMYFUNCTION("""COMPUTED_VALUE"""),1.52)</f>
        <v>1.52</v>
      </c>
      <c r="E621" s="1">
        <f>IFERROR(__xludf.DUMMYFUNCTION("""COMPUTED_VALUE"""),1.54)</f>
        <v>1.54</v>
      </c>
      <c r="F621" s="1">
        <f>IFERROR(__xludf.DUMMYFUNCTION("""COMPUTED_VALUE"""),600919.0)</f>
        <v>600919</v>
      </c>
    </row>
    <row r="622">
      <c r="A622" s="2">
        <f>IFERROR(__xludf.DUMMYFUNCTION("""COMPUTED_VALUE"""),43511.66666666667)</f>
        <v>43511.66667</v>
      </c>
      <c r="B622" s="1">
        <f>IFERROR(__xludf.DUMMYFUNCTION("""COMPUTED_VALUE"""),1.53)</f>
        <v>1.53</v>
      </c>
      <c r="C622" s="1">
        <f>IFERROR(__xludf.DUMMYFUNCTION("""COMPUTED_VALUE"""),2.0)</f>
        <v>2</v>
      </c>
      <c r="D622" s="1">
        <f>IFERROR(__xludf.DUMMYFUNCTION("""COMPUTED_VALUE"""),1.53)</f>
        <v>1.53</v>
      </c>
      <c r="E622" s="1">
        <f>IFERROR(__xludf.DUMMYFUNCTION("""COMPUTED_VALUE"""),1.98)</f>
        <v>1.98</v>
      </c>
      <c r="F622" s="1">
        <f>IFERROR(__xludf.DUMMYFUNCTION("""COMPUTED_VALUE"""),1395706.0)</f>
        <v>1395706</v>
      </c>
    </row>
    <row r="623">
      <c r="A623" s="2">
        <f>IFERROR(__xludf.DUMMYFUNCTION("""COMPUTED_VALUE"""),43518.66666666667)</f>
        <v>43518.66667</v>
      </c>
      <c r="B623" s="1">
        <f>IFERROR(__xludf.DUMMYFUNCTION("""COMPUTED_VALUE"""),1.96)</f>
        <v>1.96</v>
      </c>
      <c r="C623" s="1">
        <f>IFERROR(__xludf.DUMMYFUNCTION("""COMPUTED_VALUE"""),2.05)</f>
        <v>2.05</v>
      </c>
      <c r="D623" s="1">
        <f>IFERROR(__xludf.DUMMYFUNCTION("""COMPUTED_VALUE"""),1.9)</f>
        <v>1.9</v>
      </c>
      <c r="E623" s="1">
        <f>IFERROR(__xludf.DUMMYFUNCTION("""COMPUTED_VALUE"""),1.97)</f>
        <v>1.97</v>
      </c>
      <c r="F623" s="1">
        <f>IFERROR(__xludf.DUMMYFUNCTION("""COMPUTED_VALUE"""),967567.0)</f>
        <v>967567</v>
      </c>
    </row>
    <row r="624">
      <c r="A624" s="2">
        <f>IFERROR(__xludf.DUMMYFUNCTION("""COMPUTED_VALUE"""),43525.66666666667)</f>
        <v>43525.66667</v>
      </c>
      <c r="B624" s="1">
        <f>IFERROR(__xludf.DUMMYFUNCTION("""COMPUTED_VALUE"""),1.97)</f>
        <v>1.97</v>
      </c>
      <c r="C624" s="1">
        <f>IFERROR(__xludf.DUMMYFUNCTION("""COMPUTED_VALUE"""),1.97)</f>
        <v>1.97</v>
      </c>
      <c r="D624" s="1">
        <f>IFERROR(__xludf.DUMMYFUNCTION("""COMPUTED_VALUE"""),1.89)</f>
        <v>1.89</v>
      </c>
      <c r="E624" s="1">
        <f>IFERROR(__xludf.DUMMYFUNCTION("""COMPUTED_VALUE"""),1.96)</f>
        <v>1.96</v>
      </c>
      <c r="F624" s="1">
        <f>IFERROR(__xludf.DUMMYFUNCTION("""COMPUTED_VALUE"""),606075.0)</f>
        <v>606075</v>
      </c>
    </row>
    <row r="625">
      <c r="A625" s="2">
        <f>IFERROR(__xludf.DUMMYFUNCTION("""COMPUTED_VALUE"""),43532.66666666667)</f>
        <v>43532.66667</v>
      </c>
      <c r="B625" s="1">
        <f>IFERROR(__xludf.DUMMYFUNCTION("""COMPUTED_VALUE"""),1.92)</f>
        <v>1.92</v>
      </c>
      <c r="C625" s="1">
        <f>IFERROR(__xludf.DUMMYFUNCTION("""COMPUTED_VALUE"""),1.98)</f>
        <v>1.98</v>
      </c>
      <c r="D625" s="1">
        <f>IFERROR(__xludf.DUMMYFUNCTION("""COMPUTED_VALUE"""),1.91)</f>
        <v>1.91</v>
      </c>
      <c r="E625" s="1">
        <f>IFERROR(__xludf.DUMMYFUNCTION("""COMPUTED_VALUE"""),1.95)</f>
        <v>1.95</v>
      </c>
      <c r="F625" s="1">
        <f>IFERROR(__xludf.DUMMYFUNCTION("""COMPUTED_VALUE"""),438079.0)</f>
        <v>438079</v>
      </c>
    </row>
    <row r="626">
      <c r="A626" s="2">
        <f>IFERROR(__xludf.DUMMYFUNCTION("""COMPUTED_VALUE"""),43539.66666666667)</f>
        <v>43539.66667</v>
      </c>
      <c r="B626" s="1">
        <f>IFERROR(__xludf.DUMMYFUNCTION("""COMPUTED_VALUE"""),1.92)</f>
        <v>1.92</v>
      </c>
      <c r="C626" s="1">
        <f>IFERROR(__xludf.DUMMYFUNCTION("""COMPUTED_VALUE"""),2.02)</f>
        <v>2.02</v>
      </c>
      <c r="D626" s="1">
        <f>IFERROR(__xludf.DUMMYFUNCTION("""COMPUTED_VALUE"""),1.92)</f>
        <v>1.92</v>
      </c>
      <c r="E626" s="1">
        <f>IFERROR(__xludf.DUMMYFUNCTION("""COMPUTED_VALUE"""),2.01)</f>
        <v>2.01</v>
      </c>
      <c r="F626" s="1">
        <f>IFERROR(__xludf.DUMMYFUNCTION("""COMPUTED_VALUE"""),605553.0)</f>
        <v>605553</v>
      </c>
    </row>
    <row r="627">
      <c r="A627" s="2">
        <f>IFERROR(__xludf.DUMMYFUNCTION("""COMPUTED_VALUE"""),43546.66666666667)</f>
        <v>43546.66667</v>
      </c>
      <c r="B627" s="1">
        <f>IFERROR(__xludf.DUMMYFUNCTION("""COMPUTED_VALUE"""),2.0)</f>
        <v>2</v>
      </c>
      <c r="C627" s="1">
        <f>IFERROR(__xludf.DUMMYFUNCTION("""COMPUTED_VALUE"""),2.08)</f>
        <v>2.08</v>
      </c>
      <c r="D627" s="1">
        <f>IFERROR(__xludf.DUMMYFUNCTION("""COMPUTED_VALUE"""),2.0)</f>
        <v>2</v>
      </c>
      <c r="E627" s="1">
        <f>IFERROR(__xludf.DUMMYFUNCTION("""COMPUTED_VALUE"""),2.06)</f>
        <v>2.06</v>
      </c>
      <c r="F627" s="1">
        <f>IFERROR(__xludf.DUMMYFUNCTION("""COMPUTED_VALUE"""),730425.0)</f>
        <v>730425</v>
      </c>
    </row>
    <row r="628">
      <c r="A628" s="2">
        <f>IFERROR(__xludf.DUMMYFUNCTION("""COMPUTED_VALUE"""),43553.66666666667)</f>
        <v>43553.66667</v>
      </c>
      <c r="B628" s="1">
        <f>IFERROR(__xludf.DUMMYFUNCTION("""COMPUTED_VALUE"""),2.06)</f>
        <v>2.06</v>
      </c>
      <c r="C628" s="1">
        <f>IFERROR(__xludf.DUMMYFUNCTION("""COMPUTED_VALUE"""),2.12)</f>
        <v>2.12</v>
      </c>
      <c r="D628" s="1">
        <f>IFERROR(__xludf.DUMMYFUNCTION("""COMPUTED_VALUE"""),2.06)</f>
        <v>2.06</v>
      </c>
      <c r="E628" s="1">
        <f>IFERROR(__xludf.DUMMYFUNCTION("""COMPUTED_VALUE"""),2.11)</f>
        <v>2.11</v>
      </c>
      <c r="F628" s="1">
        <f>IFERROR(__xludf.DUMMYFUNCTION("""COMPUTED_VALUE"""),1069305.0)</f>
        <v>1069305</v>
      </c>
    </row>
    <row r="629">
      <c r="A629" s="2">
        <f>IFERROR(__xludf.DUMMYFUNCTION("""COMPUTED_VALUE"""),43560.66666666667)</f>
        <v>43560.66667</v>
      </c>
      <c r="B629" s="1">
        <f>IFERROR(__xludf.DUMMYFUNCTION("""COMPUTED_VALUE"""),2.11)</f>
        <v>2.11</v>
      </c>
      <c r="C629" s="1">
        <f>IFERROR(__xludf.DUMMYFUNCTION("""COMPUTED_VALUE"""),2.21)</f>
        <v>2.21</v>
      </c>
      <c r="D629" s="1">
        <f>IFERROR(__xludf.DUMMYFUNCTION("""COMPUTED_VALUE"""),2.11)</f>
        <v>2.11</v>
      </c>
      <c r="E629" s="1">
        <f>IFERROR(__xludf.DUMMYFUNCTION("""COMPUTED_VALUE"""),2.2)</f>
        <v>2.2</v>
      </c>
      <c r="F629" s="1">
        <f>IFERROR(__xludf.DUMMYFUNCTION("""COMPUTED_VALUE"""),1214193.0)</f>
        <v>1214193</v>
      </c>
    </row>
    <row r="630">
      <c r="A630" s="2">
        <f>IFERROR(__xludf.DUMMYFUNCTION("""COMPUTED_VALUE"""),43567.66666666667)</f>
        <v>43567.66667</v>
      </c>
      <c r="B630" s="1">
        <f>IFERROR(__xludf.DUMMYFUNCTION("""COMPUTED_VALUE"""),2.2)</f>
        <v>2.2</v>
      </c>
      <c r="C630" s="1">
        <f>IFERROR(__xludf.DUMMYFUNCTION("""COMPUTED_VALUE"""),2.2)</f>
        <v>2.2</v>
      </c>
      <c r="D630" s="1">
        <f>IFERROR(__xludf.DUMMYFUNCTION("""COMPUTED_VALUE"""),2.14)</f>
        <v>2.14</v>
      </c>
      <c r="E630" s="1">
        <f>IFERROR(__xludf.DUMMYFUNCTION("""COMPUTED_VALUE"""),2.2)</f>
        <v>2.2</v>
      </c>
      <c r="F630" s="1">
        <f>IFERROR(__xludf.DUMMYFUNCTION("""COMPUTED_VALUE"""),424908.0)</f>
        <v>424908</v>
      </c>
    </row>
    <row r="631">
      <c r="A631" s="2">
        <f>IFERROR(__xludf.DUMMYFUNCTION("""COMPUTED_VALUE"""),43573.66666666667)</f>
        <v>43573.66667</v>
      </c>
      <c r="B631" s="1">
        <f>IFERROR(__xludf.DUMMYFUNCTION("""COMPUTED_VALUE"""),2.19)</f>
        <v>2.19</v>
      </c>
      <c r="C631" s="1">
        <f>IFERROR(__xludf.DUMMYFUNCTION("""COMPUTED_VALUE"""),2.22)</f>
        <v>2.22</v>
      </c>
      <c r="D631" s="1">
        <f>IFERROR(__xludf.DUMMYFUNCTION("""COMPUTED_VALUE"""),2.19)</f>
        <v>2.19</v>
      </c>
      <c r="E631" s="1">
        <f>IFERROR(__xludf.DUMMYFUNCTION("""COMPUTED_VALUE"""),2.2)</f>
        <v>2.2</v>
      </c>
      <c r="F631" s="1">
        <f>IFERROR(__xludf.DUMMYFUNCTION("""COMPUTED_VALUE"""),251137.0)</f>
        <v>251137</v>
      </c>
    </row>
    <row r="632">
      <c r="A632" s="2">
        <f>IFERROR(__xludf.DUMMYFUNCTION("""COMPUTED_VALUE"""),43581.66666666667)</f>
        <v>43581.66667</v>
      </c>
      <c r="B632" s="1">
        <f>IFERROR(__xludf.DUMMYFUNCTION("""COMPUTED_VALUE"""),2.2)</f>
        <v>2.2</v>
      </c>
      <c r="C632" s="1">
        <f>IFERROR(__xludf.DUMMYFUNCTION("""COMPUTED_VALUE"""),2.23)</f>
        <v>2.23</v>
      </c>
      <c r="D632" s="1">
        <f>IFERROR(__xludf.DUMMYFUNCTION("""COMPUTED_VALUE"""),2.19)</f>
        <v>2.19</v>
      </c>
      <c r="E632" s="1">
        <f>IFERROR(__xludf.DUMMYFUNCTION("""COMPUTED_VALUE"""),2.22)</f>
        <v>2.22</v>
      </c>
      <c r="F632" s="1">
        <f>IFERROR(__xludf.DUMMYFUNCTION("""COMPUTED_VALUE"""),811744.0)</f>
        <v>811744</v>
      </c>
    </row>
    <row r="633">
      <c r="A633" s="2">
        <f>IFERROR(__xludf.DUMMYFUNCTION("""COMPUTED_VALUE"""),43588.66666666667)</f>
        <v>43588.66667</v>
      </c>
      <c r="B633" s="1">
        <f>IFERROR(__xludf.DUMMYFUNCTION("""COMPUTED_VALUE"""),2.22)</f>
        <v>2.22</v>
      </c>
      <c r="C633" s="1">
        <f>IFERROR(__xludf.DUMMYFUNCTION("""COMPUTED_VALUE"""),2.3)</f>
        <v>2.3</v>
      </c>
      <c r="D633" s="1">
        <f>IFERROR(__xludf.DUMMYFUNCTION("""COMPUTED_VALUE"""),2.22)</f>
        <v>2.22</v>
      </c>
      <c r="E633" s="1">
        <f>IFERROR(__xludf.DUMMYFUNCTION("""COMPUTED_VALUE"""),2.25)</f>
        <v>2.25</v>
      </c>
      <c r="F633" s="1">
        <f>IFERROR(__xludf.DUMMYFUNCTION("""COMPUTED_VALUE"""),531669.0)</f>
        <v>531669</v>
      </c>
    </row>
    <row r="634">
      <c r="A634" s="2">
        <f>IFERROR(__xludf.DUMMYFUNCTION("""COMPUTED_VALUE"""),43595.66666666667)</f>
        <v>43595.66667</v>
      </c>
      <c r="B634" s="1">
        <f>IFERROR(__xludf.DUMMYFUNCTION("""COMPUTED_VALUE"""),2.25)</f>
        <v>2.25</v>
      </c>
      <c r="C634" s="1">
        <f>IFERROR(__xludf.DUMMYFUNCTION("""COMPUTED_VALUE"""),2.26)</f>
        <v>2.26</v>
      </c>
      <c r="D634" s="1">
        <f>IFERROR(__xludf.DUMMYFUNCTION("""COMPUTED_VALUE"""),1.97)</f>
        <v>1.97</v>
      </c>
      <c r="E634" s="1">
        <f>IFERROR(__xludf.DUMMYFUNCTION("""COMPUTED_VALUE"""),2.01)</f>
        <v>2.01</v>
      </c>
      <c r="F634" s="1">
        <f>IFERROR(__xludf.DUMMYFUNCTION("""COMPUTED_VALUE"""),873623.0)</f>
        <v>873623</v>
      </c>
    </row>
    <row r="635">
      <c r="A635" s="2">
        <f>IFERROR(__xludf.DUMMYFUNCTION("""COMPUTED_VALUE"""),43602.66666666667)</f>
        <v>43602.66667</v>
      </c>
      <c r="B635" s="1">
        <f>IFERROR(__xludf.DUMMYFUNCTION("""COMPUTED_VALUE"""),2.0)</f>
        <v>2</v>
      </c>
      <c r="C635" s="1">
        <f>IFERROR(__xludf.DUMMYFUNCTION("""COMPUTED_VALUE"""),2.12)</f>
        <v>2.12</v>
      </c>
      <c r="D635" s="1">
        <f>IFERROR(__xludf.DUMMYFUNCTION("""COMPUTED_VALUE"""),1.93)</f>
        <v>1.93</v>
      </c>
      <c r="E635" s="1">
        <f>IFERROR(__xludf.DUMMYFUNCTION("""COMPUTED_VALUE"""),1.99)</f>
        <v>1.99</v>
      </c>
      <c r="F635" s="1">
        <f>IFERROR(__xludf.DUMMYFUNCTION("""COMPUTED_VALUE"""),737540.0)</f>
        <v>737540</v>
      </c>
    </row>
    <row r="636">
      <c r="A636" s="2">
        <f>IFERROR(__xludf.DUMMYFUNCTION("""COMPUTED_VALUE"""),43609.66666666667)</f>
        <v>43609.66667</v>
      </c>
      <c r="B636" s="1">
        <f>IFERROR(__xludf.DUMMYFUNCTION("""COMPUTED_VALUE"""),1.99)</f>
        <v>1.99</v>
      </c>
      <c r="C636" s="1">
        <f>IFERROR(__xludf.DUMMYFUNCTION("""COMPUTED_VALUE"""),2.05)</f>
        <v>2.05</v>
      </c>
      <c r="D636" s="1">
        <f>IFERROR(__xludf.DUMMYFUNCTION("""COMPUTED_VALUE"""),1.96)</f>
        <v>1.96</v>
      </c>
      <c r="E636" s="1">
        <f>IFERROR(__xludf.DUMMYFUNCTION("""COMPUTED_VALUE"""),1.99)</f>
        <v>1.99</v>
      </c>
      <c r="F636" s="1">
        <f>IFERROR(__xludf.DUMMYFUNCTION("""COMPUTED_VALUE"""),1449436.0)</f>
        <v>1449436</v>
      </c>
    </row>
    <row r="637">
      <c r="A637" s="2">
        <f>IFERROR(__xludf.DUMMYFUNCTION("""COMPUTED_VALUE"""),43616.66666666667)</f>
        <v>43616.66667</v>
      </c>
      <c r="B637" s="1">
        <f>IFERROR(__xludf.DUMMYFUNCTION("""COMPUTED_VALUE"""),1.97)</f>
        <v>1.97</v>
      </c>
      <c r="C637" s="1">
        <f>IFERROR(__xludf.DUMMYFUNCTION("""COMPUTED_VALUE"""),2.0)</f>
        <v>2</v>
      </c>
      <c r="D637" s="1">
        <f>IFERROR(__xludf.DUMMYFUNCTION("""COMPUTED_VALUE"""),1.82)</f>
        <v>1.82</v>
      </c>
      <c r="E637" s="1">
        <f>IFERROR(__xludf.DUMMYFUNCTION("""COMPUTED_VALUE"""),1.9)</f>
        <v>1.9</v>
      </c>
      <c r="F637" s="1">
        <f>IFERROR(__xludf.DUMMYFUNCTION("""COMPUTED_VALUE"""),399123.0)</f>
        <v>399123</v>
      </c>
    </row>
    <row r="638">
      <c r="A638" s="2">
        <f>IFERROR(__xludf.DUMMYFUNCTION("""COMPUTED_VALUE"""),43623.66666666667)</f>
        <v>43623.66667</v>
      </c>
      <c r="B638" s="1">
        <f>IFERROR(__xludf.DUMMYFUNCTION("""COMPUTED_VALUE"""),1.9)</f>
        <v>1.9</v>
      </c>
      <c r="C638" s="1">
        <f>IFERROR(__xludf.DUMMYFUNCTION("""COMPUTED_VALUE"""),1.97)</f>
        <v>1.97</v>
      </c>
      <c r="D638" s="1">
        <f>IFERROR(__xludf.DUMMYFUNCTION("""COMPUTED_VALUE"""),1.8)</f>
        <v>1.8</v>
      </c>
      <c r="E638" s="1">
        <f>IFERROR(__xludf.DUMMYFUNCTION("""COMPUTED_VALUE"""),1.84)</f>
        <v>1.84</v>
      </c>
      <c r="F638" s="1">
        <f>IFERROR(__xludf.DUMMYFUNCTION("""COMPUTED_VALUE"""),459635.0)</f>
        <v>459635</v>
      </c>
    </row>
    <row r="639">
      <c r="A639" s="2">
        <f>IFERROR(__xludf.DUMMYFUNCTION("""COMPUTED_VALUE"""),43630.66666666667)</f>
        <v>43630.66667</v>
      </c>
      <c r="B639" s="1">
        <f>IFERROR(__xludf.DUMMYFUNCTION("""COMPUTED_VALUE"""),1.9)</f>
        <v>1.9</v>
      </c>
      <c r="C639" s="1">
        <f>IFERROR(__xludf.DUMMYFUNCTION("""COMPUTED_VALUE"""),1.9)</f>
        <v>1.9</v>
      </c>
      <c r="D639" s="1">
        <f>IFERROR(__xludf.DUMMYFUNCTION("""COMPUTED_VALUE"""),1.71)</f>
        <v>1.71</v>
      </c>
      <c r="E639" s="1">
        <f>IFERROR(__xludf.DUMMYFUNCTION("""COMPUTED_VALUE"""),1.75)</f>
        <v>1.75</v>
      </c>
      <c r="F639" s="1">
        <f>IFERROR(__xludf.DUMMYFUNCTION("""COMPUTED_VALUE"""),586190.0)</f>
        <v>586190</v>
      </c>
    </row>
    <row r="640">
      <c r="A640" s="2">
        <f>IFERROR(__xludf.DUMMYFUNCTION("""COMPUTED_VALUE"""),43637.66666666667)</f>
        <v>43637.66667</v>
      </c>
      <c r="B640" s="1">
        <f>IFERROR(__xludf.DUMMYFUNCTION("""COMPUTED_VALUE"""),1.75)</f>
        <v>1.75</v>
      </c>
      <c r="C640" s="1">
        <f>IFERROR(__xludf.DUMMYFUNCTION("""COMPUTED_VALUE"""),1.93)</f>
        <v>1.93</v>
      </c>
      <c r="D640" s="1">
        <f>IFERROR(__xludf.DUMMYFUNCTION("""COMPUTED_VALUE"""),1.74)</f>
        <v>1.74</v>
      </c>
      <c r="E640" s="1">
        <f>IFERROR(__xludf.DUMMYFUNCTION("""COMPUTED_VALUE"""),1.91)</f>
        <v>1.91</v>
      </c>
      <c r="F640" s="1">
        <f>IFERROR(__xludf.DUMMYFUNCTION("""COMPUTED_VALUE"""),318185.0)</f>
        <v>318185</v>
      </c>
    </row>
    <row r="641">
      <c r="A641" s="2">
        <f>IFERROR(__xludf.DUMMYFUNCTION("""COMPUTED_VALUE"""),43644.66666666667)</f>
        <v>43644.66667</v>
      </c>
      <c r="B641" s="1">
        <f>IFERROR(__xludf.DUMMYFUNCTION("""COMPUTED_VALUE"""),1.92)</f>
        <v>1.92</v>
      </c>
      <c r="C641" s="1">
        <f>IFERROR(__xludf.DUMMYFUNCTION("""COMPUTED_VALUE"""),1.96)</f>
        <v>1.96</v>
      </c>
      <c r="D641" s="1">
        <f>IFERROR(__xludf.DUMMYFUNCTION("""COMPUTED_VALUE"""),1.91)</f>
        <v>1.91</v>
      </c>
      <c r="E641" s="1">
        <f>IFERROR(__xludf.DUMMYFUNCTION("""COMPUTED_VALUE"""),1.94)</f>
        <v>1.94</v>
      </c>
      <c r="F641" s="1">
        <f>IFERROR(__xludf.DUMMYFUNCTION("""COMPUTED_VALUE"""),432475.0)</f>
        <v>432475</v>
      </c>
    </row>
    <row r="642">
      <c r="A642" s="2">
        <f>IFERROR(__xludf.DUMMYFUNCTION("""COMPUTED_VALUE"""),43651.66666666667)</f>
        <v>43651.66667</v>
      </c>
      <c r="B642" s="1">
        <f>IFERROR(__xludf.DUMMYFUNCTION("""COMPUTED_VALUE"""),1.93)</f>
        <v>1.93</v>
      </c>
      <c r="C642" s="1">
        <f>IFERROR(__xludf.DUMMYFUNCTION("""COMPUTED_VALUE"""),1.94)</f>
        <v>1.94</v>
      </c>
      <c r="D642" s="1">
        <f>IFERROR(__xludf.DUMMYFUNCTION("""COMPUTED_VALUE"""),1.86)</f>
        <v>1.86</v>
      </c>
      <c r="E642" s="1">
        <f>IFERROR(__xludf.DUMMYFUNCTION("""COMPUTED_VALUE"""),1.86)</f>
        <v>1.86</v>
      </c>
      <c r="F642" s="1">
        <f>IFERROR(__xludf.DUMMYFUNCTION("""COMPUTED_VALUE"""),228283.0)</f>
        <v>228283</v>
      </c>
    </row>
    <row r="643">
      <c r="A643" s="2">
        <f>IFERROR(__xludf.DUMMYFUNCTION("""COMPUTED_VALUE"""),43658.66666666667)</f>
        <v>43658.66667</v>
      </c>
      <c r="B643" s="1">
        <f>IFERROR(__xludf.DUMMYFUNCTION("""COMPUTED_VALUE"""),1.89)</f>
        <v>1.89</v>
      </c>
      <c r="C643" s="1">
        <f>IFERROR(__xludf.DUMMYFUNCTION("""COMPUTED_VALUE"""),1.94)</f>
        <v>1.94</v>
      </c>
      <c r="D643" s="1">
        <f>IFERROR(__xludf.DUMMYFUNCTION("""COMPUTED_VALUE"""),1.85)</f>
        <v>1.85</v>
      </c>
      <c r="E643" s="1">
        <f>IFERROR(__xludf.DUMMYFUNCTION("""COMPUTED_VALUE"""),1.86)</f>
        <v>1.86</v>
      </c>
      <c r="F643" s="1">
        <f>IFERROR(__xludf.DUMMYFUNCTION("""COMPUTED_VALUE"""),210465.0)</f>
        <v>210465</v>
      </c>
    </row>
    <row r="644">
      <c r="A644" s="2">
        <f>IFERROR(__xludf.DUMMYFUNCTION("""COMPUTED_VALUE"""),43665.66666666667)</f>
        <v>43665.66667</v>
      </c>
      <c r="B644" s="1">
        <f>IFERROR(__xludf.DUMMYFUNCTION("""COMPUTED_VALUE"""),1.86)</f>
        <v>1.86</v>
      </c>
      <c r="C644" s="1">
        <f>IFERROR(__xludf.DUMMYFUNCTION("""COMPUTED_VALUE"""),1.92)</f>
        <v>1.92</v>
      </c>
      <c r="D644" s="1">
        <f>IFERROR(__xludf.DUMMYFUNCTION("""COMPUTED_VALUE"""),1.85)</f>
        <v>1.85</v>
      </c>
      <c r="E644" s="1">
        <f>IFERROR(__xludf.DUMMYFUNCTION("""COMPUTED_VALUE"""),1.9)</f>
        <v>1.9</v>
      </c>
      <c r="F644" s="1">
        <f>IFERROR(__xludf.DUMMYFUNCTION("""COMPUTED_VALUE"""),152368.0)</f>
        <v>152368</v>
      </c>
    </row>
    <row r="645">
      <c r="A645" s="2">
        <f>IFERROR(__xludf.DUMMYFUNCTION("""COMPUTED_VALUE"""),43672.66666666667)</f>
        <v>43672.66667</v>
      </c>
      <c r="B645" s="1">
        <f>IFERROR(__xludf.DUMMYFUNCTION("""COMPUTED_VALUE"""),1.91)</f>
        <v>1.91</v>
      </c>
      <c r="C645" s="1">
        <f>IFERROR(__xludf.DUMMYFUNCTION("""COMPUTED_VALUE"""),2.0)</f>
        <v>2</v>
      </c>
      <c r="D645" s="1">
        <f>IFERROR(__xludf.DUMMYFUNCTION("""COMPUTED_VALUE"""),1.86)</f>
        <v>1.86</v>
      </c>
      <c r="E645" s="1">
        <f>IFERROR(__xludf.DUMMYFUNCTION("""COMPUTED_VALUE"""),1.87)</f>
        <v>1.87</v>
      </c>
      <c r="F645" s="1">
        <f>IFERROR(__xludf.DUMMYFUNCTION("""COMPUTED_VALUE"""),257343.0)</f>
        <v>257343</v>
      </c>
    </row>
    <row r="646">
      <c r="A646" s="2">
        <f>IFERROR(__xludf.DUMMYFUNCTION("""COMPUTED_VALUE"""),43679.66666666667)</f>
        <v>43679.66667</v>
      </c>
      <c r="B646" s="1">
        <f>IFERROR(__xludf.DUMMYFUNCTION("""COMPUTED_VALUE"""),1.88)</f>
        <v>1.88</v>
      </c>
      <c r="C646" s="1">
        <f>IFERROR(__xludf.DUMMYFUNCTION("""COMPUTED_VALUE"""),1.94)</f>
        <v>1.94</v>
      </c>
      <c r="D646" s="1">
        <f>IFERROR(__xludf.DUMMYFUNCTION("""COMPUTED_VALUE"""),1.6)</f>
        <v>1.6</v>
      </c>
      <c r="E646" s="1">
        <f>IFERROR(__xludf.DUMMYFUNCTION("""COMPUTED_VALUE"""),1.7)</f>
        <v>1.7</v>
      </c>
      <c r="F646" s="1">
        <f>IFERROR(__xludf.DUMMYFUNCTION("""COMPUTED_VALUE"""),355379.0)</f>
        <v>355379</v>
      </c>
    </row>
    <row r="647">
      <c r="A647" s="2">
        <f>IFERROR(__xludf.DUMMYFUNCTION("""COMPUTED_VALUE"""),43686.66666666667)</f>
        <v>43686.66667</v>
      </c>
      <c r="B647" s="1">
        <f>IFERROR(__xludf.DUMMYFUNCTION("""COMPUTED_VALUE"""),1.7)</f>
        <v>1.7</v>
      </c>
      <c r="C647" s="1">
        <f>IFERROR(__xludf.DUMMYFUNCTION("""COMPUTED_VALUE"""),1.9)</f>
        <v>1.9</v>
      </c>
      <c r="D647" s="1">
        <f>IFERROR(__xludf.DUMMYFUNCTION("""COMPUTED_VALUE"""),1.63)</f>
        <v>1.63</v>
      </c>
      <c r="E647" s="1">
        <f>IFERROR(__xludf.DUMMYFUNCTION("""COMPUTED_VALUE"""),1.71)</f>
        <v>1.71</v>
      </c>
      <c r="F647" s="1">
        <f>IFERROR(__xludf.DUMMYFUNCTION("""COMPUTED_VALUE"""),1045639.0)</f>
        <v>1045639</v>
      </c>
    </row>
    <row r="648">
      <c r="A648" s="2">
        <f>IFERROR(__xludf.DUMMYFUNCTION("""COMPUTED_VALUE"""),43693.66666666667)</f>
        <v>43693.66667</v>
      </c>
      <c r="B648" s="1">
        <f>IFERROR(__xludf.DUMMYFUNCTION("""COMPUTED_VALUE"""),1.7)</f>
        <v>1.7</v>
      </c>
      <c r="C648" s="1">
        <f>IFERROR(__xludf.DUMMYFUNCTION("""COMPUTED_VALUE"""),1.96)</f>
        <v>1.96</v>
      </c>
      <c r="D648" s="1">
        <f>IFERROR(__xludf.DUMMYFUNCTION("""COMPUTED_VALUE"""),1.63)</f>
        <v>1.63</v>
      </c>
      <c r="E648" s="1">
        <f>IFERROR(__xludf.DUMMYFUNCTION("""COMPUTED_VALUE"""),1.93)</f>
        <v>1.93</v>
      </c>
      <c r="F648" s="1">
        <f>IFERROR(__xludf.DUMMYFUNCTION("""COMPUTED_VALUE"""),889825.0)</f>
        <v>889825</v>
      </c>
    </row>
    <row r="649">
      <c r="A649" s="2">
        <f>IFERROR(__xludf.DUMMYFUNCTION("""COMPUTED_VALUE"""),43700.66666666667)</f>
        <v>43700.66667</v>
      </c>
      <c r="B649" s="1">
        <f>IFERROR(__xludf.DUMMYFUNCTION("""COMPUTED_VALUE"""),1.93)</f>
        <v>1.93</v>
      </c>
      <c r="C649" s="1">
        <f>IFERROR(__xludf.DUMMYFUNCTION("""COMPUTED_VALUE"""),2.01)</f>
        <v>2.01</v>
      </c>
      <c r="D649" s="1">
        <f>IFERROR(__xludf.DUMMYFUNCTION("""COMPUTED_VALUE"""),1.91)</f>
        <v>1.91</v>
      </c>
      <c r="E649" s="1">
        <f>IFERROR(__xludf.DUMMYFUNCTION("""COMPUTED_VALUE"""),1.94)</f>
        <v>1.94</v>
      </c>
      <c r="F649" s="1">
        <f>IFERROR(__xludf.DUMMYFUNCTION("""COMPUTED_VALUE"""),331286.0)</f>
        <v>331286</v>
      </c>
    </row>
    <row r="650">
      <c r="A650" s="2">
        <f>IFERROR(__xludf.DUMMYFUNCTION("""COMPUTED_VALUE"""),43707.66666666667)</f>
        <v>43707.66667</v>
      </c>
      <c r="B650" s="1">
        <f>IFERROR(__xludf.DUMMYFUNCTION("""COMPUTED_VALUE"""),1.94)</f>
        <v>1.94</v>
      </c>
      <c r="C650" s="1">
        <f>IFERROR(__xludf.DUMMYFUNCTION("""COMPUTED_VALUE"""),1.98)</f>
        <v>1.98</v>
      </c>
      <c r="D650" s="1">
        <f>IFERROR(__xludf.DUMMYFUNCTION("""COMPUTED_VALUE"""),1.85)</f>
        <v>1.85</v>
      </c>
      <c r="E650" s="1">
        <f>IFERROR(__xludf.DUMMYFUNCTION("""COMPUTED_VALUE"""),1.89)</f>
        <v>1.89</v>
      </c>
      <c r="F650" s="1">
        <f>IFERROR(__xludf.DUMMYFUNCTION("""COMPUTED_VALUE"""),176221.0)</f>
        <v>176221</v>
      </c>
    </row>
    <row r="651">
      <c r="A651" s="2">
        <f>IFERROR(__xludf.DUMMYFUNCTION("""COMPUTED_VALUE"""),43714.66666666667)</f>
        <v>43714.66667</v>
      </c>
      <c r="B651" s="1">
        <f>IFERROR(__xludf.DUMMYFUNCTION("""COMPUTED_VALUE"""),1.88)</f>
        <v>1.88</v>
      </c>
      <c r="C651" s="1">
        <f>IFERROR(__xludf.DUMMYFUNCTION("""COMPUTED_VALUE"""),1.92)</f>
        <v>1.92</v>
      </c>
      <c r="D651" s="1">
        <f>IFERROR(__xludf.DUMMYFUNCTION("""COMPUTED_VALUE"""),1.81)</f>
        <v>1.81</v>
      </c>
      <c r="E651" s="1">
        <f>IFERROR(__xludf.DUMMYFUNCTION("""COMPUTED_VALUE"""),1.92)</f>
        <v>1.92</v>
      </c>
      <c r="F651" s="1">
        <f>IFERROR(__xludf.DUMMYFUNCTION("""COMPUTED_VALUE"""),276855.0)</f>
        <v>276855</v>
      </c>
    </row>
    <row r="652">
      <c r="A652" s="2">
        <f>IFERROR(__xludf.DUMMYFUNCTION("""COMPUTED_VALUE"""),43721.66666666667)</f>
        <v>43721.66667</v>
      </c>
      <c r="B652" s="1">
        <f>IFERROR(__xludf.DUMMYFUNCTION("""COMPUTED_VALUE"""),1.91)</f>
        <v>1.91</v>
      </c>
      <c r="C652" s="1">
        <f>IFERROR(__xludf.DUMMYFUNCTION("""COMPUTED_VALUE"""),1.98)</f>
        <v>1.98</v>
      </c>
      <c r="D652" s="1">
        <f>IFERROR(__xludf.DUMMYFUNCTION("""COMPUTED_VALUE"""),1.89)</f>
        <v>1.89</v>
      </c>
      <c r="E652" s="1">
        <f>IFERROR(__xludf.DUMMYFUNCTION("""COMPUTED_VALUE"""),1.91)</f>
        <v>1.91</v>
      </c>
      <c r="F652" s="1">
        <f>IFERROR(__xludf.DUMMYFUNCTION("""COMPUTED_VALUE"""),582848.0)</f>
        <v>582848</v>
      </c>
    </row>
    <row r="653">
      <c r="A653" s="2">
        <f>IFERROR(__xludf.DUMMYFUNCTION("""COMPUTED_VALUE"""),43728.66666666667)</f>
        <v>43728.66667</v>
      </c>
      <c r="B653" s="1">
        <f>IFERROR(__xludf.DUMMYFUNCTION("""COMPUTED_VALUE"""),1.91)</f>
        <v>1.91</v>
      </c>
      <c r="C653" s="1">
        <f>IFERROR(__xludf.DUMMYFUNCTION("""COMPUTED_VALUE"""),1.98)</f>
        <v>1.98</v>
      </c>
      <c r="D653" s="1">
        <f>IFERROR(__xludf.DUMMYFUNCTION("""COMPUTED_VALUE"""),1.87)</f>
        <v>1.87</v>
      </c>
      <c r="E653" s="1">
        <f>IFERROR(__xludf.DUMMYFUNCTION("""COMPUTED_VALUE"""),1.98)</f>
        <v>1.98</v>
      </c>
      <c r="F653" s="1">
        <f>IFERROR(__xludf.DUMMYFUNCTION("""COMPUTED_VALUE"""),263976.0)</f>
        <v>263976</v>
      </c>
    </row>
    <row r="654">
      <c r="A654" s="2">
        <f>IFERROR(__xludf.DUMMYFUNCTION("""COMPUTED_VALUE"""),43735.66666666667)</f>
        <v>43735.66667</v>
      </c>
      <c r="B654" s="1">
        <f>IFERROR(__xludf.DUMMYFUNCTION("""COMPUTED_VALUE"""),1.97)</f>
        <v>1.97</v>
      </c>
      <c r="C654" s="1">
        <f>IFERROR(__xludf.DUMMYFUNCTION("""COMPUTED_VALUE"""),1.99)</f>
        <v>1.99</v>
      </c>
      <c r="D654" s="1">
        <f>IFERROR(__xludf.DUMMYFUNCTION("""COMPUTED_VALUE"""),1.86)</f>
        <v>1.86</v>
      </c>
      <c r="E654" s="1">
        <f>IFERROR(__xludf.DUMMYFUNCTION("""COMPUTED_VALUE"""),1.91)</f>
        <v>1.91</v>
      </c>
      <c r="F654" s="1">
        <f>IFERROR(__xludf.DUMMYFUNCTION("""COMPUTED_VALUE"""),556953.0)</f>
        <v>556953</v>
      </c>
    </row>
    <row r="655">
      <c r="A655" s="2">
        <f>IFERROR(__xludf.DUMMYFUNCTION("""COMPUTED_VALUE"""),43742.66666666667)</f>
        <v>43742.66667</v>
      </c>
      <c r="B655" s="1">
        <f>IFERROR(__xludf.DUMMYFUNCTION("""COMPUTED_VALUE"""),1.89)</f>
        <v>1.89</v>
      </c>
      <c r="C655" s="1">
        <f>IFERROR(__xludf.DUMMYFUNCTION("""COMPUTED_VALUE"""),1.95)</f>
        <v>1.95</v>
      </c>
      <c r="D655" s="1">
        <f>IFERROR(__xludf.DUMMYFUNCTION("""COMPUTED_VALUE"""),1.89)</f>
        <v>1.89</v>
      </c>
      <c r="E655" s="1">
        <f>IFERROR(__xludf.DUMMYFUNCTION("""COMPUTED_VALUE"""),1.94)</f>
        <v>1.94</v>
      </c>
      <c r="F655" s="1">
        <f>IFERROR(__xludf.DUMMYFUNCTION("""COMPUTED_VALUE"""),306132.0)</f>
        <v>306132</v>
      </c>
    </row>
    <row r="656">
      <c r="A656" s="2">
        <f>IFERROR(__xludf.DUMMYFUNCTION("""COMPUTED_VALUE"""),43749.66666666667)</f>
        <v>43749.66667</v>
      </c>
      <c r="B656" s="1">
        <f>IFERROR(__xludf.DUMMYFUNCTION("""COMPUTED_VALUE"""),1.92)</f>
        <v>1.92</v>
      </c>
      <c r="C656" s="1">
        <f>IFERROR(__xludf.DUMMYFUNCTION("""COMPUTED_VALUE"""),1.95)</f>
        <v>1.95</v>
      </c>
      <c r="D656" s="1">
        <f>IFERROR(__xludf.DUMMYFUNCTION("""COMPUTED_VALUE"""),1.88)</f>
        <v>1.88</v>
      </c>
      <c r="E656" s="1">
        <f>IFERROR(__xludf.DUMMYFUNCTION("""COMPUTED_VALUE"""),1.88)</f>
        <v>1.88</v>
      </c>
      <c r="F656" s="1">
        <f>IFERROR(__xludf.DUMMYFUNCTION("""COMPUTED_VALUE"""),557204.0)</f>
        <v>557204</v>
      </c>
    </row>
    <row r="657">
      <c r="A657" s="2">
        <f>IFERROR(__xludf.DUMMYFUNCTION("""COMPUTED_VALUE"""),43756.66666666667)</f>
        <v>43756.66667</v>
      </c>
      <c r="B657" s="1">
        <f>IFERROR(__xludf.DUMMYFUNCTION("""COMPUTED_VALUE"""),1.88)</f>
        <v>1.88</v>
      </c>
      <c r="C657" s="1">
        <f>IFERROR(__xludf.DUMMYFUNCTION("""COMPUTED_VALUE"""),1.98)</f>
        <v>1.98</v>
      </c>
      <c r="D657" s="1">
        <f>IFERROR(__xludf.DUMMYFUNCTION("""COMPUTED_VALUE"""),1.86)</f>
        <v>1.86</v>
      </c>
      <c r="E657" s="1">
        <f>IFERROR(__xludf.DUMMYFUNCTION("""COMPUTED_VALUE"""),1.92)</f>
        <v>1.92</v>
      </c>
      <c r="F657" s="1">
        <f>IFERROR(__xludf.DUMMYFUNCTION("""COMPUTED_VALUE"""),503461.0)</f>
        <v>503461</v>
      </c>
    </row>
    <row r="658">
      <c r="A658" s="2">
        <f>IFERROR(__xludf.DUMMYFUNCTION("""COMPUTED_VALUE"""),43763.66666666667)</f>
        <v>43763.66667</v>
      </c>
      <c r="B658" s="1">
        <f>IFERROR(__xludf.DUMMYFUNCTION("""COMPUTED_VALUE"""),1.98)</f>
        <v>1.98</v>
      </c>
      <c r="C658" s="1">
        <f>IFERROR(__xludf.DUMMYFUNCTION("""COMPUTED_VALUE"""),2.09)</f>
        <v>2.09</v>
      </c>
      <c r="D658" s="1">
        <f>IFERROR(__xludf.DUMMYFUNCTION("""COMPUTED_VALUE"""),1.93)</f>
        <v>1.93</v>
      </c>
      <c r="E658" s="1">
        <f>IFERROR(__xludf.DUMMYFUNCTION("""COMPUTED_VALUE"""),2.09)</f>
        <v>2.09</v>
      </c>
      <c r="F658" s="1">
        <f>IFERROR(__xludf.DUMMYFUNCTION("""COMPUTED_VALUE"""),370408.0)</f>
        <v>370408</v>
      </c>
    </row>
    <row r="659">
      <c r="A659" s="2">
        <f>IFERROR(__xludf.DUMMYFUNCTION("""COMPUTED_VALUE"""),43770.66666666667)</f>
        <v>43770.66667</v>
      </c>
      <c r="B659" s="1">
        <f>IFERROR(__xludf.DUMMYFUNCTION("""COMPUTED_VALUE"""),2.09)</f>
        <v>2.09</v>
      </c>
      <c r="C659" s="1">
        <f>IFERROR(__xludf.DUMMYFUNCTION("""COMPUTED_VALUE"""),2.14)</f>
        <v>2.14</v>
      </c>
      <c r="D659" s="1">
        <f>IFERROR(__xludf.DUMMYFUNCTION("""COMPUTED_VALUE"""),2.03)</f>
        <v>2.03</v>
      </c>
      <c r="E659" s="1">
        <f>IFERROR(__xludf.DUMMYFUNCTION("""COMPUTED_VALUE"""),2.05)</f>
        <v>2.05</v>
      </c>
      <c r="F659" s="1">
        <f>IFERROR(__xludf.DUMMYFUNCTION("""COMPUTED_VALUE"""),710805.0)</f>
        <v>710805</v>
      </c>
    </row>
    <row r="660">
      <c r="A660" s="2">
        <f>IFERROR(__xludf.DUMMYFUNCTION("""COMPUTED_VALUE"""),43777.66666666667)</f>
        <v>43777.66667</v>
      </c>
      <c r="B660" s="1">
        <f>IFERROR(__xludf.DUMMYFUNCTION("""COMPUTED_VALUE"""),2.05)</f>
        <v>2.05</v>
      </c>
      <c r="C660" s="1">
        <f>IFERROR(__xludf.DUMMYFUNCTION("""COMPUTED_VALUE"""),2.13)</f>
        <v>2.13</v>
      </c>
      <c r="D660" s="1">
        <f>IFERROR(__xludf.DUMMYFUNCTION("""COMPUTED_VALUE"""),2.0)</f>
        <v>2</v>
      </c>
      <c r="E660" s="1">
        <f>IFERROR(__xludf.DUMMYFUNCTION("""COMPUTED_VALUE"""),2.13)</f>
        <v>2.13</v>
      </c>
      <c r="F660" s="1">
        <f>IFERROR(__xludf.DUMMYFUNCTION("""COMPUTED_VALUE"""),264987.0)</f>
        <v>264987</v>
      </c>
    </row>
    <row r="661">
      <c r="A661" s="2">
        <f>IFERROR(__xludf.DUMMYFUNCTION("""COMPUTED_VALUE"""),43784.66666666667)</f>
        <v>43784.66667</v>
      </c>
      <c r="B661" s="1">
        <f>IFERROR(__xludf.DUMMYFUNCTION("""COMPUTED_VALUE"""),2.1)</f>
        <v>2.1</v>
      </c>
      <c r="C661" s="1">
        <f>IFERROR(__xludf.DUMMYFUNCTION("""COMPUTED_VALUE"""),2.25)</f>
        <v>2.25</v>
      </c>
      <c r="D661" s="1">
        <f>IFERROR(__xludf.DUMMYFUNCTION("""COMPUTED_VALUE"""),2.1)</f>
        <v>2.1</v>
      </c>
      <c r="E661" s="1">
        <f>IFERROR(__xludf.DUMMYFUNCTION("""COMPUTED_VALUE"""),2.22)</f>
        <v>2.22</v>
      </c>
      <c r="F661" s="1">
        <f>IFERROR(__xludf.DUMMYFUNCTION("""COMPUTED_VALUE"""),443425.0)</f>
        <v>443425</v>
      </c>
    </row>
    <row r="662">
      <c r="A662" s="2">
        <f>IFERROR(__xludf.DUMMYFUNCTION("""COMPUTED_VALUE"""),43791.66666666667)</f>
        <v>43791.66667</v>
      </c>
      <c r="B662" s="1">
        <f>IFERROR(__xludf.DUMMYFUNCTION("""COMPUTED_VALUE"""),2.16)</f>
        <v>2.16</v>
      </c>
      <c r="C662" s="1">
        <f>IFERROR(__xludf.DUMMYFUNCTION("""COMPUTED_VALUE"""),2.21)</f>
        <v>2.21</v>
      </c>
      <c r="D662" s="1">
        <f>IFERROR(__xludf.DUMMYFUNCTION("""COMPUTED_VALUE"""),2.03)</f>
        <v>2.03</v>
      </c>
      <c r="E662" s="1">
        <f>IFERROR(__xludf.DUMMYFUNCTION("""COMPUTED_VALUE"""),2.1)</f>
        <v>2.1</v>
      </c>
      <c r="F662" s="1">
        <f>IFERROR(__xludf.DUMMYFUNCTION("""COMPUTED_VALUE"""),257582.0)</f>
        <v>257582</v>
      </c>
    </row>
    <row r="663">
      <c r="A663" s="2">
        <f>IFERROR(__xludf.DUMMYFUNCTION("""COMPUTED_VALUE"""),43798.54166666667)</f>
        <v>43798.54167</v>
      </c>
      <c r="B663" s="1">
        <f>IFERROR(__xludf.DUMMYFUNCTION("""COMPUTED_VALUE"""),2.13)</f>
        <v>2.13</v>
      </c>
      <c r="C663" s="1">
        <f>IFERROR(__xludf.DUMMYFUNCTION("""COMPUTED_VALUE"""),2.16)</f>
        <v>2.16</v>
      </c>
      <c r="D663" s="1">
        <f>IFERROR(__xludf.DUMMYFUNCTION("""COMPUTED_VALUE"""),2.07)</f>
        <v>2.07</v>
      </c>
      <c r="E663" s="1">
        <f>IFERROR(__xludf.DUMMYFUNCTION("""COMPUTED_VALUE"""),2.13)</f>
        <v>2.13</v>
      </c>
      <c r="F663" s="1">
        <f>IFERROR(__xludf.DUMMYFUNCTION("""COMPUTED_VALUE"""),353051.0)</f>
        <v>353051</v>
      </c>
    </row>
    <row r="664">
      <c r="A664" s="2">
        <f>IFERROR(__xludf.DUMMYFUNCTION("""COMPUTED_VALUE"""),43805.66666666667)</f>
        <v>43805.66667</v>
      </c>
      <c r="B664" s="1">
        <f>IFERROR(__xludf.DUMMYFUNCTION("""COMPUTED_VALUE"""),2.13)</f>
        <v>2.13</v>
      </c>
      <c r="C664" s="1">
        <f>IFERROR(__xludf.DUMMYFUNCTION("""COMPUTED_VALUE"""),2.16)</f>
        <v>2.16</v>
      </c>
      <c r="D664" s="1">
        <f>IFERROR(__xludf.DUMMYFUNCTION("""COMPUTED_VALUE"""),2.13)</f>
        <v>2.13</v>
      </c>
      <c r="E664" s="1">
        <f>IFERROR(__xludf.DUMMYFUNCTION("""COMPUTED_VALUE"""),2.16)</f>
        <v>2.16</v>
      </c>
      <c r="F664" s="1">
        <f>IFERROR(__xludf.DUMMYFUNCTION("""COMPUTED_VALUE"""),647318.0)</f>
        <v>647318</v>
      </c>
    </row>
    <row r="665">
      <c r="A665" s="2">
        <f>IFERROR(__xludf.DUMMYFUNCTION("""COMPUTED_VALUE"""),43812.66666666667)</f>
        <v>43812.66667</v>
      </c>
      <c r="B665" s="1">
        <f>IFERROR(__xludf.DUMMYFUNCTION("""COMPUTED_VALUE"""),2.16)</f>
        <v>2.16</v>
      </c>
      <c r="C665" s="1">
        <f>IFERROR(__xludf.DUMMYFUNCTION("""COMPUTED_VALUE"""),2.22)</f>
        <v>2.22</v>
      </c>
      <c r="D665" s="1">
        <f>IFERROR(__xludf.DUMMYFUNCTION("""COMPUTED_VALUE"""),2.06)</f>
        <v>2.06</v>
      </c>
      <c r="E665" s="1">
        <f>IFERROR(__xludf.DUMMYFUNCTION("""COMPUTED_VALUE"""),2.21)</f>
        <v>2.21</v>
      </c>
      <c r="F665" s="1">
        <f>IFERROR(__xludf.DUMMYFUNCTION("""COMPUTED_VALUE"""),756473.0)</f>
        <v>756473</v>
      </c>
    </row>
    <row r="666">
      <c r="A666" s="2">
        <f>IFERROR(__xludf.DUMMYFUNCTION("""COMPUTED_VALUE"""),43819.66666666667)</f>
        <v>43819.66667</v>
      </c>
      <c r="B666" s="1">
        <f>IFERROR(__xludf.DUMMYFUNCTION("""COMPUTED_VALUE"""),2.2)</f>
        <v>2.2</v>
      </c>
      <c r="C666" s="1">
        <f>IFERROR(__xludf.DUMMYFUNCTION("""COMPUTED_VALUE"""),2.53)</f>
        <v>2.53</v>
      </c>
      <c r="D666" s="1">
        <f>IFERROR(__xludf.DUMMYFUNCTION("""COMPUTED_VALUE"""),2.19)</f>
        <v>2.19</v>
      </c>
      <c r="E666" s="1">
        <f>IFERROR(__xludf.DUMMYFUNCTION("""COMPUTED_VALUE"""),2.47)</f>
        <v>2.47</v>
      </c>
      <c r="F666" s="1">
        <f>IFERROR(__xludf.DUMMYFUNCTION("""COMPUTED_VALUE"""),664346.0)</f>
        <v>664346</v>
      </c>
    </row>
    <row r="667">
      <c r="A667" s="2">
        <f>IFERROR(__xludf.DUMMYFUNCTION("""COMPUTED_VALUE"""),43826.66666666667)</f>
        <v>43826.66667</v>
      </c>
      <c r="B667" s="1">
        <f>IFERROR(__xludf.DUMMYFUNCTION("""COMPUTED_VALUE"""),2.48)</f>
        <v>2.48</v>
      </c>
      <c r="C667" s="1">
        <f>IFERROR(__xludf.DUMMYFUNCTION("""COMPUTED_VALUE"""),2.53)</f>
        <v>2.53</v>
      </c>
      <c r="D667" s="1">
        <f>IFERROR(__xludf.DUMMYFUNCTION("""COMPUTED_VALUE"""),2.34)</f>
        <v>2.34</v>
      </c>
      <c r="E667" s="1">
        <f>IFERROR(__xludf.DUMMYFUNCTION("""COMPUTED_VALUE"""),2.41)</f>
        <v>2.41</v>
      </c>
      <c r="F667" s="1">
        <f>IFERROR(__xludf.DUMMYFUNCTION("""COMPUTED_VALUE"""),1336832.0)</f>
        <v>1336832</v>
      </c>
    </row>
    <row r="668">
      <c r="A668" s="2">
        <f>IFERROR(__xludf.DUMMYFUNCTION("""COMPUTED_VALUE"""),43833.66666666667)</f>
        <v>43833.66667</v>
      </c>
      <c r="B668" s="1">
        <f>IFERROR(__xludf.DUMMYFUNCTION("""COMPUTED_VALUE"""),2.42)</f>
        <v>2.42</v>
      </c>
      <c r="C668" s="1">
        <f>IFERROR(__xludf.DUMMYFUNCTION("""COMPUTED_VALUE"""),2.42)</f>
        <v>2.42</v>
      </c>
      <c r="D668" s="1">
        <f>IFERROR(__xludf.DUMMYFUNCTION("""COMPUTED_VALUE"""),2.34)</f>
        <v>2.34</v>
      </c>
      <c r="E668" s="1">
        <f>IFERROR(__xludf.DUMMYFUNCTION("""COMPUTED_VALUE"""),2.34)</f>
        <v>2.34</v>
      </c>
      <c r="F668" s="1">
        <f>IFERROR(__xludf.DUMMYFUNCTION("""COMPUTED_VALUE"""),678514.0)</f>
        <v>678514</v>
      </c>
    </row>
    <row r="669">
      <c r="A669" s="2">
        <f>IFERROR(__xludf.DUMMYFUNCTION("""COMPUTED_VALUE"""),43840.66666666667)</f>
        <v>43840.66667</v>
      </c>
      <c r="B669" s="1">
        <f>IFERROR(__xludf.DUMMYFUNCTION("""COMPUTED_VALUE"""),2.34)</f>
        <v>2.34</v>
      </c>
      <c r="C669" s="1">
        <f>IFERROR(__xludf.DUMMYFUNCTION("""COMPUTED_VALUE"""),2.69)</f>
        <v>2.69</v>
      </c>
      <c r="D669" s="1">
        <f>IFERROR(__xludf.DUMMYFUNCTION("""COMPUTED_VALUE"""),2.3)</f>
        <v>2.3</v>
      </c>
      <c r="E669" s="1">
        <f>IFERROR(__xludf.DUMMYFUNCTION("""COMPUTED_VALUE"""),2.61)</f>
        <v>2.61</v>
      </c>
      <c r="F669" s="1">
        <f>IFERROR(__xludf.DUMMYFUNCTION("""COMPUTED_VALUE"""),1530373.0)</f>
        <v>1530373</v>
      </c>
    </row>
    <row r="670">
      <c r="A670" s="2">
        <f>IFERROR(__xludf.DUMMYFUNCTION("""COMPUTED_VALUE"""),43847.66666666667)</f>
        <v>43847.66667</v>
      </c>
      <c r="B670" s="1">
        <f>IFERROR(__xludf.DUMMYFUNCTION("""COMPUTED_VALUE"""),2.63)</f>
        <v>2.63</v>
      </c>
      <c r="C670" s="1">
        <f>IFERROR(__xludf.DUMMYFUNCTION("""COMPUTED_VALUE"""),3.0)</f>
        <v>3</v>
      </c>
      <c r="D670" s="1">
        <f>IFERROR(__xludf.DUMMYFUNCTION("""COMPUTED_VALUE"""),2.63)</f>
        <v>2.63</v>
      </c>
      <c r="E670" s="1">
        <f>IFERROR(__xludf.DUMMYFUNCTION("""COMPUTED_VALUE"""),2.87)</f>
        <v>2.87</v>
      </c>
      <c r="F670" s="1">
        <f>IFERROR(__xludf.DUMMYFUNCTION("""COMPUTED_VALUE"""),2568645.0)</f>
        <v>2568645</v>
      </c>
    </row>
    <row r="671">
      <c r="A671" s="2">
        <f>IFERROR(__xludf.DUMMYFUNCTION("""COMPUTED_VALUE"""),43854.66666666667)</f>
        <v>43854.66667</v>
      </c>
      <c r="B671" s="1">
        <f>IFERROR(__xludf.DUMMYFUNCTION("""COMPUTED_VALUE"""),2.86)</f>
        <v>2.86</v>
      </c>
      <c r="C671" s="1">
        <f>IFERROR(__xludf.DUMMYFUNCTION("""COMPUTED_VALUE"""),2.94)</f>
        <v>2.94</v>
      </c>
      <c r="D671" s="1">
        <f>IFERROR(__xludf.DUMMYFUNCTION("""COMPUTED_VALUE"""),2.83)</f>
        <v>2.83</v>
      </c>
      <c r="E671" s="1">
        <f>IFERROR(__xludf.DUMMYFUNCTION("""COMPUTED_VALUE"""),2.89)</f>
        <v>2.89</v>
      </c>
      <c r="F671" s="1">
        <f>IFERROR(__xludf.DUMMYFUNCTION("""COMPUTED_VALUE"""),854643.0)</f>
        <v>854643</v>
      </c>
    </row>
    <row r="672">
      <c r="A672" s="2">
        <f>IFERROR(__xludf.DUMMYFUNCTION("""COMPUTED_VALUE"""),43861.66666666667)</f>
        <v>43861.66667</v>
      </c>
      <c r="B672" s="1">
        <f>IFERROR(__xludf.DUMMYFUNCTION("""COMPUTED_VALUE"""),2.87)</f>
        <v>2.87</v>
      </c>
      <c r="C672" s="1">
        <f>IFERROR(__xludf.DUMMYFUNCTION("""COMPUTED_VALUE"""),2.92)</f>
        <v>2.92</v>
      </c>
      <c r="D672" s="1">
        <f>IFERROR(__xludf.DUMMYFUNCTION("""COMPUTED_VALUE"""),2.77)</f>
        <v>2.77</v>
      </c>
      <c r="E672" s="1">
        <f>IFERROR(__xludf.DUMMYFUNCTION("""COMPUTED_VALUE"""),2.8)</f>
        <v>2.8</v>
      </c>
      <c r="F672" s="1">
        <f>IFERROR(__xludf.DUMMYFUNCTION("""COMPUTED_VALUE"""),799485.0)</f>
        <v>799485</v>
      </c>
    </row>
    <row r="673">
      <c r="A673" s="2">
        <f>IFERROR(__xludf.DUMMYFUNCTION("""COMPUTED_VALUE"""),43868.66666666667)</f>
        <v>43868.66667</v>
      </c>
      <c r="B673" s="1">
        <f>IFERROR(__xludf.DUMMYFUNCTION("""COMPUTED_VALUE"""),2.8)</f>
        <v>2.8</v>
      </c>
      <c r="C673" s="1">
        <f>IFERROR(__xludf.DUMMYFUNCTION("""COMPUTED_VALUE"""),2.97)</f>
        <v>2.97</v>
      </c>
      <c r="D673" s="1">
        <f>IFERROR(__xludf.DUMMYFUNCTION("""COMPUTED_VALUE"""),2.45)</f>
        <v>2.45</v>
      </c>
      <c r="E673" s="1">
        <f>IFERROR(__xludf.DUMMYFUNCTION("""COMPUTED_VALUE"""),2.76)</f>
        <v>2.76</v>
      </c>
      <c r="F673" s="1">
        <f>IFERROR(__xludf.DUMMYFUNCTION("""COMPUTED_VALUE"""),1552800.0)</f>
        <v>1552800</v>
      </c>
    </row>
    <row r="674">
      <c r="A674" s="2">
        <f>IFERROR(__xludf.DUMMYFUNCTION("""COMPUTED_VALUE"""),43875.66666666667)</f>
        <v>43875.66667</v>
      </c>
      <c r="B674" s="1">
        <f>IFERROR(__xludf.DUMMYFUNCTION("""COMPUTED_VALUE"""),2.75)</f>
        <v>2.75</v>
      </c>
      <c r="C674" s="1">
        <f>IFERROR(__xludf.DUMMYFUNCTION("""COMPUTED_VALUE"""),2.93)</f>
        <v>2.93</v>
      </c>
      <c r="D674" s="1">
        <f>IFERROR(__xludf.DUMMYFUNCTION("""COMPUTED_VALUE"""),2.74)</f>
        <v>2.74</v>
      </c>
      <c r="E674" s="1">
        <f>IFERROR(__xludf.DUMMYFUNCTION("""COMPUTED_VALUE"""),2.8)</f>
        <v>2.8</v>
      </c>
      <c r="F674" s="1">
        <f>IFERROR(__xludf.DUMMYFUNCTION("""COMPUTED_VALUE"""),1840537.0)</f>
        <v>1840537</v>
      </c>
    </row>
    <row r="675">
      <c r="A675" s="2">
        <f>IFERROR(__xludf.DUMMYFUNCTION("""COMPUTED_VALUE"""),43882.66666666667)</f>
        <v>43882.66667</v>
      </c>
      <c r="B675" s="1">
        <f>IFERROR(__xludf.DUMMYFUNCTION("""COMPUTED_VALUE"""),2.76)</f>
        <v>2.76</v>
      </c>
      <c r="C675" s="1">
        <f>IFERROR(__xludf.DUMMYFUNCTION("""COMPUTED_VALUE"""),2.82)</f>
        <v>2.82</v>
      </c>
      <c r="D675" s="1">
        <f>IFERROR(__xludf.DUMMYFUNCTION("""COMPUTED_VALUE"""),2.7)</f>
        <v>2.7</v>
      </c>
      <c r="E675" s="1">
        <f>IFERROR(__xludf.DUMMYFUNCTION("""COMPUTED_VALUE"""),2.77)</f>
        <v>2.77</v>
      </c>
      <c r="F675" s="1">
        <f>IFERROR(__xludf.DUMMYFUNCTION("""COMPUTED_VALUE"""),1178006.0)</f>
        <v>1178006</v>
      </c>
    </row>
    <row r="676">
      <c r="A676" s="2">
        <f>IFERROR(__xludf.DUMMYFUNCTION("""COMPUTED_VALUE"""),43889.66666666667)</f>
        <v>43889.66667</v>
      </c>
      <c r="B676" s="1">
        <f>IFERROR(__xludf.DUMMYFUNCTION("""COMPUTED_VALUE"""),2.65)</f>
        <v>2.65</v>
      </c>
      <c r="C676" s="1">
        <f>IFERROR(__xludf.DUMMYFUNCTION("""COMPUTED_VALUE"""),2.75)</f>
        <v>2.75</v>
      </c>
      <c r="D676" s="1">
        <f>IFERROR(__xludf.DUMMYFUNCTION("""COMPUTED_VALUE"""),2.46)</f>
        <v>2.46</v>
      </c>
      <c r="E676" s="1">
        <f>IFERROR(__xludf.DUMMYFUNCTION("""COMPUTED_VALUE"""),2.54)</f>
        <v>2.54</v>
      </c>
      <c r="F676" s="1">
        <f>IFERROR(__xludf.DUMMYFUNCTION("""COMPUTED_VALUE"""),1745858.0)</f>
        <v>1745858</v>
      </c>
    </row>
    <row r="677">
      <c r="A677" s="2">
        <f>IFERROR(__xludf.DUMMYFUNCTION("""COMPUTED_VALUE"""),43896.66666666667)</f>
        <v>43896.66667</v>
      </c>
      <c r="B677" s="1">
        <f>IFERROR(__xludf.DUMMYFUNCTION("""COMPUTED_VALUE"""),2.56)</f>
        <v>2.56</v>
      </c>
      <c r="C677" s="1">
        <f>IFERROR(__xludf.DUMMYFUNCTION("""COMPUTED_VALUE"""),2.72)</f>
        <v>2.72</v>
      </c>
      <c r="D677" s="1">
        <f>IFERROR(__xludf.DUMMYFUNCTION("""COMPUTED_VALUE"""),2.46)</f>
        <v>2.46</v>
      </c>
      <c r="E677" s="1">
        <f>IFERROR(__xludf.DUMMYFUNCTION("""COMPUTED_VALUE"""),2.53)</f>
        <v>2.53</v>
      </c>
      <c r="F677" s="1">
        <f>IFERROR(__xludf.DUMMYFUNCTION("""COMPUTED_VALUE"""),1928030.0)</f>
        <v>1928030</v>
      </c>
    </row>
    <row r="678">
      <c r="A678" s="2">
        <f>IFERROR(__xludf.DUMMYFUNCTION("""COMPUTED_VALUE"""),43903.66666666667)</f>
        <v>43903.66667</v>
      </c>
      <c r="B678" s="1">
        <f>IFERROR(__xludf.DUMMYFUNCTION("""COMPUTED_VALUE"""),2.36)</f>
        <v>2.36</v>
      </c>
      <c r="C678" s="1">
        <f>IFERROR(__xludf.DUMMYFUNCTION("""COMPUTED_VALUE"""),2.48)</f>
        <v>2.48</v>
      </c>
      <c r="D678" s="1">
        <f>IFERROR(__xludf.DUMMYFUNCTION("""COMPUTED_VALUE"""),2.12)</f>
        <v>2.12</v>
      </c>
      <c r="E678" s="1">
        <f>IFERROR(__xludf.DUMMYFUNCTION("""COMPUTED_VALUE"""),2.29)</f>
        <v>2.29</v>
      </c>
      <c r="F678" s="1">
        <f>IFERROR(__xludf.DUMMYFUNCTION("""COMPUTED_VALUE"""),2651660.0)</f>
        <v>2651660</v>
      </c>
    </row>
    <row r="679">
      <c r="A679" s="2">
        <f>IFERROR(__xludf.DUMMYFUNCTION("""COMPUTED_VALUE"""),43910.66666666667)</f>
        <v>43910.66667</v>
      </c>
      <c r="B679" s="1">
        <f>IFERROR(__xludf.DUMMYFUNCTION("""COMPUTED_VALUE"""),2.0)</f>
        <v>2</v>
      </c>
      <c r="C679" s="1">
        <f>IFERROR(__xludf.DUMMYFUNCTION("""COMPUTED_VALUE"""),2.04)</f>
        <v>2.04</v>
      </c>
      <c r="D679" s="1">
        <f>IFERROR(__xludf.DUMMYFUNCTION("""COMPUTED_VALUE"""),1.58)</f>
        <v>1.58</v>
      </c>
      <c r="E679" s="1">
        <f>IFERROR(__xludf.DUMMYFUNCTION("""COMPUTED_VALUE"""),1.69)</f>
        <v>1.69</v>
      </c>
      <c r="F679" s="1">
        <f>IFERROR(__xludf.DUMMYFUNCTION("""COMPUTED_VALUE"""),3375656.0)</f>
        <v>3375656</v>
      </c>
    </row>
    <row r="680">
      <c r="A680" s="2">
        <f>IFERROR(__xludf.DUMMYFUNCTION("""COMPUTED_VALUE"""),43917.66666666667)</f>
        <v>43917.66667</v>
      </c>
      <c r="B680" s="1">
        <f>IFERROR(__xludf.DUMMYFUNCTION("""COMPUTED_VALUE"""),1.7)</f>
        <v>1.7</v>
      </c>
      <c r="C680" s="1">
        <f>IFERROR(__xludf.DUMMYFUNCTION("""COMPUTED_VALUE"""),2.23)</f>
        <v>2.23</v>
      </c>
      <c r="D680" s="1">
        <f>IFERROR(__xludf.DUMMYFUNCTION("""COMPUTED_VALUE"""),1.63)</f>
        <v>1.63</v>
      </c>
      <c r="E680" s="1">
        <f>IFERROR(__xludf.DUMMYFUNCTION("""COMPUTED_VALUE"""),2.04)</f>
        <v>2.04</v>
      </c>
      <c r="F680" s="1">
        <f>IFERROR(__xludf.DUMMYFUNCTION("""COMPUTED_VALUE"""),1717390.0)</f>
        <v>1717390</v>
      </c>
    </row>
    <row r="681">
      <c r="A681" s="2">
        <f>IFERROR(__xludf.DUMMYFUNCTION("""COMPUTED_VALUE"""),43924.66666666667)</f>
        <v>43924.66667</v>
      </c>
      <c r="B681" s="1">
        <f>IFERROR(__xludf.DUMMYFUNCTION("""COMPUTED_VALUE"""),2.06)</f>
        <v>2.06</v>
      </c>
      <c r="C681" s="1">
        <f>IFERROR(__xludf.DUMMYFUNCTION("""COMPUTED_VALUE"""),2.17)</f>
        <v>2.17</v>
      </c>
      <c r="D681" s="1">
        <f>IFERROR(__xludf.DUMMYFUNCTION("""COMPUTED_VALUE"""),1.95)</f>
        <v>1.95</v>
      </c>
      <c r="E681" s="1">
        <f>IFERROR(__xludf.DUMMYFUNCTION("""COMPUTED_VALUE"""),2.02)</f>
        <v>2.02</v>
      </c>
      <c r="F681" s="1">
        <f>IFERROR(__xludf.DUMMYFUNCTION("""COMPUTED_VALUE"""),1121593.0)</f>
        <v>1121593</v>
      </c>
    </row>
    <row r="682">
      <c r="A682" s="2">
        <f>IFERROR(__xludf.DUMMYFUNCTION("""COMPUTED_VALUE"""),43930.66666666667)</f>
        <v>43930.66667</v>
      </c>
      <c r="B682" s="1">
        <f>IFERROR(__xludf.DUMMYFUNCTION("""COMPUTED_VALUE"""),2.08)</f>
        <v>2.08</v>
      </c>
      <c r="C682" s="1">
        <f>IFERROR(__xludf.DUMMYFUNCTION("""COMPUTED_VALUE"""),2.19)</f>
        <v>2.19</v>
      </c>
      <c r="D682" s="1">
        <f>IFERROR(__xludf.DUMMYFUNCTION("""COMPUTED_VALUE"""),1.98)</f>
        <v>1.98</v>
      </c>
      <c r="E682" s="1">
        <f>IFERROR(__xludf.DUMMYFUNCTION("""COMPUTED_VALUE"""),2.15)</f>
        <v>2.15</v>
      </c>
      <c r="F682" s="1">
        <f>IFERROR(__xludf.DUMMYFUNCTION("""COMPUTED_VALUE"""),979498.0)</f>
        <v>979498</v>
      </c>
    </row>
    <row r="683">
      <c r="A683" s="2">
        <f>IFERROR(__xludf.DUMMYFUNCTION("""COMPUTED_VALUE"""),43938.66666666667)</f>
        <v>43938.66667</v>
      </c>
      <c r="B683" s="1">
        <f>IFERROR(__xludf.DUMMYFUNCTION("""COMPUTED_VALUE"""),2.15)</f>
        <v>2.15</v>
      </c>
      <c r="C683" s="1">
        <f>IFERROR(__xludf.DUMMYFUNCTION("""COMPUTED_VALUE"""),2.26)</f>
        <v>2.26</v>
      </c>
      <c r="D683" s="1">
        <f>IFERROR(__xludf.DUMMYFUNCTION("""COMPUTED_VALUE"""),2.05)</f>
        <v>2.05</v>
      </c>
      <c r="E683" s="1">
        <f>IFERROR(__xludf.DUMMYFUNCTION("""COMPUTED_VALUE"""),2.18)</f>
        <v>2.18</v>
      </c>
      <c r="F683" s="1">
        <f>IFERROR(__xludf.DUMMYFUNCTION("""COMPUTED_VALUE"""),856313.0)</f>
        <v>856313</v>
      </c>
    </row>
    <row r="684">
      <c r="A684" s="2">
        <f>IFERROR(__xludf.DUMMYFUNCTION("""COMPUTED_VALUE"""),43945.66666666667)</f>
        <v>43945.66667</v>
      </c>
      <c r="B684" s="1">
        <f>IFERROR(__xludf.DUMMYFUNCTION("""COMPUTED_VALUE"""),2.18)</f>
        <v>2.18</v>
      </c>
      <c r="C684" s="1">
        <f>IFERROR(__xludf.DUMMYFUNCTION("""COMPUTED_VALUE"""),2.2)</f>
        <v>2.2</v>
      </c>
      <c r="D684" s="1">
        <f>IFERROR(__xludf.DUMMYFUNCTION("""COMPUTED_VALUE"""),2.03)</f>
        <v>2.03</v>
      </c>
      <c r="E684" s="1">
        <f>IFERROR(__xludf.DUMMYFUNCTION("""COMPUTED_VALUE"""),2.17)</f>
        <v>2.17</v>
      </c>
      <c r="F684" s="1">
        <f>IFERROR(__xludf.DUMMYFUNCTION("""COMPUTED_VALUE"""),743771.0)</f>
        <v>743771</v>
      </c>
    </row>
    <row r="685">
      <c r="A685" s="2">
        <f>IFERROR(__xludf.DUMMYFUNCTION("""COMPUTED_VALUE"""),43952.66666666667)</f>
        <v>43952.66667</v>
      </c>
      <c r="B685" s="1">
        <f>IFERROR(__xludf.DUMMYFUNCTION("""COMPUTED_VALUE"""),2.19)</f>
        <v>2.19</v>
      </c>
      <c r="C685" s="1">
        <f>IFERROR(__xludf.DUMMYFUNCTION("""COMPUTED_VALUE"""),2.39)</f>
        <v>2.39</v>
      </c>
      <c r="D685" s="1">
        <f>IFERROR(__xludf.DUMMYFUNCTION("""COMPUTED_VALUE"""),2.18)</f>
        <v>2.18</v>
      </c>
      <c r="E685" s="1">
        <f>IFERROR(__xludf.DUMMYFUNCTION("""COMPUTED_VALUE"""),2.22)</f>
        <v>2.22</v>
      </c>
      <c r="F685" s="1">
        <f>IFERROR(__xludf.DUMMYFUNCTION("""COMPUTED_VALUE"""),1110366.0)</f>
        <v>1110366</v>
      </c>
    </row>
    <row r="686">
      <c r="A686" s="2">
        <f>IFERROR(__xludf.DUMMYFUNCTION("""COMPUTED_VALUE"""),43959.66666666667)</f>
        <v>43959.66667</v>
      </c>
      <c r="B686" s="1">
        <f>IFERROR(__xludf.DUMMYFUNCTION("""COMPUTED_VALUE"""),2.22)</f>
        <v>2.22</v>
      </c>
      <c r="C686" s="1">
        <f>IFERROR(__xludf.DUMMYFUNCTION("""COMPUTED_VALUE"""),2.69)</f>
        <v>2.69</v>
      </c>
      <c r="D686" s="1">
        <f>IFERROR(__xludf.DUMMYFUNCTION("""COMPUTED_VALUE"""),2.19)</f>
        <v>2.19</v>
      </c>
      <c r="E686" s="1">
        <f>IFERROR(__xludf.DUMMYFUNCTION("""COMPUTED_VALUE"""),2.54)</f>
        <v>2.54</v>
      </c>
      <c r="F686" s="1">
        <f>IFERROR(__xludf.DUMMYFUNCTION("""COMPUTED_VALUE"""),2002605.0)</f>
        <v>2002605</v>
      </c>
    </row>
    <row r="687">
      <c r="A687" s="2">
        <f>IFERROR(__xludf.DUMMYFUNCTION("""COMPUTED_VALUE"""),43966.66666666667)</f>
        <v>43966.66667</v>
      </c>
      <c r="B687" s="1">
        <f>IFERROR(__xludf.DUMMYFUNCTION("""COMPUTED_VALUE"""),2.54)</f>
        <v>2.54</v>
      </c>
      <c r="C687" s="1">
        <f>IFERROR(__xludf.DUMMYFUNCTION("""COMPUTED_VALUE"""),2.58)</f>
        <v>2.58</v>
      </c>
      <c r="D687" s="1">
        <f>IFERROR(__xludf.DUMMYFUNCTION("""COMPUTED_VALUE"""),2.23)</f>
        <v>2.23</v>
      </c>
      <c r="E687" s="1">
        <f>IFERROR(__xludf.DUMMYFUNCTION("""COMPUTED_VALUE"""),2.33)</f>
        <v>2.33</v>
      </c>
      <c r="F687" s="1">
        <f>IFERROR(__xludf.DUMMYFUNCTION("""COMPUTED_VALUE"""),1428551.0)</f>
        <v>1428551</v>
      </c>
    </row>
    <row r="688">
      <c r="A688" s="2">
        <f>IFERROR(__xludf.DUMMYFUNCTION("""COMPUTED_VALUE"""),43973.66666666667)</f>
        <v>43973.66667</v>
      </c>
      <c r="B688" s="1">
        <f>IFERROR(__xludf.DUMMYFUNCTION("""COMPUTED_VALUE"""),2.36)</f>
        <v>2.36</v>
      </c>
      <c r="C688" s="1">
        <f>IFERROR(__xludf.DUMMYFUNCTION("""COMPUTED_VALUE"""),2.58)</f>
        <v>2.58</v>
      </c>
      <c r="D688" s="1">
        <f>IFERROR(__xludf.DUMMYFUNCTION("""COMPUTED_VALUE"""),2.35)</f>
        <v>2.35</v>
      </c>
      <c r="E688" s="1">
        <f>IFERROR(__xludf.DUMMYFUNCTION("""COMPUTED_VALUE"""),2.47)</f>
        <v>2.47</v>
      </c>
      <c r="F688" s="1">
        <f>IFERROR(__xludf.DUMMYFUNCTION("""COMPUTED_VALUE"""),1391415.0)</f>
        <v>1391415</v>
      </c>
    </row>
    <row r="689">
      <c r="A689" s="2">
        <f>IFERROR(__xludf.DUMMYFUNCTION("""COMPUTED_VALUE"""),43980.66666666667)</f>
        <v>43980.66667</v>
      </c>
      <c r="B689" s="1">
        <f>IFERROR(__xludf.DUMMYFUNCTION("""COMPUTED_VALUE"""),2.52)</f>
        <v>2.52</v>
      </c>
      <c r="C689" s="1">
        <f>IFERROR(__xludf.DUMMYFUNCTION("""COMPUTED_VALUE"""),2.63)</f>
        <v>2.63</v>
      </c>
      <c r="D689" s="1">
        <f>IFERROR(__xludf.DUMMYFUNCTION("""COMPUTED_VALUE"""),2.49)</f>
        <v>2.49</v>
      </c>
      <c r="E689" s="1">
        <f>IFERROR(__xludf.DUMMYFUNCTION("""COMPUTED_VALUE"""),2.6)</f>
        <v>2.6</v>
      </c>
      <c r="F689" s="1">
        <f>IFERROR(__xludf.DUMMYFUNCTION("""COMPUTED_VALUE"""),1645825.0)</f>
        <v>1645825</v>
      </c>
    </row>
    <row r="690">
      <c r="A690" s="2">
        <f>IFERROR(__xludf.DUMMYFUNCTION("""COMPUTED_VALUE"""),43987.66666666667)</f>
        <v>43987.66667</v>
      </c>
      <c r="B690" s="1">
        <f>IFERROR(__xludf.DUMMYFUNCTION("""COMPUTED_VALUE"""),2.64)</f>
        <v>2.64</v>
      </c>
      <c r="C690" s="1">
        <f>IFERROR(__xludf.DUMMYFUNCTION("""COMPUTED_VALUE"""),2.98)</f>
        <v>2.98</v>
      </c>
      <c r="D690" s="1">
        <f>IFERROR(__xludf.DUMMYFUNCTION("""COMPUTED_VALUE"""),2.62)</f>
        <v>2.62</v>
      </c>
      <c r="E690" s="1">
        <f>IFERROR(__xludf.DUMMYFUNCTION("""COMPUTED_VALUE"""),2.86)</f>
        <v>2.86</v>
      </c>
      <c r="F690" s="1">
        <f>IFERROR(__xludf.DUMMYFUNCTION("""COMPUTED_VALUE"""),2224440.0)</f>
        <v>2224440</v>
      </c>
    </row>
    <row r="691">
      <c r="A691" s="2">
        <f>IFERROR(__xludf.DUMMYFUNCTION("""COMPUTED_VALUE"""),43994.66666666667)</f>
        <v>43994.66667</v>
      </c>
      <c r="B691" s="1">
        <f>IFERROR(__xludf.DUMMYFUNCTION("""COMPUTED_VALUE"""),2.93)</f>
        <v>2.93</v>
      </c>
      <c r="C691" s="1">
        <f>IFERROR(__xludf.DUMMYFUNCTION("""COMPUTED_VALUE"""),3.03)</f>
        <v>3.03</v>
      </c>
      <c r="D691" s="1">
        <f>IFERROR(__xludf.DUMMYFUNCTION("""COMPUTED_VALUE"""),2.77)</f>
        <v>2.77</v>
      </c>
      <c r="E691" s="1">
        <f>IFERROR(__xludf.DUMMYFUNCTION("""COMPUTED_VALUE"""),2.92)</f>
        <v>2.92</v>
      </c>
      <c r="F691" s="1">
        <f>IFERROR(__xludf.DUMMYFUNCTION("""COMPUTED_VALUE"""),2843927.0)</f>
        <v>2843927</v>
      </c>
    </row>
    <row r="692">
      <c r="A692" s="2">
        <f>IFERROR(__xludf.DUMMYFUNCTION("""COMPUTED_VALUE"""),44001.66666666667)</f>
        <v>44001.66667</v>
      </c>
      <c r="B692" s="1">
        <f>IFERROR(__xludf.DUMMYFUNCTION("""COMPUTED_VALUE"""),2.95)</f>
        <v>2.95</v>
      </c>
      <c r="C692" s="1">
        <f>IFERROR(__xludf.DUMMYFUNCTION("""COMPUTED_VALUE"""),3.33)</f>
        <v>3.33</v>
      </c>
      <c r="D692" s="1">
        <f>IFERROR(__xludf.DUMMYFUNCTION("""COMPUTED_VALUE"""),2.94)</f>
        <v>2.94</v>
      </c>
      <c r="E692" s="1">
        <f>IFERROR(__xludf.DUMMYFUNCTION("""COMPUTED_VALUE"""),3.23)</f>
        <v>3.23</v>
      </c>
      <c r="F692" s="1">
        <f>IFERROR(__xludf.DUMMYFUNCTION("""COMPUTED_VALUE"""),9638512.0)</f>
        <v>9638512</v>
      </c>
    </row>
    <row r="693">
      <c r="A693" s="2">
        <f>IFERROR(__xludf.DUMMYFUNCTION("""COMPUTED_VALUE"""),44008.66666666667)</f>
        <v>44008.66667</v>
      </c>
      <c r="B693" s="1">
        <f>IFERROR(__xludf.DUMMYFUNCTION("""COMPUTED_VALUE"""),3.24)</f>
        <v>3.24</v>
      </c>
      <c r="C693" s="1">
        <f>IFERROR(__xludf.DUMMYFUNCTION("""COMPUTED_VALUE"""),3.24)</f>
        <v>3.24</v>
      </c>
      <c r="D693" s="1">
        <f>IFERROR(__xludf.DUMMYFUNCTION("""COMPUTED_VALUE"""),2.76)</f>
        <v>2.76</v>
      </c>
      <c r="E693" s="1">
        <f>IFERROR(__xludf.DUMMYFUNCTION("""COMPUTED_VALUE"""),2.81)</f>
        <v>2.81</v>
      </c>
      <c r="F693" s="1">
        <f>IFERROR(__xludf.DUMMYFUNCTION("""COMPUTED_VALUE"""),1.0755512E7)</f>
        <v>10755512</v>
      </c>
    </row>
    <row r="694">
      <c r="A694" s="2">
        <f>IFERROR(__xludf.DUMMYFUNCTION("""COMPUTED_VALUE"""),44014.66666666667)</f>
        <v>44014.66667</v>
      </c>
      <c r="B694" s="1">
        <f>IFERROR(__xludf.DUMMYFUNCTION("""COMPUTED_VALUE"""),2.82)</f>
        <v>2.82</v>
      </c>
      <c r="C694" s="1">
        <f>IFERROR(__xludf.DUMMYFUNCTION("""COMPUTED_VALUE"""),2.87)</f>
        <v>2.87</v>
      </c>
      <c r="D694" s="1">
        <f>IFERROR(__xludf.DUMMYFUNCTION("""COMPUTED_VALUE"""),2.73)</f>
        <v>2.73</v>
      </c>
      <c r="E694" s="1">
        <f>IFERROR(__xludf.DUMMYFUNCTION("""COMPUTED_VALUE"""),2.75)</f>
        <v>2.75</v>
      </c>
      <c r="F694" s="1">
        <f>IFERROR(__xludf.DUMMYFUNCTION("""COMPUTED_VALUE"""),2878688.0)</f>
        <v>2878688</v>
      </c>
    </row>
    <row r="695">
      <c r="A695" s="2">
        <f>IFERROR(__xludf.DUMMYFUNCTION("""COMPUTED_VALUE"""),44022.66666666667)</f>
        <v>44022.66667</v>
      </c>
      <c r="B695" s="1">
        <f>IFERROR(__xludf.DUMMYFUNCTION("""COMPUTED_VALUE"""),2.8)</f>
        <v>2.8</v>
      </c>
      <c r="C695" s="1">
        <f>IFERROR(__xludf.DUMMYFUNCTION("""COMPUTED_VALUE"""),2.86)</f>
        <v>2.86</v>
      </c>
      <c r="D695" s="1">
        <f>IFERROR(__xludf.DUMMYFUNCTION("""COMPUTED_VALUE"""),2.73)</f>
        <v>2.73</v>
      </c>
      <c r="E695" s="1">
        <f>IFERROR(__xludf.DUMMYFUNCTION("""COMPUTED_VALUE"""),2.76)</f>
        <v>2.76</v>
      </c>
      <c r="F695" s="1">
        <f>IFERROR(__xludf.DUMMYFUNCTION("""COMPUTED_VALUE"""),2138840.0)</f>
        <v>2138840</v>
      </c>
    </row>
    <row r="696">
      <c r="A696" s="2">
        <f>IFERROR(__xludf.DUMMYFUNCTION("""COMPUTED_VALUE"""),44029.66666666667)</f>
        <v>44029.66667</v>
      </c>
      <c r="B696" s="1">
        <f>IFERROR(__xludf.DUMMYFUNCTION("""COMPUTED_VALUE"""),2.82)</f>
        <v>2.82</v>
      </c>
      <c r="C696" s="1">
        <f>IFERROR(__xludf.DUMMYFUNCTION("""COMPUTED_VALUE"""),2.89)</f>
        <v>2.89</v>
      </c>
      <c r="D696" s="1">
        <f>IFERROR(__xludf.DUMMYFUNCTION("""COMPUTED_VALUE"""),2.66)</f>
        <v>2.66</v>
      </c>
      <c r="E696" s="1">
        <f>IFERROR(__xludf.DUMMYFUNCTION("""COMPUTED_VALUE"""),2.84)</f>
        <v>2.84</v>
      </c>
      <c r="F696" s="1">
        <f>IFERROR(__xludf.DUMMYFUNCTION("""COMPUTED_VALUE"""),1519120.0)</f>
        <v>1519120</v>
      </c>
    </row>
    <row r="697">
      <c r="A697" s="2">
        <f>IFERROR(__xludf.DUMMYFUNCTION("""COMPUTED_VALUE"""),44036.66666666667)</f>
        <v>44036.66667</v>
      </c>
      <c r="B697" s="1">
        <f>IFERROR(__xludf.DUMMYFUNCTION("""COMPUTED_VALUE"""),2.85)</f>
        <v>2.85</v>
      </c>
      <c r="C697" s="1">
        <f>IFERROR(__xludf.DUMMYFUNCTION("""COMPUTED_VALUE"""),2.88)</f>
        <v>2.88</v>
      </c>
      <c r="D697" s="1">
        <f>IFERROR(__xludf.DUMMYFUNCTION("""COMPUTED_VALUE"""),2.67)</f>
        <v>2.67</v>
      </c>
      <c r="E697" s="1">
        <f>IFERROR(__xludf.DUMMYFUNCTION("""COMPUTED_VALUE"""),2.72)</f>
        <v>2.72</v>
      </c>
      <c r="F697" s="1">
        <f>IFERROR(__xludf.DUMMYFUNCTION("""COMPUTED_VALUE"""),1451512.0)</f>
        <v>1451512</v>
      </c>
    </row>
    <row r="698">
      <c r="A698" s="2">
        <f>IFERROR(__xludf.DUMMYFUNCTION("""COMPUTED_VALUE"""),44043.66666666667)</f>
        <v>44043.66667</v>
      </c>
      <c r="B698" s="1">
        <f>IFERROR(__xludf.DUMMYFUNCTION("""COMPUTED_VALUE"""),2.73)</f>
        <v>2.73</v>
      </c>
      <c r="C698" s="1">
        <f>IFERROR(__xludf.DUMMYFUNCTION("""COMPUTED_VALUE"""),3.03)</f>
        <v>3.03</v>
      </c>
      <c r="D698" s="1">
        <f>IFERROR(__xludf.DUMMYFUNCTION("""COMPUTED_VALUE"""),2.73)</f>
        <v>2.73</v>
      </c>
      <c r="E698" s="1">
        <f>IFERROR(__xludf.DUMMYFUNCTION("""COMPUTED_VALUE"""),3.03)</f>
        <v>3.03</v>
      </c>
      <c r="F698" s="1">
        <f>IFERROR(__xludf.DUMMYFUNCTION("""COMPUTED_VALUE"""),1390430.0)</f>
        <v>1390430</v>
      </c>
    </row>
    <row r="699">
      <c r="A699" s="2">
        <f>IFERROR(__xludf.DUMMYFUNCTION("""COMPUTED_VALUE"""),44050.66666666667)</f>
        <v>44050.66667</v>
      </c>
      <c r="B699" s="1">
        <f>IFERROR(__xludf.DUMMYFUNCTION("""COMPUTED_VALUE"""),3.1)</f>
        <v>3.1</v>
      </c>
      <c r="C699" s="1">
        <f>IFERROR(__xludf.DUMMYFUNCTION("""COMPUTED_VALUE"""),3.12)</f>
        <v>3.12</v>
      </c>
      <c r="D699" s="1">
        <f>IFERROR(__xludf.DUMMYFUNCTION("""COMPUTED_VALUE"""),2.97)</f>
        <v>2.97</v>
      </c>
      <c r="E699" s="1">
        <f>IFERROR(__xludf.DUMMYFUNCTION("""COMPUTED_VALUE"""),3.02)</f>
        <v>3.02</v>
      </c>
      <c r="F699" s="1">
        <f>IFERROR(__xludf.DUMMYFUNCTION("""COMPUTED_VALUE"""),2177773.0)</f>
        <v>2177773</v>
      </c>
    </row>
    <row r="700">
      <c r="A700" s="2">
        <f>IFERROR(__xludf.DUMMYFUNCTION("""COMPUTED_VALUE"""),44057.66666666667)</f>
        <v>44057.66667</v>
      </c>
      <c r="B700" s="1">
        <f>IFERROR(__xludf.DUMMYFUNCTION("""COMPUTED_VALUE"""),3.04)</f>
        <v>3.04</v>
      </c>
      <c r="C700" s="1">
        <f>IFERROR(__xludf.DUMMYFUNCTION("""COMPUTED_VALUE"""),3.12)</f>
        <v>3.12</v>
      </c>
      <c r="D700" s="1">
        <f>IFERROR(__xludf.DUMMYFUNCTION("""COMPUTED_VALUE"""),2.54)</f>
        <v>2.54</v>
      </c>
      <c r="E700" s="1">
        <f>IFERROR(__xludf.DUMMYFUNCTION("""COMPUTED_VALUE"""),2.61)</f>
        <v>2.61</v>
      </c>
      <c r="F700" s="1">
        <f>IFERROR(__xludf.DUMMYFUNCTION("""COMPUTED_VALUE"""),4588826.0)</f>
        <v>4588826</v>
      </c>
    </row>
    <row r="701">
      <c r="A701" s="2">
        <f>IFERROR(__xludf.DUMMYFUNCTION("""COMPUTED_VALUE"""),44064.66666666667)</f>
        <v>44064.66667</v>
      </c>
      <c r="B701" s="1">
        <f>IFERROR(__xludf.DUMMYFUNCTION("""COMPUTED_VALUE"""),2.62)</f>
        <v>2.62</v>
      </c>
      <c r="C701" s="1">
        <f>IFERROR(__xludf.DUMMYFUNCTION("""COMPUTED_VALUE"""),2.65)</f>
        <v>2.65</v>
      </c>
      <c r="D701" s="1">
        <f>IFERROR(__xludf.DUMMYFUNCTION("""COMPUTED_VALUE"""),2.53)</f>
        <v>2.53</v>
      </c>
      <c r="E701" s="1">
        <f>IFERROR(__xludf.DUMMYFUNCTION("""COMPUTED_VALUE"""),2.65)</f>
        <v>2.65</v>
      </c>
      <c r="F701" s="1">
        <f>IFERROR(__xludf.DUMMYFUNCTION("""COMPUTED_VALUE"""),1689403.0)</f>
        <v>1689403</v>
      </c>
    </row>
    <row r="702">
      <c r="A702" s="2">
        <f>IFERROR(__xludf.DUMMYFUNCTION("""COMPUTED_VALUE"""),44071.66666666667)</f>
        <v>44071.66667</v>
      </c>
      <c r="B702" s="1">
        <f>IFERROR(__xludf.DUMMYFUNCTION("""COMPUTED_VALUE"""),2.66)</f>
        <v>2.66</v>
      </c>
      <c r="C702" s="1">
        <f>IFERROR(__xludf.DUMMYFUNCTION("""COMPUTED_VALUE"""),2.74)</f>
        <v>2.74</v>
      </c>
      <c r="D702" s="1">
        <f>IFERROR(__xludf.DUMMYFUNCTION("""COMPUTED_VALUE"""),2.57)</f>
        <v>2.57</v>
      </c>
      <c r="E702" s="1">
        <f>IFERROR(__xludf.DUMMYFUNCTION("""COMPUTED_VALUE"""),2.71)</f>
        <v>2.71</v>
      </c>
      <c r="F702" s="1">
        <f>IFERROR(__xludf.DUMMYFUNCTION("""COMPUTED_VALUE"""),2267272.0)</f>
        <v>2267272</v>
      </c>
    </row>
    <row r="703">
      <c r="A703" s="2">
        <f>IFERROR(__xludf.DUMMYFUNCTION("""COMPUTED_VALUE"""),44078.66666666667)</f>
        <v>44078.66667</v>
      </c>
      <c r="B703" s="1">
        <f>IFERROR(__xludf.DUMMYFUNCTION("""COMPUTED_VALUE"""),2.7)</f>
        <v>2.7</v>
      </c>
      <c r="C703" s="1">
        <f>IFERROR(__xludf.DUMMYFUNCTION("""COMPUTED_VALUE"""),2.79)</f>
        <v>2.79</v>
      </c>
      <c r="D703" s="1">
        <f>IFERROR(__xludf.DUMMYFUNCTION("""COMPUTED_VALUE"""),2.49)</f>
        <v>2.49</v>
      </c>
      <c r="E703" s="1">
        <f>IFERROR(__xludf.DUMMYFUNCTION("""COMPUTED_VALUE"""),2.55)</f>
        <v>2.55</v>
      </c>
      <c r="F703" s="1">
        <f>IFERROR(__xludf.DUMMYFUNCTION("""COMPUTED_VALUE"""),2007836.0)</f>
        <v>2007836</v>
      </c>
    </row>
    <row r="704">
      <c r="A704" s="2">
        <f>IFERROR(__xludf.DUMMYFUNCTION("""COMPUTED_VALUE"""),44085.66666666667)</f>
        <v>44085.66667</v>
      </c>
      <c r="B704" s="1">
        <f>IFERROR(__xludf.DUMMYFUNCTION("""COMPUTED_VALUE"""),2.53)</f>
        <v>2.53</v>
      </c>
      <c r="C704" s="1">
        <f>IFERROR(__xludf.DUMMYFUNCTION("""COMPUTED_VALUE"""),2.64)</f>
        <v>2.64</v>
      </c>
      <c r="D704" s="1">
        <f>IFERROR(__xludf.DUMMYFUNCTION("""COMPUTED_VALUE"""),2.47)</f>
        <v>2.47</v>
      </c>
      <c r="E704" s="1">
        <f>IFERROR(__xludf.DUMMYFUNCTION("""COMPUTED_VALUE"""),2.57)</f>
        <v>2.57</v>
      </c>
      <c r="F704" s="1">
        <f>IFERROR(__xludf.DUMMYFUNCTION("""COMPUTED_VALUE"""),1004354.0)</f>
        <v>1004354</v>
      </c>
    </row>
    <row r="705">
      <c r="A705" s="2">
        <f>IFERROR(__xludf.DUMMYFUNCTION("""COMPUTED_VALUE"""),44092.66666666667)</f>
        <v>44092.66667</v>
      </c>
      <c r="B705" s="1">
        <f>IFERROR(__xludf.DUMMYFUNCTION("""COMPUTED_VALUE"""),2.59)</f>
        <v>2.59</v>
      </c>
      <c r="C705" s="1">
        <f>IFERROR(__xludf.DUMMYFUNCTION("""COMPUTED_VALUE"""),2.71)</f>
        <v>2.71</v>
      </c>
      <c r="D705" s="1">
        <f>IFERROR(__xludf.DUMMYFUNCTION("""COMPUTED_VALUE"""),2.57)</f>
        <v>2.57</v>
      </c>
      <c r="E705" s="1">
        <f>IFERROR(__xludf.DUMMYFUNCTION("""COMPUTED_VALUE"""),2.7)</f>
        <v>2.7</v>
      </c>
      <c r="F705" s="1">
        <f>IFERROR(__xludf.DUMMYFUNCTION("""COMPUTED_VALUE"""),1507327.0)</f>
        <v>1507327</v>
      </c>
    </row>
    <row r="706">
      <c r="A706" s="2">
        <f>IFERROR(__xludf.DUMMYFUNCTION("""COMPUTED_VALUE"""),44099.66666666667)</f>
        <v>44099.66667</v>
      </c>
      <c r="B706" s="1">
        <f>IFERROR(__xludf.DUMMYFUNCTION("""COMPUTED_VALUE"""),2.65)</f>
        <v>2.65</v>
      </c>
      <c r="C706" s="1">
        <f>IFERROR(__xludf.DUMMYFUNCTION("""COMPUTED_VALUE"""),2.65)</f>
        <v>2.65</v>
      </c>
      <c r="D706" s="1">
        <f>IFERROR(__xludf.DUMMYFUNCTION("""COMPUTED_VALUE"""),2.45)</f>
        <v>2.45</v>
      </c>
      <c r="E706" s="1">
        <f>IFERROR(__xludf.DUMMYFUNCTION("""COMPUTED_VALUE"""),2.57)</f>
        <v>2.57</v>
      </c>
      <c r="F706" s="1">
        <f>IFERROR(__xludf.DUMMYFUNCTION("""COMPUTED_VALUE"""),1366113.0)</f>
        <v>1366113</v>
      </c>
    </row>
    <row r="707">
      <c r="A707" s="2">
        <f>IFERROR(__xludf.DUMMYFUNCTION("""COMPUTED_VALUE"""),44106.66666666667)</f>
        <v>44106.66667</v>
      </c>
      <c r="B707" s="1">
        <f>IFERROR(__xludf.DUMMYFUNCTION("""COMPUTED_VALUE"""),2.61)</f>
        <v>2.61</v>
      </c>
      <c r="C707" s="1">
        <f>IFERROR(__xludf.DUMMYFUNCTION("""COMPUTED_VALUE"""),2.71)</f>
        <v>2.71</v>
      </c>
      <c r="D707" s="1">
        <f>IFERROR(__xludf.DUMMYFUNCTION("""COMPUTED_VALUE"""),2.53)</f>
        <v>2.53</v>
      </c>
      <c r="E707" s="1">
        <f>IFERROR(__xludf.DUMMYFUNCTION("""COMPUTED_VALUE"""),2.58)</f>
        <v>2.58</v>
      </c>
      <c r="F707" s="1">
        <f>IFERROR(__xludf.DUMMYFUNCTION("""COMPUTED_VALUE"""),976600.0)</f>
        <v>976600</v>
      </c>
    </row>
    <row r="708">
      <c r="A708" s="2">
        <f>IFERROR(__xludf.DUMMYFUNCTION("""COMPUTED_VALUE"""),44113.66666666667)</f>
        <v>44113.66667</v>
      </c>
      <c r="B708" s="1">
        <f>IFERROR(__xludf.DUMMYFUNCTION("""COMPUTED_VALUE"""),2.61)</f>
        <v>2.61</v>
      </c>
      <c r="C708" s="1">
        <f>IFERROR(__xludf.DUMMYFUNCTION("""COMPUTED_VALUE"""),2.79)</f>
        <v>2.79</v>
      </c>
      <c r="D708" s="1">
        <f>IFERROR(__xludf.DUMMYFUNCTION("""COMPUTED_VALUE"""),2.6)</f>
        <v>2.6</v>
      </c>
      <c r="E708" s="1">
        <f>IFERROR(__xludf.DUMMYFUNCTION("""COMPUTED_VALUE"""),2.77)</f>
        <v>2.77</v>
      </c>
      <c r="F708" s="1">
        <f>IFERROR(__xludf.DUMMYFUNCTION("""COMPUTED_VALUE"""),812893.0)</f>
        <v>812893</v>
      </c>
    </row>
    <row r="709">
      <c r="A709" s="2">
        <f>IFERROR(__xludf.DUMMYFUNCTION("""COMPUTED_VALUE"""),44120.66666666667)</f>
        <v>44120.66667</v>
      </c>
      <c r="B709" s="1">
        <f>IFERROR(__xludf.DUMMYFUNCTION("""COMPUTED_VALUE"""),2.79)</f>
        <v>2.79</v>
      </c>
      <c r="C709" s="1">
        <f>IFERROR(__xludf.DUMMYFUNCTION("""COMPUTED_VALUE"""),2.82)</f>
        <v>2.82</v>
      </c>
      <c r="D709" s="1">
        <f>IFERROR(__xludf.DUMMYFUNCTION("""COMPUTED_VALUE"""),2.69)</f>
        <v>2.69</v>
      </c>
      <c r="E709" s="1">
        <f>IFERROR(__xludf.DUMMYFUNCTION("""COMPUTED_VALUE"""),2.73)</f>
        <v>2.73</v>
      </c>
      <c r="F709" s="1">
        <f>IFERROR(__xludf.DUMMYFUNCTION("""COMPUTED_VALUE"""),740183.0)</f>
        <v>740183</v>
      </c>
    </row>
    <row r="710">
      <c r="A710" s="2">
        <f>IFERROR(__xludf.DUMMYFUNCTION("""COMPUTED_VALUE"""),44127.66666666667)</f>
        <v>44127.66667</v>
      </c>
      <c r="B710" s="1">
        <f>IFERROR(__xludf.DUMMYFUNCTION("""COMPUTED_VALUE"""),2.74)</f>
        <v>2.74</v>
      </c>
      <c r="C710" s="1">
        <f>IFERROR(__xludf.DUMMYFUNCTION("""COMPUTED_VALUE"""),2.74)</f>
        <v>2.74</v>
      </c>
      <c r="D710" s="1">
        <f>IFERROR(__xludf.DUMMYFUNCTION("""COMPUTED_VALUE"""),2.53)</f>
        <v>2.53</v>
      </c>
      <c r="E710" s="1">
        <f>IFERROR(__xludf.DUMMYFUNCTION("""COMPUTED_VALUE"""),2.55)</f>
        <v>2.55</v>
      </c>
      <c r="F710" s="1">
        <f>IFERROR(__xludf.DUMMYFUNCTION("""COMPUTED_VALUE"""),949002.0)</f>
        <v>949002</v>
      </c>
    </row>
    <row r="711">
      <c r="A711" s="2">
        <f>IFERROR(__xludf.DUMMYFUNCTION("""COMPUTED_VALUE"""),44134.66666666667)</f>
        <v>44134.66667</v>
      </c>
      <c r="B711" s="1">
        <f>IFERROR(__xludf.DUMMYFUNCTION("""COMPUTED_VALUE"""),2.53)</f>
        <v>2.53</v>
      </c>
      <c r="C711" s="1">
        <f>IFERROR(__xludf.DUMMYFUNCTION("""COMPUTED_VALUE"""),2.53)</f>
        <v>2.53</v>
      </c>
      <c r="D711" s="1">
        <f>IFERROR(__xludf.DUMMYFUNCTION("""COMPUTED_VALUE"""),2.19)</f>
        <v>2.19</v>
      </c>
      <c r="E711" s="1">
        <f>IFERROR(__xludf.DUMMYFUNCTION("""COMPUTED_VALUE"""),2.27)</f>
        <v>2.27</v>
      </c>
      <c r="F711" s="1">
        <f>IFERROR(__xludf.DUMMYFUNCTION("""COMPUTED_VALUE"""),1255700.0)</f>
        <v>1255700</v>
      </c>
    </row>
    <row r="712">
      <c r="A712" s="2">
        <f>IFERROR(__xludf.DUMMYFUNCTION("""COMPUTED_VALUE"""),44141.66666666667)</f>
        <v>44141.66667</v>
      </c>
      <c r="B712" s="1">
        <f>IFERROR(__xludf.DUMMYFUNCTION("""COMPUTED_VALUE"""),2.3)</f>
        <v>2.3</v>
      </c>
      <c r="C712" s="1">
        <f>IFERROR(__xludf.DUMMYFUNCTION("""COMPUTED_VALUE"""),2.89)</f>
        <v>2.89</v>
      </c>
      <c r="D712" s="1">
        <f>IFERROR(__xludf.DUMMYFUNCTION("""COMPUTED_VALUE"""),2.27)</f>
        <v>2.27</v>
      </c>
      <c r="E712" s="1">
        <f>IFERROR(__xludf.DUMMYFUNCTION("""COMPUTED_VALUE"""),2.8)</f>
        <v>2.8</v>
      </c>
      <c r="F712" s="1">
        <f>IFERROR(__xludf.DUMMYFUNCTION("""COMPUTED_VALUE"""),3213144.0)</f>
        <v>3213144</v>
      </c>
    </row>
    <row r="713">
      <c r="A713" s="2">
        <f>IFERROR(__xludf.DUMMYFUNCTION("""COMPUTED_VALUE"""),44148.66666666667)</f>
        <v>44148.66667</v>
      </c>
      <c r="B713" s="1">
        <f>IFERROR(__xludf.DUMMYFUNCTION("""COMPUTED_VALUE"""),2.81)</f>
        <v>2.81</v>
      </c>
      <c r="C713" s="1">
        <f>IFERROR(__xludf.DUMMYFUNCTION("""COMPUTED_VALUE"""),3.0)</f>
        <v>3</v>
      </c>
      <c r="D713" s="1">
        <f>IFERROR(__xludf.DUMMYFUNCTION("""COMPUTED_VALUE"""),2.75)</f>
        <v>2.75</v>
      </c>
      <c r="E713" s="1">
        <f>IFERROR(__xludf.DUMMYFUNCTION("""COMPUTED_VALUE"""),2.95)</f>
        <v>2.95</v>
      </c>
      <c r="F713" s="1">
        <f>IFERROR(__xludf.DUMMYFUNCTION("""COMPUTED_VALUE"""),1775167.0)</f>
        <v>1775167</v>
      </c>
    </row>
    <row r="714">
      <c r="A714" s="2">
        <f>IFERROR(__xludf.DUMMYFUNCTION("""COMPUTED_VALUE"""),44155.66666666667)</f>
        <v>44155.66667</v>
      </c>
      <c r="B714" s="1">
        <f>IFERROR(__xludf.DUMMYFUNCTION("""COMPUTED_VALUE"""),2.95)</f>
        <v>2.95</v>
      </c>
      <c r="C714" s="1">
        <f>IFERROR(__xludf.DUMMYFUNCTION("""COMPUTED_VALUE"""),3.0)</f>
        <v>3</v>
      </c>
      <c r="D714" s="1">
        <f>IFERROR(__xludf.DUMMYFUNCTION("""COMPUTED_VALUE"""),2.89)</f>
        <v>2.89</v>
      </c>
      <c r="E714" s="1">
        <f>IFERROR(__xludf.DUMMYFUNCTION("""COMPUTED_VALUE"""),2.99)</f>
        <v>2.99</v>
      </c>
      <c r="F714" s="1">
        <f>IFERROR(__xludf.DUMMYFUNCTION("""COMPUTED_VALUE"""),1662095.0)</f>
        <v>1662095</v>
      </c>
    </row>
    <row r="715">
      <c r="A715" s="2">
        <f>IFERROR(__xludf.DUMMYFUNCTION("""COMPUTED_VALUE"""),44162.54166666667)</f>
        <v>44162.54167</v>
      </c>
      <c r="B715" s="1">
        <f>IFERROR(__xludf.DUMMYFUNCTION("""COMPUTED_VALUE"""),2.99)</f>
        <v>2.99</v>
      </c>
      <c r="C715" s="1">
        <f>IFERROR(__xludf.DUMMYFUNCTION("""COMPUTED_VALUE"""),3.0)</f>
        <v>3</v>
      </c>
      <c r="D715" s="1">
        <f>IFERROR(__xludf.DUMMYFUNCTION("""COMPUTED_VALUE"""),2.88)</f>
        <v>2.88</v>
      </c>
      <c r="E715" s="1">
        <f>IFERROR(__xludf.DUMMYFUNCTION("""COMPUTED_VALUE"""),2.97)</f>
        <v>2.97</v>
      </c>
      <c r="F715" s="1">
        <f>IFERROR(__xludf.DUMMYFUNCTION("""COMPUTED_VALUE"""),1334883.0)</f>
        <v>1334883</v>
      </c>
    </row>
    <row r="716">
      <c r="A716" s="2">
        <f>IFERROR(__xludf.DUMMYFUNCTION("""COMPUTED_VALUE"""),44169.66666666667)</f>
        <v>44169.66667</v>
      </c>
      <c r="B716" s="1">
        <f>IFERROR(__xludf.DUMMYFUNCTION("""COMPUTED_VALUE"""),2.94)</f>
        <v>2.94</v>
      </c>
      <c r="C716" s="1">
        <f>IFERROR(__xludf.DUMMYFUNCTION("""COMPUTED_VALUE"""),3.07)</f>
        <v>3.07</v>
      </c>
      <c r="D716" s="1">
        <f>IFERROR(__xludf.DUMMYFUNCTION("""COMPUTED_VALUE"""),2.8)</f>
        <v>2.8</v>
      </c>
      <c r="E716" s="1">
        <f>IFERROR(__xludf.DUMMYFUNCTION("""COMPUTED_VALUE"""),3.06)</f>
        <v>3.06</v>
      </c>
      <c r="F716" s="1">
        <f>IFERROR(__xludf.DUMMYFUNCTION("""COMPUTED_VALUE"""),1679464.0)</f>
        <v>1679464</v>
      </c>
    </row>
    <row r="717">
      <c r="A717" s="2">
        <f>IFERROR(__xludf.DUMMYFUNCTION("""COMPUTED_VALUE"""),44176.66666666667)</f>
        <v>44176.66667</v>
      </c>
      <c r="B717" s="1">
        <f>IFERROR(__xludf.DUMMYFUNCTION("""COMPUTED_VALUE"""),3.06)</f>
        <v>3.06</v>
      </c>
      <c r="C717" s="1">
        <f>IFERROR(__xludf.DUMMYFUNCTION("""COMPUTED_VALUE"""),3.15)</f>
        <v>3.15</v>
      </c>
      <c r="D717" s="1">
        <f>IFERROR(__xludf.DUMMYFUNCTION("""COMPUTED_VALUE"""),2.96)</f>
        <v>2.96</v>
      </c>
      <c r="E717" s="1">
        <f>IFERROR(__xludf.DUMMYFUNCTION("""COMPUTED_VALUE"""),2.99)</f>
        <v>2.99</v>
      </c>
      <c r="F717" s="1">
        <f>IFERROR(__xludf.DUMMYFUNCTION("""COMPUTED_VALUE"""),1087092.0)</f>
        <v>1087092</v>
      </c>
    </row>
    <row r="718">
      <c r="A718" s="2">
        <f>IFERROR(__xludf.DUMMYFUNCTION("""COMPUTED_VALUE"""),44183.66666666667)</f>
        <v>44183.66667</v>
      </c>
      <c r="B718" s="1">
        <f>IFERROR(__xludf.DUMMYFUNCTION("""COMPUTED_VALUE"""),3.02)</f>
        <v>3.02</v>
      </c>
      <c r="C718" s="1">
        <f>IFERROR(__xludf.DUMMYFUNCTION("""COMPUTED_VALUE"""),3.09)</f>
        <v>3.09</v>
      </c>
      <c r="D718" s="1">
        <f>IFERROR(__xludf.DUMMYFUNCTION("""COMPUTED_VALUE"""),2.91)</f>
        <v>2.91</v>
      </c>
      <c r="E718" s="1">
        <f>IFERROR(__xludf.DUMMYFUNCTION("""COMPUTED_VALUE"""),3.05)</f>
        <v>3.05</v>
      </c>
      <c r="F718" s="1">
        <f>IFERROR(__xludf.DUMMYFUNCTION("""COMPUTED_VALUE"""),2271230.0)</f>
        <v>2271230</v>
      </c>
    </row>
    <row r="719">
      <c r="A719" s="2">
        <f>IFERROR(__xludf.DUMMYFUNCTION("""COMPUTED_VALUE"""),44189.54166666667)</f>
        <v>44189.54167</v>
      </c>
      <c r="B719" s="1">
        <f>IFERROR(__xludf.DUMMYFUNCTION("""COMPUTED_VALUE"""),2.98)</f>
        <v>2.98</v>
      </c>
      <c r="C719" s="1">
        <f>IFERROR(__xludf.DUMMYFUNCTION("""COMPUTED_VALUE"""),3.06)</f>
        <v>3.06</v>
      </c>
      <c r="D719" s="1">
        <f>IFERROR(__xludf.DUMMYFUNCTION("""COMPUTED_VALUE"""),2.94)</f>
        <v>2.94</v>
      </c>
      <c r="E719" s="1">
        <f>IFERROR(__xludf.DUMMYFUNCTION("""COMPUTED_VALUE"""),3.05)</f>
        <v>3.05</v>
      </c>
      <c r="F719" s="1">
        <f>IFERROR(__xludf.DUMMYFUNCTION("""COMPUTED_VALUE"""),878941.0)</f>
        <v>878941</v>
      </c>
    </row>
    <row r="720">
      <c r="A720" s="2">
        <f>IFERROR(__xludf.DUMMYFUNCTION("""COMPUTED_VALUE"""),44196.66666666667)</f>
        <v>44196.66667</v>
      </c>
      <c r="B720" s="1">
        <f>IFERROR(__xludf.DUMMYFUNCTION("""COMPUTED_VALUE"""),3.08)</f>
        <v>3.08</v>
      </c>
      <c r="C720" s="1">
        <f>IFERROR(__xludf.DUMMYFUNCTION("""COMPUTED_VALUE"""),3.18)</f>
        <v>3.18</v>
      </c>
      <c r="D720" s="1">
        <f>IFERROR(__xludf.DUMMYFUNCTION("""COMPUTED_VALUE"""),3.02)</f>
        <v>3.02</v>
      </c>
      <c r="E720" s="1">
        <f>IFERROR(__xludf.DUMMYFUNCTION("""COMPUTED_VALUE"""),3.17)</f>
        <v>3.17</v>
      </c>
      <c r="F720" s="1">
        <f>IFERROR(__xludf.DUMMYFUNCTION("""COMPUTED_VALUE"""),1202514.0)</f>
        <v>1202514</v>
      </c>
    </row>
    <row r="721">
      <c r="A721" s="2">
        <f>IFERROR(__xludf.DUMMYFUNCTION("""COMPUTED_VALUE"""),44204.66666666667)</f>
        <v>44204.66667</v>
      </c>
      <c r="B721" s="1">
        <f>IFERROR(__xludf.DUMMYFUNCTION("""COMPUTED_VALUE"""),3.18)</f>
        <v>3.18</v>
      </c>
      <c r="C721" s="1">
        <f>IFERROR(__xludf.DUMMYFUNCTION("""COMPUTED_VALUE"""),3.33)</f>
        <v>3.33</v>
      </c>
      <c r="D721" s="1">
        <f>IFERROR(__xludf.DUMMYFUNCTION("""COMPUTED_VALUE"""),3.08)</f>
        <v>3.08</v>
      </c>
      <c r="E721" s="1">
        <f>IFERROR(__xludf.DUMMYFUNCTION("""COMPUTED_VALUE"""),3.19)</f>
        <v>3.19</v>
      </c>
      <c r="F721" s="1">
        <f>IFERROR(__xludf.DUMMYFUNCTION("""COMPUTED_VALUE"""),1675414.0)</f>
        <v>1675414</v>
      </c>
    </row>
    <row r="722">
      <c r="A722" s="2">
        <f>IFERROR(__xludf.DUMMYFUNCTION("""COMPUTED_VALUE"""),44211.66666666667)</f>
        <v>44211.66667</v>
      </c>
      <c r="B722" s="1">
        <f>IFERROR(__xludf.DUMMYFUNCTION("""COMPUTED_VALUE"""),3.15)</f>
        <v>3.15</v>
      </c>
      <c r="C722" s="1">
        <f>IFERROR(__xludf.DUMMYFUNCTION("""COMPUTED_VALUE"""),3.31)</f>
        <v>3.31</v>
      </c>
      <c r="D722" s="1">
        <f>IFERROR(__xludf.DUMMYFUNCTION("""COMPUTED_VALUE"""),3.14)</f>
        <v>3.14</v>
      </c>
      <c r="E722" s="1">
        <f>IFERROR(__xludf.DUMMYFUNCTION("""COMPUTED_VALUE"""),3.24)</f>
        <v>3.24</v>
      </c>
      <c r="F722" s="1">
        <f>IFERROR(__xludf.DUMMYFUNCTION("""COMPUTED_VALUE"""),1159022.0)</f>
        <v>1159022</v>
      </c>
    </row>
    <row r="723">
      <c r="A723" s="2">
        <f>IFERROR(__xludf.DUMMYFUNCTION("""COMPUTED_VALUE"""),44218.66666666667)</f>
        <v>44218.66667</v>
      </c>
      <c r="B723" s="1">
        <f>IFERROR(__xludf.DUMMYFUNCTION("""COMPUTED_VALUE"""),3.28)</f>
        <v>3.28</v>
      </c>
      <c r="C723" s="1">
        <f>IFERROR(__xludf.DUMMYFUNCTION("""COMPUTED_VALUE"""),3.43)</f>
        <v>3.43</v>
      </c>
      <c r="D723" s="1">
        <f>IFERROR(__xludf.DUMMYFUNCTION("""COMPUTED_VALUE"""),3.21)</f>
        <v>3.21</v>
      </c>
      <c r="E723" s="1">
        <f>IFERROR(__xludf.DUMMYFUNCTION("""COMPUTED_VALUE"""),3.42)</f>
        <v>3.42</v>
      </c>
      <c r="F723" s="1">
        <f>IFERROR(__xludf.DUMMYFUNCTION("""COMPUTED_VALUE"""),1093199.0)</f>
        <v>1093199</v>
      </c>
    </row>
    <row r="724">
      <c r="A724" s="2">
        <f>IFERROR(__xludf.DUMMYFUNCTION("""COMPUTED_VALUE"""),44225.66666666667)</f>
        <v>44225.66667</v>
      </c>
      <c r="B724" s="1">
        <f>IFERROR(__xludf.DUMMYFUNCTION("""COMPUTED_VALUE"""),3.43)</f>
        <v>3.43</v>
      </c>
      <c r="C724" s="1">
        <f>IFERROR(__xludf.DUMMYFUNCTION("""COMPUTED_VALUE"""),3.51)</f>
        <v>3.51</v>
      </c>
      <c r="D724" s="1">
        <f>IFERROR(__xludf.DUMMYFUNCTION("""COMPUTED_VALUE"""),3.05)</f>
        <v>3.05</v>
      </c>
      <c r="E724" s="1">
        <f>IFERROR(__xludf.DUMMYFUNCTION("""COMPUTED_VALUE"""),3.1)</f>
        <v>3.1</v>
      </c>
      <c r="F724" s="1">
        <f>IFERROR(__xludf.DUMMYFUNCTION("""COMPUTED_VALUE"""),1234703.0)</f>
        <v>1234703</v>
      </c>
    </row>
    <row r="725">
      <c r="A725" s="2">
        <f>IFERROR(__xludf.DUMMYFUNCTION("""COMPUTED_VALUE"""),44232.66666666667)</f>
        <v>44232.66667</v>
      </c>
      <c r="B725" s="1">
        <f>IFERROR(__xludf.DUMMYFUNCTION("""COMPUTED_VALUE"""),3.13)</f>
        <v>3.13</v>
      </c>
      <c r="C725" s="1">
        <f>IFERROR(__xludf.DUMMYFUNCTION("""COMPUTED_VALUE"""),3.47)</f>
        <v>3.47</v>
      </c>
      <c r="D725" s="1">
        <f>IFERROR(__xludf.DUMMYFUNCTION("""COMPUTED_VALUE"""),3.1)</f>
        <v>3.1</v>
      </c>
      <c r="E725" s="1">
        <f>IFERROR(__xludf.DUMMYFUNCTION("""COMPUTED_VALUE"""),3.2)</f>
        <v>3.2</v>
      </c>
      <c r="F725" s="1">
        <f>IFERROR(__xludf.DUMMYFUNCTION("""COMPUTED_VALUE"""),1567380.0)</f>
        <v>1567380</v>
      </c>
    </row>
    <row r="726">
      <c r="A726" s="2">
        <f>IFERROR(__xludf.DUMMYFUNCTION("""COMPUTED_VALUE"""),44239.66666666667)</f>
        <v>44239.66667</v>
      </c>
      <c r="B726" s="1">
        <f>IFERROR(__xludf.DUMMYFUNCTION("""COMPUTED_VALUE"""),3.2)</f>
        <v>3.2</v>
      </c>
      <c r="C726" s="1">
        <f>IFERROR(__xludf.DUMMYFUNCTION("""COMPUTED_VALUE"""),3.46)</f>
        <v>3.46</v>
      </c>
      <c r="D726" s="1">
        <f>IFERROR(__xludf.DUMMYFUNCTION("""COMPUTED_VALUE"""),3.15)</f>
        <v>3.15</v>
      </c>
      <c r="E726" s="1">
        <f>IFERROR(__xludf.DUMMYFUNCTION("""COMPUTED_VALUE"""),3.2)</f>
        <v>3.2</v>
      </c>
      <c r="F726" s="1">
        <f>IFERROR(__xludf.DUMMYFUNCTION("""COMPUTED_VALUE"""),1644003.0)</f>
        <v>1644003</v>
      </c>
    </row>
    <row r="727">
      <c r="A727" s="2">
        <f>IFERROR(__xludf.DUMMYFUNCTION("""COMPUTED_VALUE"""),44246.66666666667)</f>
        <v>44246.66667</v>
      </c>
      <c r="B727" s="1">
        <f>IFERROR(__xludf.DUMMYFUNCTION("""COMPUTED_VALUE"""),3.24)</f>
        <v>3.24</v>
      </c>
      <c r="C727" s="1">
        <f>IFERROR(__xludf.DUMMYFUNCTION("""COMPUTED_VALUE"""),3.29)</f>
        <v>3.29</v>
      </c>
      <c r="D727" s="1">
        <f>IFERROR(__xludf.DUMMYFUNCTION("""COMPUTED_VALUE"""),3.1)</f>
        <v>3.1</v>
      </c>
      <c r="E727" s="1">
        <f>IFERROR(__xludf.DUMMYFUNCTION("""COMPUTED_VALUE"""),3.17)</f>
        <v>3.17</v>
      </c>
      <c r="F727" s="1">
        <f>IFERROR(__xludf.DUMMYFUNCTION("""COMPUTED_VALUE"""),863136.0)</f>
        <v>863136</v>
      </c>
    </row>
    <row r="728">
      <c r="A728" s="2">
        <f>IFERROR(__xludf.DUMMYFUNCTION("""COMPUTED_VALUE"""),44253.66666666667)</f>
        <v>44253.66667</v>
      </c>
      <c r="B728" s="1">
        <f>IFERROR(__xludf.DUMMYFUNCTION("""COMPUTED_VALUE"""),3.13)</f>
        <v>3.13</v>
      </c>
      <c r="C728" s="1">
        <f>IFERROR(__xludf.DUMMYFUNCTION("""COMPUTED_VALUE"""),3.4)</f>
        <v>3.4</v>
      </c>
      <c r="D728" s="1">
        <f>IFERROR(__xludf.DUMMYFUNCTION("""COMPUTED_VALUE"""),3.06)</f>
        <v>3.06</v>
      </c>
      <c r="E728" s="1">
        <f>IFERROR(__xludf.DUMMYFUNCTION("""COMPUTED_VALUE"""),3.26)</f>
        <v>3.26</v>
      </c>
      <c r="F728" s="1">
        <f>IFERROR(__xludf.DUMMYFUNCTION("""COMPUTED_VALUE"""),1893105.0)</f>
        <v>1893105</v>
      </c>
    </row>
    <row r="729">
      <c r="A729" s="2">
        <f>IFERROR(__xludf.DUMMYFUNCTION("""COMPUTED_VALUE"""),44260.66666666667)</f>
        <v>44260.66667</v>
      </c>
      <c r="B729" s="1">
        <f>IFERROR(__xludf.DUMMYFUNCTION("""COMPUTED_VALUE"""),3.35)</f>
        <v>3.35</v>
      </c>
      <c r="C729" s="1">
        <f>IFERROR(__xludf.DUMMYFUNCTION("""COMPUTED_VALUE"""),3.47)</f>
        <v>3.47</v>
      </c>
      <c r="D729" s="1">
        <f>IFERROR(__xludf.DUMMYFUNCTION("""COMPUTED_VALUE"""),3.23)</f>
        <v>3.23</v>
      </c>
      <c r="E729" s="1">
        <f>IFERROR(__xludf.DUMMYFUNCTION("""COMPUTED_VALUE"""),3.39)</f>
        <v>3.39</v>
      </c>
      <c r="F729" s="1">
        <f>IFERROR(__xludf.DUMMYFUNCTION("""COMPUTED_VALUE"""),1383461.0)</f>
        <v>1383461</v>
      </c>
    </row>
    <row r="730">
      <c r="A730" s="2">
        <f>IFERROR(__xludf.DUMMYFUNCTION("""COMPUTED_VALUE"""),44267.66666666667)</f>
        <v>44267.66667</v>
      </c>
      <c r="B730" s="1">
        <f>IFERROR(__xludf.DUMMYFUNCTION("""COMPUTED_VALUE"""),3.45)</f>
        <v>3.45</v>
      </c>
      <c r="C730" s="1">
        <f>IFERROR(__xludf.DUMMYFUNCTION("""COMPUTED_VALUE"""),3.66)</f>
        <v>3.66</v>
      </c>
      <c r="D730" s="1">
        <f>IFERROR(__xludf.DUMMYFUNCTION("""COMPUTED_VALUE"""),3.4)</f>
        <v>3.4</v>
      </c>
      <c r="E730" s="1">
        <f>IFERROR(__xludf.DUMMYFUNCTION("""COMPUTED_VALUE"""),3.65)</f>
        <v>3.65</v>
      </c>
      <c r="F730" s="1">
        <f>IFERROR(__xludf.DUMMYFUNCTION("""COMPUTED_VALUE"""),1435861.0)</f>
        <v>1435861</v>
      </c>
    </row>
    <row r="731">
      <c r="A731" s="2">
        <f>IFERROR(__xludf.DUMMYFUNCTION("""COMPUTED_VALUE"""),44274.66666666667)</f>
        <v>44274.66667</v>
      </c>
      <c r="B731" s="1">
        <f>IFERROR(__xludf.DUMMYFUNCTION("""COMPUTED_VALUE"""),3.67)</f>
        <v>3.67</v>
      </c>
      <c r="C731" s="1">
        <f>IFERROR(__xludf.DUMMYFUNCTION("""COMPUTED_VALUE"""),3.88)</f>
        <v>3.88</v>
      </c>
      <c r="D731" s="1">
        <f>IFERROR(__xludf.DUMMYFUNCTION("""COMPUTED_VALUE"""),3.61)</f>
        <v>3.61</v>
      </c>
      <c r="E731" s="1">
        <f>IFERROR(__xludf.DUMMYFUNCTION("""COMPUTED_VALUE"""),3.86)</f>
        <v>3.86</v>
      </c>
      <c r="F731" s="1">
        <f>IFERROR(__xludf.DUMMYFUNCTION("""COMPUTED_VALUE"""),2461248.0)</f>
        <v>2461248</v>
      </c>
    </row>
    <row r="732">
      <c r="A732" s="2">
        <f>IFERROR(__xludf.DUMMYFUNCTION("""COMPUTED_VALUE"""),44281.66666666667)</f>
        <v>44281.66667</v>
      </c>
      <c r="B732" s="1">
        <f>IFERROR(__xludf.DUMMYFUNCTION("""COMPUTED_VALUE"""),3.87)</f>
        <v>3.87</v>
      </c>
      <c r="C732" s="1">
        <f>IFERROR(__xludf.DUMMYFUNCTION("""COMPUTED_VALUE"""),3.94)</f>
        <v>3.94</v>
      </c>
      <c r="D732" s="1">
        <f>IFERROR(__xludf.DUMMYFUNCTION("""COMPUTED_VALUE"""),3.67)</f>
        <v>3.67</v>
      </c>
      <c r="E732" s="1">
        <f>IFERROR(__xludf.DUMMYFUNCTION("""COMPUTED_VALUE"""),3.82)</f>
        <v>3.82</v>
      </c>
      <c r="F732" s="1">
        <f>IFERROR(__xludf.DUMMYFUNCTION("""COMPUTED_VALUE"""),1774423.0)</f>
        <v>1774423</v>
      </c>
    </row>
    <row r="733">
      <c r="A733" s="2">
        <f>IFERROR(__xludf.DUMMYFUNCTION("""COMPUTED_VALUE"""),44287.66666666667)</f>
        <v>44287.66667</v>
      </c>
      <c r="B733" s="1">
        <f>IFERROR(__xludf.DUMMYFUNCTION("""COMPUTED_VALUE"""),3.77)</f>
        <v>3.77</v>
      </c>
      <c r="C733" s="1">
        <f>IFERROR(__xludf.DUMMYFUNCTION("""COMPUTED_VALUE"""),3.96)</f>
        <v>3.96</v>
      </c>
      <c r="D733" s="1">
        <f>IFERROR(__xludf.DUMMYFUNCTION("""COMPUTED_VALUE"""),3.69)</f>
        <v>3.69</v>
      </c>
      <c r="E733" s="1">
        <f>IFERROR(__xludf.DUMMYFUNCTION("""COMPUTED_VALUE"""),3.96)</f>
        <v>3.96</v>
      </c>
      <c r="F733" s="1">
        <f>IFERROR(__xludf.DUMMYFUNCTION("""COMPUTED_VALUE"""),1383760.0)</f>
        <v>1383760</v>
      </c>
    </row>
    <row r="734">
      <c r="A734" s="2">
        <f>IFERROR(__xludf.DUMMYFUNCTION("""COMPUTED_VALUE"""),44295.66666666667)</f>
        <v>44295.66667</v>
      </c>
      <c r="B734" s="1">
        <f>IFERROR(__xludf.DUMMYFUNCTION("""COMPUTED_VALUE"""),3.96)</f>
        <v>3.96</v>
      </c>
      <c r="C734" s="1">
        <f>IFERROR(__xludf.DUMMYFUNCTION("""COMPUTED_VALUE"""),4.03)</f>
        <v>4.03</v>
      </c>
      <c r="D734" s="1">
        <f>IFERROR(__xludf.DUMMYFUNCTION("""COMPUTED_VALUE"""),3.91)</f>
        <v>3.91</v>
      </c>
      <c r="E734" s="1">
        <f>IFERROR(__xludf.DUMMYFUNCTION("""COMPUTED_VALUE"""),3.97)</f>
        <v>3.97</v>
      </c>
      <c r="F734" s="1">
        <f>IFERROR(__xludf.DUMMYFUNCTION("""COMPUTED_VALUE"""),1495978.0)</f>
        <v>1495978</v>
      </c>
    </row>
    <row r="735">
      <c r="A735" s="2">
        <f>IFERROR(__xludf.DUMMYFUNCTION("""COMPUTED_VALUE"""),44302.66666666667)</f>
        <v>44302.66667</v>
      </c>
      <c r="B735" s="1">
        <f>IFERROR(__xludf.DUMMYFUNCTION("""COMPUTED_VALUE"""),3.97)</f>
        <v>3.97</v>
      </c>
      <c r="C735" s="1">
        <f>IFERROR(__xludf.DUMMYFUNCTION("""COMPUTED_VALUE"""),4.07)</f>
        <v>4.07</v>
      </c>
      <c r="D735" s="1">
        <f>IFERROR(__xludf.DUMMYFUNCTION("""COMPUTED_VALUE"""),3.91)</f>
        <v>3.91</v>
      </c>
      <c r="E735" s="1">
        <f>IFERROR(__xludf.DUMMYFUNCTION("""COMPUTED_VALUE"""),3.92)</f>
        <v>3.92</v>
      </c>
      <c r="F735" s="1">
        <f>IFERROR(__xludf.DUMMYFUNCTION("""COMPUTED_VALUE"""),1464040.0)</f>
        <v>1464040</v>
      </c>
    </row>
    <row r="736">
      <c r="A736" s="2">
        <f>IFERROR(__xludf.DUMMYFUNCTION("""COMPUTED_VALUE"""),44309.66666666667)</f>
        <v>44309.66667</v>
      </c>
      <c r="B736" s="1">
        <f>IFERROR(__xludf.DUMMYFUNCTION("""COMPUTED_VALUE"""),3.9)</f>
        <v>3.9</v>
      </c>
      <c r="C736" s="1">
        <f>IFERROR(__xludf.DUMMYFUNCTION("""COMPUTED_VALUE"""),3.93)</f>
        <v>3.93</v>
      </c>
      <c r="D736" s="1">
        <f>IFERROR(__xludf.DUMMYFUNCTION("""COMPUTED_VALUE"""),3.75)</f>
        <v>3.75</v>
      </c>
      <c r="E736" s="1">
        <f>IFERROR(__xludf.DUMMYFUNCTION("""COMPUTED_VALUE"""),3.83)</f>
        <v>3.83</v>
      </c>
      <c r="F736" s="1">
        <f>IFERROR(__xludf.DUMMYFUNCTION("""COMPUTED_VALUE"""),1064879.0)</f>
        <v>1064879</v>
      </c>
    </row>
    <row r="737">
      <c r="A737" s="2">
        <f>IFERROR(__xludf.DUMMYFUNCTION("""COMPUTED_VALUE"""),44316.66666666667)</f>
        <v>44316.66667</v>
      </c>
      <c r="B737" s="1">
        <f>IFERROR(__xludf.DUMMYFUNCTION("""COMPUTED_VALUE"""),3.82)</f>
        <v>3.82</v>
      </c>
      <c r="C737" s="1">
        <f>IFERROR(__xludf.DUMMYFUNCTION("""COMPUTED_VALUE"""),3.9)</f>
        <v>3.9</v>
      </c>
      <c r="D737" s="1">
        <f>IFERROR(__xludf.DUMMYFUNCTION("""COMPUTED_VALUE"""),3.69)</f>
        <v>3.69</v>
      </c>
      <c r="E737" s="1">
        <f>IFERROR(__xludf.DUMMYFUNCTION("""COMPUTED_VALUE"""),3.7)</f>
        <v>3.7</v>
      </c>
      <c r="F737" s="1">
        <f>IFERROR(__xludf.DUMMYFUNCTION("""COMPUTED_VALUE"""),818339.0)</f>
        <v>818339</v>
      </c>
    </row>
    <row r="738">
      <c r="A738" s="2">
        <f>IFERROR(__xludf.DUMMYFUNCTION("""COMPUTED_VALUE"""),44323.66666666667)</f>
        <v>44323.66667</v>
      </c>
      <c r="B738" s="1">
        <f>IFERROR(__xludf.DUMMYFUNCTION("""COMPUTED_VALUE"""),3.74)</f>
        <v>3.74</v>
      </c>
      <c r="C738" s="1">
        <f>IFERROR(__xludf.DUMMYFUNCTION("""COMPUTED_VALUE"""),3.76)</f>
        <v>3.76</v>
      </c>
      <c r="D738" s="1">
        <f>IFERROR(__xludf.DUMMYFUNCTION("""COMPUTED_VALUE"""),3.51)</f>
        <v>3.51</v>
      </c>
      <c r="E738" s="1">
        <f>IFERROR(__xludf.DUMMYFUNCTION("""COMPUTED_VALUE"""),3.64)</f>
        <v>3.64</v>
      </c>
      <c r="F738" s="1">
        <f>IFERROR(__xludf.DUMMYFUNCTION("""COMPUTED_VALUE"""),1103134.0)</f>
        <v>1103134</v>
      </c>
    </row>
    <row r="739">
      <c r="A739" s="2">
        <f>IFERROR(__xludf.DUMMYFUNCTION("""COMPUTED_VALUE"""),44330.66666666667)</f>
        <v>44330.66667</v>
      </c>
      <c r="B739" s="1">
        <f>IFERROR(__xludf.DUMMYFUNCTION("""COMPUTED_VALUE"""),3.65)</f>
        <v>3.65</v>
      </c>
      <c r="C739" s="1">
        <f>IFERROR(__xludf.DUMMYFUNCTION("""COMPUTED_VALUE"""),3.66)</f>
        <v>3.66</v>
      </c>
      <c r="D739" s="1">
        <f>IFERROR(__xludf.DUMMYFUNCTION("""COMPUTED_VALUE"""),3.35)</f>
        <v>3.35</v>
      </c>
      <c r="E739" s="1">
        <f>IFERROR(__xludf.DUMMYFUNCTION("""COMPUTED_VALUE"""),3.63)</f>
        <v>3.63</v>
      </c>
      <c r="F739" s="1">
        <f>IFERROR(__xludf.DUMMYFUNCTION("""COMPUTED_VALUE"""),996851.0)</f>
        <v>996851</v>
      </c>
    </row>
    <row r="740">
      <c r="A740" s="2">
        <f>IFERROR(__xludf.DUMMYFUNCTION("""COMPUTED_VALUE"""),44337.66666666667)</f>
        <v>44337.66667</v>
      </c>
      <c r="B740" s="1">
        <f>IFERROR(__xludf.DUMMYFUNCTION("""COMPUTED_VALUE"""),3.59)</f>
        <v>3.59</v>
      </c>
      <c r="C740" s="1">
        <f>IFERROR(__xludf.DUMMYFUNCTION("""COMPUTED_VALUE"""),3.65)</f>
        <v>3.65</v>
      </c>
      <c r="D740" s="1">
        <f>IFERROR(__xludf.DUMMYFUNCTION("""COMPUTED_VALUE"""),3.52)</f>
        <v>3.52</v>
      </c>
      <c r="E740" s="1">
        <f>IFERROR(__xludf.DUMMYFUNCTION("""COMPUTED_VALUE"""),3.57)</f>
        <v>3.57</v>
      </c>
      <c r="F740" s="1">
        <f>IFERROR(__xludf.DUMMYFUNCTION("""COMPUTED_VALUE"""),742909.0)</f>
        <v>742909</v>
      </c>
    </row>
    <row r="741">
      <c r="A741" s="2">
        <f>IFERROR(__xludf.DUMMYFUNCTION("""COMPUTED_VALUE"""),44344.66666666667)</f>
        <v>44344.66667</v>
      </c>
      <c r="B741" s="1">
        <f>IFERROR(__xludf.DUMMYFUNCTION("""COMPUTED_VALUE"""),3.57)</f>
        <v>3.57</v>
      </c>
      <c r="C741" s="1">
        <f>IFERROR(__xludf.DUMMYFUNCTION("""COMPUTED_VALUE"""),3.64)</f>
        <v>3.64</v>
      </c>
      <c r="D741" s="1">
        <f>IFERROR(__xludf.DUMMYFUNCTION("""COMPUTED_VALUE"""),3.47)</f>
        <v>3.47</v>
      </c>
      <c r="E741" s="1">
        <f>IFERROR(__xludf.DUMMYFUNCTION("""COMPUTED_VALUE"""),3.47)</f>
        <v>3.47</v>
      </c>
      <c r="F741" s="1">
        <f>IFERROR(__xludf.DUMMYFUNCTION("""COMPUTED_VALUE"""),1011790.0)</f>
        <v>1011790</v>
      </c>
    </row>
    <row r="742">
      <c r="A742" s="2">
        <f>IFERROR(__xludf.DUMMYFUNCTION("""COMPUTED_VALUE"""),44351.66666666667)</f>
        <v>44351.66667</v>
      </c>
      <c r="B742" s="1">
        <f>IFERROR(__xludf.DUMMYFUNCTION("""COMPUTED_VALUE"""),3.51)</f>
        <v>3.51</v>
      </c>
      <c r="C742" s="1">
        <f>IFERROR(__xludf.DUMMYFUNCTION("""COMPUTED_VALUE"""),3.68)</f>
        <v>3.68</v>
      </c>
      <c r="D742" s="1">
        <f>IFERROR(__xludf.DUMMYFUNCTION("""COMPUTED_VALUE"""),3.47)</f>
        <v>3.47</v>
      </c>
      <c r="E742" s="1">
        <f>IFERROR(__xludf.DUMMYFUNCTION("""COMPUTED_VALUE"""),3.67)</f>
        <v>3.67</v>
      </c>
      <c r="F742" s="1">
        <f>IFERROR(__xludf.DUMMYFUNCTION("""COMPUTED_VALUE"""),856937.0)</f>
        <v>856937</v>
      </c>
    </row>
    <row r="743">
      <c r="A743" s="2">
        <f>IFERROR(__xludf.DUMMYFUNCTION("""COMPUTED_VALUE"""),44358.66666666667)</f>
        <v>44358.66667</v>
      </c>
      <c r="B743" s="1">
        <f>IFERROR(__xludf.DUMMYFUNCTION("""COMPUTED_VALUE"""),3.68)</f>
        <v>3.68</v>
      </c>
      <c r="C743" s="1">
        <f>IFERROR(__xludf.DUMMYFUNCTION("""COMPUTED_VALUE"""),3.74)</f>
        <v>3.74</v>
      </c>
      <c r="D743" s="1">
        <f>IFERROR(__xludf.DUMMYFUNCTION("""COMPUTED_VALUE"""),3.62)</f>
        <v>3.62</v>
      </c>
      <c r="E743" s="1">
        <f>IFERROR(__xludf.DUMMYFUNCTION("""COMPUTED_VALUE"""),3.67)</f>
        <v>3.67</v>
      </c>
      <c r="F743" s="1">
        <f>IFERROR(__xludf.DUMMYFUNCTION("""COMPUTED_VALUE"""),627749.0)</f>
        <v>627749</v>
      </c>
    </row>
    <row r="744">
      <c r="A744" s="2">
        <f>IFERROR(__xludf.DUMMYFUNCTION("""COMPUTED_VALUE"""),44365.66666666667)</f>
        <v>44365.66667</v>
      </c>
      <c r="B744" s="1">
        <f>IFERROR(__xludf.DUMMYFUNCTION("""COMPUTED_VALUE"""),3.67)</f>
        <v>3.67</v>
      </c>
      <c r="C744" s="1">
        <f>IFERROR(__xludf.DUMMYFUNCTION("""COMPUTED_VALUE"""),3.69)</f>
        <v>3.69</v>
      </c>
      <c r="D744" s="1">
        <f>IFERROR(__xludf.DUMMYFUNCTION("""COMPUTED_VALUE"""),3.39)</f>
        <v>3.39</v>
      </c>
      <c r="E744" s="1">
        <f>IFERROR(__xludf.DUMMYFUNCTION("""COMPUTED_VALUE"""),3.43)</f>
        <v>3.43</v>
      </c>
      <c r="F744" s="1">
        <f>IFERROR(__xludf.DUMMYFUNCTION("""COMPUTED_VALUE"""),945331.0)</f>
        <v>945331</v>
      </c>
    </row>
    <row r="745">
      <c r="A745" s="2">
        <f>IFERROR(__xludf.DUMMYFUNCTION("""COMPUTED_VALUE"""),44372.66666666667)</f>
        <v>44372.66667</v>
      </c>
      <c r="B745" s="1">
        <f>IFERROR(__xludf.DUMMYFUNCTION("""COMPUTED_VALUE"""),3.45)</f>
        <v>3.45</v>
      </c>
      <c r="C745" s="1">
        <f>IFERROR(__xludf.DUMMYFUNCTION("""COMPUTED_VALUE"""),3.61)</f>
        <v>3.61</v>
      </c>
      <c r="D745" s="1">
        <f>IFERROR(__xludf.DUMMYFUNCTION("""COMPUTED_VALUE"""),3.38)</f>
        <v>3.38</v>
      </c>
      <c r="E745" s="1">
        <f>IFERROR(__xludf.DUMMYFUNCTION("""COMPUTED_VALUE"""),3.6)</f>
        <v>3.6</v>
      </c>
      <c r="F745" s="1">
        <f>IFERROR(__xludf.DUMMYFUNCTION("""COMPUTED_VALUE"""),1507134.0)</f>
        <v>1507134</v>
      </c>
    </row>
    <row r="746">
      <c r="A746" s="2">
        <f>IFERROR(__xludf.DUMMYFUNCTION("""COMPUTED_VALUE"""),44379.66666666667)</f>
        <v>44379.66667</v>
      </c>
      <c r="B746" s="1">
        <f>IFERROR(__xludf.DUMMYFUNCTION("""COMPUTED_VALUE"""),3.59)</f>
        <v>3.59</v>
      </c>
      <c r="C746" s="1">
        <f>IFERROR(__xludf.DUMMYFUNCTION("""COMPUTED_VALUE"""),3.61)</f>
        <v>3.61</v>
      </c>
      <c r="D746" s="1">
        <f>IFERROR(__xludf.DUMMYFUNCTION("""COMPUTED_VALUE"""),3.48)</f>
        <v>3.48</v>
      </c>
      <c r="E746" s="1">
        <f>IFERROR(__xludf.DUMMYFUNCTION("""COMPUTED_VALUE"""),3.54)</f>
        <v>3.54</v>
      </c>
      <c r="F746" s="1">
        <f>IFERROR(__xludf.DUMMYFUNCTION("""COMPUTED_VALUE"""),697450.0)</f>
        <v>697450</v>
      </c>
    </row>
    <row r="747">
      <c r="A747" s="2">
        <f>IFERROR(__xludf.DUMMYFUNCTION("""COMPUTED_VALUE"""),44386.66666666667)</f>
        <v>44386.66667</v>
      </c>
      <c r="B747" s="1">
        <f>IFERROR(__xludf.DUMMYFUNCTION("""COMPUTED_VALUE"""),3.54)</f>
        <v>3.54</v>
      </c>
      <c r="C747" s="1">
        <f>IFERROR(__xludf.DUMMYFUNCTION("""COMPUTED_VALUE"""),3.54)</f>
        <v>3.54</v>
      </c>
      <c r="D747" s="1">
        <f>IFERROR(__xludf.DUMMYFUNCTION("""COMPUTED_VALUE"""),3.33)</f>
        <v>3.33</v>
      </c>
      <c r="E747" s="1">
        <f>IFERROR(__xludf.DUMMYFUNCTION("""COMPUTED_VALUE"""),3.46)</f>
        <v>3.46</v>
      </c>
      <c r="F747" s="1">
        <f>IFERROR(__xludf.DUMMYFUNCTION("""COMPUTED_VALUE"""),814344.0)</f>
        <v>814344</v>
      </c>
    </row>
    <row r="748">
      <c r="A748" s="2">
        <f>IFERROR(__xludf.DUMMYFUNCTION("""COMPUTED_VALUE"""),44393.66666666667)</f>
        <v>44393.66667</v>
      </c>
      <c r="B748" s="1">
        <f>IFERROR(__xludf.DUMMYFUNCTION("""COMPUTED_VALUE"""),3.48)</f>
        <v>3.48</v>
      </c>
      <c r="C748" s="1">
        <f>IFERROR(__xludf.DUMMYFUNCTION("""COMPUTED_VALUE"""),3.49)</f>
        <v>3.49</v>
      </c>
      <c r="D748" s="1">
        <f>IFERROR(__xludf.DUMMYFUNCTION("""COMPUTED_VALUE"""),3.29)</f>
        <v>3.29</v>
      </c>
      <c r="E748" s="1">
        <f>IFERROR(__xludf.DUMMYFUNCTION("""COMPUTED_VALUE"""),3.41)</f>
        <v>3.41</v>
      </c>
      <c r="F748" s="1">
        <f>IFERROR(__xludf.DUMMYFUNCTION("""COMPUTED_VALUE"""),1184521.0)</f>
        <v>1184521</v>
      </c>
    </row>
    <row r="749">
      <c r="A749" s="2">
        <f>IFERROR(__xludf.DUMMYFUNCTION("""COMPUTED_VALUE"""),44400.66666666667)</f>
        <v>44400.66667</v>
      </c>
      <c r="B749" s="1">
        <f>IFERROR(__xludf.DUMMYFUNCTION("""COMPUTED_VALUE"""),3.35)</f>
        <v>3.35</v>
      </c>
      <c r="C749" s="1">
        <f>IFERROR(__xludf.DUMMYFUNCTION("""COMPUTED_VALUE"""),3.59)</f>
        <v>3.59</v>
      </c>
      <c r="D749" s="1">
        <f>IFERROR(__xludf.DUMMYFUNCTION("""COMPUTED_VALUE"""),3.35)</f>
        <v>3.35</v>
      </c>
      <c r="E749" s="1">
        <f>IFERROR(__xludf.DUMMYFUNCTION("""COMPUTED_VALUE"""),3.51)</f>
        <v>3.51</v>
      </c>
      <c r="F749" s="1">
        <f>IFERROR(__xludf.DUMMYFUNCTION("""COMPUTED_VALUE"""),841298.0)</f>
        <v>841298</v>
      </c>
    </row>
    <row r="750">
      <c r="A750" s="2">
        <f>IFERROR(__xludf.DUMMYFUNCTION("""COMPUTED_VALUE"""),44407.66666666667)</f>
        <v>44407.66667</v>
      </c>
      <c r="B750" s="1">
        <f>IFERROR(__xludf.DUMMYFUNCTION("""COMPUTED_VALUE"""),3.52)</f>
        <v>3.52</v>
      </c>
      <c r="C750" s="1">
        <f>IFERROR(__xludf.DUMMYFUNCTION("""COMPUTED_VALUE"""),3.82)</f>
        <v>3.82</v>
      </c>
      <c r="D750" s="1">
        <f>IFERROR(__xludf.DUMMYFUNCTION("""COMPUTED_VALUE"""),3.44)</f>
        <v>3.44</v>
      </c>
      <c r="E750" s="1">
        <f>IFERROR(__xludf.DUMMYFUNCTION("""COMPUTED_VALUE"""),3.8)</f>
        <v>3.8</v>
      </c>
      <c r="F750" s="1">
        <f>IFERROR(__xludf.DUMMYFUNCTION("""COMPUTED_VALUE"""),709251.0)</f>
        <v>709251</v>
      </c>
    </row>
    <row r="751">
      <c r="A751" s="2">
        <f>IFERROR(__xludf.DUMMYFUNCTION("""COMPUTED_VALUE"""),44414.66666666667)</f>
        <v>44414.66667</v>
      </c>
      <c r="B751" s="1">
        <f>IFERROR(__xludf.DUMMYFUNCTION("""COMPUTED_VALUE"""),3.81)</f>
        <v>3.81</v>
      </c>
      <c r="C751" s="1">
        <f>IFERROR(__xludf.DUMMYFUNCTION("""COMPUTED_VALUE"""),3.94)</f>
        <v>3.94</v>
      </c>
      <c r="D751" s="1">
        <f>IFERROR(__xludf.DUMMYFUNCTION("""COMPUTED_VALUE"""),3.72)</f>
        <v>3.72</v>
      </c>
      <c r="E751" s="1">
        <f>IFERROR(__xludf.DUMMYFUNCTION("""COMPUTED_VALUE"""),3.9)</f>
        <v>3.9</v>
      </c>
      <c r="F751" s="1">
        <f>IFERROR(__xludf.DUMMYFUNCTION("""COMPUTED_VALUE"""),898646.0)</f>
        <v>898646</v>
      </c>
    </row>
    <row r="752">
      <c r="A752" s="2">
        <f>IFERROR(__xludf.DUMMYFUNCTION("""COMPUTED_VALUE"""),44421.66666666667)</f>
        <v>44421.66667</v>
      </c>
      <c r="B752" s="1">
        <f>IFERROR(__xludf.DUMMYFUNCTION("""COMPUTED_VALUE"""),3.92)</f>
        <v>3.92</v>
      </c>
      <c r="C752" s="1">
        <f>IFERROR(__xludf.DUMMYFUNCTION("""COMPUTED_VALUE"""),3.96)</f>
        <v>3.96</v>
      </c>
      <c r="D752" s="1">
        <f>IFERROR(__xludf.DUMMYFUNCTION("""COMPUTED_VALUE"""),3.62)</f>
        <v>3.62</v>
      </c>
      <c r="E752" s="1">
        <f>IFERROR(__xludf.DUMMYFUNCTION("""COMPUTED_VALUE"""),3.63)</f>
        <v>3.63</v>
      </c>
      <c r="F752" s="1">
        <f>IFERROR(__xludf.DUMMYFUNCTION("""COMPUTED_VALUE"""),1522897.0)</f>
        <v>1522897</v>
      </c>
    </row>
    <row r="753">
      <c r="A753" s="2">
        <f>IFERROR(__xludf.DUMMYFUNCTION("""COMPUTED_VALUE"""),44428.66666666667)</f>
        <v>44428.66667</v>
      </c>
      <c r="B753" s="1">
        <f>IFERROR(__xludf.DUMMYFUNCTION("""COMPUTED_VALUE"""),3.63)</f>
        <v>3.63</v>
      </c>
      <c r="C753" s="1">
        <f>IFERROR(__xludf.DUMMYFUNCTION("""COMPUTED_VALUE"""),3.71)</f>
        <v>3.71</v>
      </c>
      <c r="D753" s="1">
        <f>IFERROR(__xludf.DUMMYFUNCTION("""COMPUTED_VALUE"""),3.43)</f>
        <v>3.43</v>
      </c>
      <c r="E753" s="1">
        <f>IFERROR(__xludf.DUMMYFUNCTION("""COMPUTED_VALUE"""),3.56)</f>
        <v>3.56</v>
      </c>
      <c r="F753" s="1">
        <f>IFERROR(__xludf.DUMMYFUNCTION("""COMPUTED_VALUE"""),890382.0)</f>
        <v>890382</v>
      </c>
    </row>
    <row r="754">
      <c r="A754" s="2">
        <f>IFERROR(__xludf.DUMMYFUNCTION("""COMPUTED_VALUE"""),44435.66666666667)</f>
        <v>44435.66667</v>
      </c>
      <c r="B754" s="1">
        <f>IFERROR(__xludf.DUMMYFUNCTION("""COMPUTED_VALUE"""),3.58)</f>
        <v>3.58</v>
      </c>
      <c r="C754" s="1">
        <f>IFERROR(__xludf.DUMMYFUNCTION("""COMPUTED_VALUE"""),3.62)</f>
        <v>3.62</v>
      </c>
      <c r="D754" s="1">
        <f>IFERROR(__xludf.DUMMYFUNCTION("""COMPUTED_VALUE"""),3.47)</f>
        <v>3.47</v>
      </c>
      <c r="E754" s="1">
        <f>IFERROR(__xludf.DUMMYFUNCTION("""COMPUTED_VALUE"""),3.57)</f>
        <v>3.57</v>
      </c>
      <c r="F754" s="1">
        <f>IFERROR(__xludf.DUMMYFUNCTION("""COMPUTED_VALUE"""),965717.0)</f>
        <v>965717</v>
      </c>
    </row>
    <row r="755">
      <c r="A755" s="2">
        <f>IFERROR(__xludf.DUMMYFUNCTION("""COMPUTED_VALUE"""),44442.66666666667)</f>
        <v>44442.66667</v>
      </c>
      <c r="B755" s="1">
        <f>IFERROR(__xludf.DUMMYFUNCTION("""COMPUTED_VALUE"""),3.58)</f>
        <v>3.58</v>
      </c>
      <c r="C755" s="1">
        <f>IFERROR(__xludf.DUMMYFUNCTION("""COMPUTED_VALUE"""),3.87)</f>
        <v>3.87</v>
      </c>
      <c r="D755" s="1">
        <f>IFERROR(__xludf.DUMMYFUNCTION("""COMPUTED_VALUE"""),3.53)</f>
        <v>3.53</v>
      </c>
      <c r="E755" s="1">
        <f>IFERROR(__xludf.DUMMYFUNCTION("""COMPUTED_VALUE"""),3.8)</f>
        <v>3.8</v>
      </c>
      <c r="F755" s="1">
        <f>IFERROR(__xludf.DUMMYFUNCTION("""COMPUTED_VALUE"""),1257793.0)</f>
        <v>1257793</v>
      </c>
    </row>
    <row r="756">
      <c r="A756" s="2">
        <f>IFERROR(__xludf.DUMMYFUNCTION("""COMPUTED_VALUE"""),44449.66666666667)</f>
        <v>44449.66667</v>
      </c>
      <c r="B756" s="1">
        <f>IFERROR(__xludf.DUMMYFUNCTION("""COMPUTED_VALUE"""),3.8)</f>
        <v>3.8</v>
      </c>
      <c r="C756" s="1">
        <f>IFERROR(__xludf.DUMMYFUNCTION("""COMPUTED_VALUE"""),3.8)</f>
        <v>3.8</v>
      </c>
      <c r="D756" s="1">
        <f>IFERROR(__xludf.DUMMYFUNCTION("""COMPUTED_VALUE"""),3.62)</f>
        <v>3.62</v>
      </c>
      <c r="E756" s="1">
        <f>IFERROR(__xludf.DUMMYFUNCTION("""COMPUTED_VALUE"""),3.66)</f>
        <v>3.66</v>
      </c>
      <c r="F756" s="1">
        <f>IFERROR(__xludf.DUMMYFUNCTION("""COMPUTED_VALUE"""),483704.0)</f>
        <v>483704</v>
      </c>
    </row>
    <row r="757">
      <c r="A757" s="2">
        <f>IFERROR(__xludf.DUMMYFUNCTION("""COMPUTED_VALUE"""),44456.66666666667)</f>
        <v>44456.66667</v>
      </c>
      <c r="B757" s="1">
        <f>IFERROR(__xludf.DUMMYFUNCTION("""COMPUTED_VALUE"""),3.69)</f>
        <v>3.69</v>
      </c>
      <c r="C757" s="1">
        <f>IFERROR(__xludf.DUMMYFUNCTION("""COMPUTED_VALUE"""),3.75)</f>
        <v>3.75</v>
      </c>
      <c r="D757" s="1">
        <f>IFERROR(__xludf.DUMMYFUNCTION("""COMPUTED_VALUE"""),3.58)</f>
        <v>3.58</v>
      </c>
      <c r="E757" s="1">
        <f>IFERROR(__xludf.DUMMYFUNCTION("""COMPUTED_VALUE"""),3.73)</f>
        <v>3.73</v>
      </c>
      <c r="F757" s="1">
        <f>IFERROR(__xludf.DUMMYFUNCTION("""COMPUTED_VALUE"""),921454.0)</f>
        <v>921454</v>
      </c>
    </row>
    <row r="758">
      <c r="A758" s="2">
        <f>IFERROR(__xludf.DUMMYFUNCTION("""COMPUTED_VALUE"""),44463.66666666667)</f>
        <v>44463.66667</v>
      </c>
      <c r="B758" s="1">
        <f>IFERROR(__xludf.DUMMYFUNCTION("""COMPUTED_VALUE"""),3.65)</f>
        <v>3.65</v>
      </c>
      <c r="C758" s="1">
        <f>IFERROR(__xludf.DUMMYFUNCTION("""COMPUTED_VALUE"""),3.88)</f>
        <v>3.88</v>
      </c>
      <c r="D758" s="1">
        <f>IFERROR(__xludf.DUMMYFUNCTION("""COMPUTED_VALUE"""),3.57)</f>
        <v>3.57</v>
      </c>
      <c r="E758" s="1">
        <f>IFERROR(__xludf.DUMMYFUNCTION("""COMPUTED_VALUE"""),3.73)</f>
        <v>3.73</v>
      </c>
      <c r="F758" s="1">
        <f>IFERROR(__xludf.DUMMYFUNCTION("""COMPUTED_VALUE"""),894526.0)</f>
        <v>894526</v>
      </c>
    </row>
    <row r="759">
      <c r="A759" s="2">
        <f>IFERROR(__xludf.DUMMYFUNCTION("""COMPUTED_VALUE"""),44470.66666666667)</f>
        <v>44470.66667</v>
      </c>
      <c r="B759" s="1">
        <f>IFERROR(__xludf.DUMMYFUNCTION("""COMPUTED_VALUE"""),3.72)</f>
        <v>3.72</v>
      </c>
      <c r="C759" s="1">
        <f>IFERROR(__xludf.DUMMYFUNCTION("""COMPUTED_VALUE"""),3.81)</f>
        <v>3.81</v>
      </c>
      <c r="D759" s="1">
        <f>IFERROR(__xludf.DUMMYFUNCTION("""COMPUTED_VALUE"""),3.63)</f>
        <v>3.63</v>
      </c>
      <c r="E759" s="1">
        <f>IFERROR(__xludf.DUMMYFUNCTION("""COMPUTED_VALUE"""),3.74)</f>
        <v>3.74</v>
      </c>
      <c r="F759" s="1">
        <f>IFERROR(__xludf.DUMMYFUNCTION("""COMPUTED_VALUE"""),572880.0)</f>
        <v>572880</v>
      </c>
    </row>
    <row r="760">
      <c r="A760" s="2">
        <f>IFERROR(__xludf.DUMMYFUNCTION("""COMPUTED_VALUE"""),44477.66666666667)</f>
        <v>44477.66667</v>
      </c>
      <c r="B760" s="1">
        <f>IFERROR(__xludf.DUMMYFUNCTION("""COMPUTED_VALUE"""),3.78)</f>
        <v>3.78</v>
      </c>
      <c r="C760" s="1">
        <f>IFERROR(__xludf.DUMMYFUNCTION("""COMPUTED_VALUE"""),3.78)</f>
        <v>3.78</v>
      </c>
      <c r="D760" s="1">
        <f>IFERROR(__xludf.DUMMYFUNCTION("""COMPUTED_VALUE"""),3.63)</f>
        <v>3.63</v>
      </c>
      <c r="E760" s="1">
        <f>IFERROR(__xludf.DUMMYFUNCTION("""COMPUTED_VALUE"""),3.69)</f>
        <v>3.69</v>
      </c>
      <c r="F760" s="1">
        <f>IFERROR(__xludf.DUMMYFUNCTION("""COMPUTED_VALUE"""),490301.0)</f>
        <v>490301</v>
      </c>
    </row>
    <row r="761">
      <c r="A761" s="2">
        <f>IFERROR(__xludf.DUMMYFUNCTION("""COMPUTED_VALUE"""),44484.66666666667)</f>
        <v>44484.66667</v>
      </c>
      <c r="B761" s="1">
        <f>IFERROR(__xludf.DUMMYFUNCTION("""COMPUTED_VALUE"""),3.69)</f>
        <v>3.69</v>
      </c>
      <c r="C761" s="1">
        <f>IFERROR(__xludf.DUMMYFUNCTION("""COMPUTED_VALUE"""),3.73)</f>
        <v>3.73</v>
      </c>
      <c r="D761" s="1">
        <f>IFERROR(__xludf.DUMMYFUNCTION("""COMPUTED_VALUE"""),3.54)</f>
        <v>3.54</v>
      </c>
      <c r="E761" s="1">
        <f>IFERROR(__xludf.DUMMYFUNCTION("""COMPUTED_VALUE"""),3.54)</f>
        <v>3.54</v>
      </c>
      <c r="F761" s="1">
        <f>IFERROR(__xludf.DUMMYFUNCTION("""COMPUTED_VALUE"""),765226.0)</f>
        <v>765226</v>
      </c>
    </row>
    <row r="762">
      <c r="A762" s="2">
        <f>IFERROR(__xludf.DUMMYFUNCTION("""COMPUTED_VALUE"""),44491.66666666667)</f>
        <v>44491.66667</v>
      </c>
      <c r="B762" s="1">
        <f>IFERROR(__xludf.DUMMYFUNCTION("""COMPUTED_VALUE"""),3.53)</f>
        <v>3.53</v>
      </c>
      <c r="C762" s="1">
        <f>IFERROR(__xludf.DUMMYFUNCTION("""COMPUTED_VALUE"""),3.62)</f>
        <v>3.62</v>
      </c>
      <c r="D762" s="1">
        <f>IFERROR(__xludf.DUMMYFUNCTION("""COMPUTED_VALUE"""),3.48)</f>
        <v>3.48</v>
      </c>
      <c r="E762" s="1">
        <f>IFERROR(__xludf.DUMMYFUNCTION("""COMPUTED_VALUE"""),3.53)</f>
        <v>3.53</v>
      </c>
      <c r="F762" s="1">
        <f>IFERROR(__xludf.DUMMYFUNCTION("""COMPUTED_VALUE"""),610220.0)</f>
        <v>610220</v>
      </c>
    </row>
    <row r="763">
      <c r="A763" s="2">
        <f>IFERROR(__xludf.DUMMYFUNCTION("""COMPUTED_VALUE"""),44498.66666666667)</f>
        <v>44498.66667</v>
      </c>
      <c r="B763" s="1">
        <f>IFERROR(__xludf.DUMMYFUNCTION("""COMPUTED_VALUE"""),3.53)</f>
        <v>3.53</v>
      </c>
      <c r="C763" s="1">
        <f>IFERROR(__xludf.DUMMYFUNCTION("""COMPUTED_VALUE"""),3.62)</f>
        <v>3.62</v>
      </c>
      <c r="D763" s="1">
        <f>IFERROR(__xludf.DUMMYFUNCTION("""COMPUTED_VALUE"""),3.48)</f>
        <v>3.48</v>
      </c>
      <c r="E763" s="1">
        <f>IFERROR(__xludf.DUMMYFUNCTION("""COMPUTED_VALUE"""),3.54)</f>
        <v>3.54</v>
      </c>
      <c r="F763" s="1">
        <f>IFERROR(__xludf.DUMMYFUNCTION("""COMPUTED_VALUE"""),1111155.0)</f>
        <v>1111155</v>
      </c>
    </row>
    <row r="764">
      <c r="A764" s="2">
        <f>IFERROR(__xludf.DUMMYFUNCTION("""COMPUTED_VALUE"""),44505.66666666667)</f>
        <v>44505.66667</v>
      </c>
      <c r="B764" s="1">
        <f>IFERROR(__xludf.DUMMYFUNCTION("""COMPUTED_VALUE"""),3.55)</f>
        <v>3.55</v>
      </c>
      <c r="C764" s="1">
        <f>IFERROR(__xludf.DUMMYFUNCTION("""COMPUTED_VALUE"""),4.71)</f>
        <v>4.71</v>
      </c>
      <c r="D764" s="1">
        <f>IFERROR(__xludf.DUMMYFUNCTION("""COMPUTED_VALUE"""),3.55)</f>
        <v>3.55</v>
      </c>
      <c r="E764" s="1">
        <f>IFERROR(__xludf.DUMMYFUNCTION("""COMPUTED_VALUE"""),4.66)</f>
        <v>4.66</v>
      </c>
      <c r="F764" s="1">
        <f>IFERROR(__xludf.DUMMYFUNCTION("""COMPUTED_VALUE"""),3090894.0)</f>
        <v>3090894</v>
      </c>
    </row>
    <row r="765">
      <c r="A765" s="2">
        <f>IFERROR(__xludf.DUMMYFUNCTION("""COMPUTED_VALUE"""),44512.66666666667)</f>
        <v>44512.66667</v>
      </c>
      <c r="B765" s="1">
        <f>IFERROR(__xludf.DUMMYFUNCTION("""COMPUTED_VALUE"""),4.66)</f>
        <v>4.66</v>
      </c>
      <c r="C765" s="1">
        <f>IFERROR(__xludf.DUMMYFUNCTION("""COMPUTED_VALUE"""),4.7)</f>
        <v>4.7</v>
      </c>
      <c r="D765" s="1">
        <f>IFERROR(__xludf.DUMMYFUNCTION("""COMPUTED_VALUE"""),4.33)</f>
        <v>4.33</v>
      </c>
      <c r="E765" s="1">
        <f>IFERROR(__xludf.DUMMYFUNCTION("""COMPUTED_VALUE"""),4.37)</f>
        <v>4.37</v>
      </c>
      <c r="F765" s="1">
        <f>IFERROR(__xludf.DUMMYFUNCTION("""COMPUTED_VALUE"""),882938.0)</f>
        <v>882938</v>
      </c>
    </row>
    <row r="766">
      <c r="A766" s="2">
        <f>IFERROR(__xludf.DUMMYFUNCTION("""COMPUTED_VALUE"""),44519.66666666667)</f>
        <v>44519.66667</v>
      </c>
      <c r="B766" s="1">
        <f>IFERROR(__xludf.DUMMYFUNCTION("""COMPUTED_VALUE"""),4.36)</f>
        <v>4.36</v>
      </c>
      <c r="C766" s="1">
        <f>IFERROR(__xludf.DUMMYFUNCTION("""COMPUTED_VALUE"""),4.41)</f>
        <v>4.41</v>
      </c>
      <c r="D766" s="1">
        <f>IFERROR(__xludf.DUMMYFUNCTION("""COMPUTED_VALUE"""),4.19)</f>
        <v>4.19</v>
      </c>
      <c r="E766" s="1">
        <f>IFERROR(__xludf.DUMMYFUNCTION("""COMPUTED_VALUE"""),4.22)</f>
        <v>4.22</v>
      </c>
      <c r="F766" s="1">
        <f>IFERROR(__xludf.DUMMYFUNCTION("""COMPUTED_VALUE"""),904126.0)</f>
        <v>904126</v>
      </c>
    </row>
    <row r="767">
      <c r="A767" s="2">
        <f>IFERROR(__xludf.DUMMYFUNCTION("""COMPUTED_VALUE"""),44526.54166666667)</f>
        <v>44526.54167</v>
      </c>
      <c r="B767" s="1">
        <f>IFERROR(__xludf.DUMMYFUNCTION("""COMPUTED_VALUE"""),4.23)</f>
        <v>4.23</v>
      </c>
      <c r="C767" s="1">
        <f>IFERROR(__xludf.DUMMYFUNCTION("""COMPUTED_VALUE"""),4.35)</f>
        <v>4.35</v>
      </c>
      <c r="D767" s="1">
        <f>IFERROR(__xludf.DUMMYFUNCTION("""COMPUTED_VALUE"""),3.94)</f>
        <v>3.94</v>
      </c>
      <c r="E767" s="1">
        <f>IFERROR(__xludf.DUMMYFUNCTION("""COMPUTED_VALUE"""),4.04)</f>
        <v>4.04</v>
      </c>
      <c r="F767" s="1">
        <f>IFERROR(__xludf.DUMMYFUNCTION("""COMPUTED_VALUE"""),597334.0)</f>
        <v>597334</v>
      </c>
    </row>
    <row r="768">
      <c r="A768" s="2">
        <f>IFERROR(__xludf.DUMMYFUNCTION("""COMPUTED_VALUE"""),44533.66666666667)</f>
        <v>44533.66667</v>
      </c>
      <c r="B768" s="1">
        <f>IFERROR(__xludf.DUMMYFUNCTION("""COMPUTED_VALUE"""),4.06)</f>
        <v>4.06</v>
      </c>
      <c r="C768" s="1">
        <f>IFERROR(__xludf.DUMMYFUNCTION("""COMPUTED_VALUE"""),4.35)</f>
        <v>4.35</v>
      </c>
      <c r="D768" s="1">
        <f>IFERROR(__xludf.DUMMYFUNCTION("""COMPUTED_VALUE"""),3.98)</f>
        <v>3.98</v>
      </c>
      <c r="E768" s="1">
        <f>IFERROR(__xludf.DUMMYFUNCTION("""COMPUTED_VALUE"""),4.32)</f>
        <v>4.32</v>
      </c>
      <c r="F768" s="1">
        <f>IFERROR(__xludf.DUMMYFUNCTION("""COMPUTED_VALUE"""),1262141.0)</f>
        <v>1262141</v>
      </c>
    </row>
    <row r="769">
      <c r="A769" s="2">
        <f>IFERROR(__xludf.DUMMYFUNCTION("""COMPUTED_VALUE"""),44540.66666666667)</f>
        <v>44540.66667</v>
      </c>
      <c r="B769" s="1">
        <f>IFERROR(__xludf.DUMMYFUNCTION("""COMPUTED_VALUE"""),4.37)</f>
        <v>4.37</v>
      </c>
      <c r="C769" s="1">
        <f>IFERROR(__xludf.DUMMYFUNCTION("""COMPUTED_VALUE"""),4.48)</f>
        <v>4.48</v>
      </c>
      <c r="D769" s="1">
        <f>IFERROR(__xludf.DUMMYFUNCTION("""COMPUTED_VALUE"""),4.22)</f>
        <v>4.22</v>
      </c>
      <c r="E769" s="1">
        <f>IFERROR(__xludf.DUMMYFUNCTION("""COMPUTED_VALUE"""),4.29)</f>
        <v>4.29</v>
      </c>
      <c r="F769" s="1">
        <f>IFERROR(__xludf.DUMMYFUNCTION("""COMPUTED_VALUE"""),888704.0)</f>
        <v>888704</v>
      </c>
    </row>
    <row r="770">
      <c r="A770" s="2">
        <f>IFERROR(__xludf.DUMMYFUNCTION("""COMPUTED_VALUE"""),44547.66666666667)</f>
        <v>44547.66667</v>
      </c>
      <c r="B770" s="1">
        <f>IFERROR(__xludf.DUMMYFUNCTION("""COMPUTED_VALUE"""),4.28)</f>
        <v>4.28</v>
      </c>
      <c r="C770" s="1">
        <f>IFERROR(__xludf.DUMMYFUNCTION("""COMPUTED_VALUE"""),4.32)</f>
        <v>4.32</v>
      </c>
      <c r="D770" s="1">
        <f>IFERROR(__xludf.DUMMYFUNCTION("""COMPUTED_VALUE"""),4.06)</f>
        <v>4.06</v>
      </c>
      <c r="E770" s="1">
        <f>IFERROR(__xludf.DUMMYFUNCTION("""COMPUTED_VALUE"""),4.09)</f>
        <v>4.09</v>
      </c>
      <c r="F770" s="1">
        <f>IFERROR(__xludf.DUMMYFUNCTION("""COMPUTED_VALUE"""),1195535.0)</f>
        <v>1195535</v>
      </c>
    </row>
    <row r="771">
      <c r="A771" s="2">
        <f>IFERROR(__xludf.DUMMYFUNCTION("""COMPUTED_VALUE"""),44553.66666666667)</f>
        <v>44553.66667</v>
      </c>
      <c r="B771" s="1">
        <f>IFERROR(__xludf.DUMMYFUNCTION("""COMPUTED_VALUE"""),4.03)</f>
        <v>4.03</v>
      </c>
      <c r="C771" s="1">
        <f>IFERROR(__xludf.DUMMYFUNCTION("""COMPUTED_VALUE"""),4.32)</f>
        <v>4.32</v>
      </c>
      <c r="D771" s="1">
        <f>IFERROR(__xludf.DUMMYFUNCTION("""COMPUTED_VALUE"""),3.99)</f>
        <v>3.99</v>
      </c>
      <c r="E771" s="1">
        <f>IFERROR(__xludf.DUMMYFUNCTION("""COMPUTED_VALUE"""),4.27)</f>
        <v>4.27</v>
      </c>
      <c r="F771" s="1">
        <f>IFERROR(__xludf.DUMMYFUNCTION("""COMPUTED_VALUE"""),842012.0)</f>
        <v>842012</v>
      </c>
    </row>
    <row r="772">
      <c r="A772" s="2">
        <f>IFERROR(__xludf.DUMMYFUNCTION("""COMPUTED_VALUE"""),44561.66666666667)</f>
        <v>44561.66667</v>
      </c>
      <c r="B772" s="1">
        <f>IFERROR(__xludf.DUMMYFUNCTION("""COMPUTED_VALUE"""),4.31)</f>
        <v>4.31</v>
      </c>
      <c r="C772" s="1">
        <f>IFERROR(__xludf.DUMMYFUNCTION("""COMPUTED_VALUE"""),4.64)</f>
        <v>4.64</v>
      </c>
      <c r="D772" s="1">
        <f>IFERROR(__xludf.DUMMYFUNCTION("""COMPUTED_VALUE"""),4.28)</f>
        <v>4.28</v>
      </c>
      <c r="E772" s="1">
        <f>IFERROR(__xludf.DUMMYFUNCTION("""COMPUTED_VALUE"""),4.39)</f>
        <v>4.39</v>
      </c>
      <c r="F772" s="1">
        <f>IFERROR(__xludf.DUMMYFUNCTION("""COMPUTED_VALUE"""),944350.0)</f>
        <v>944350</v>
      </c>
    </row>
    <row r="773">
      <c r="A773" s="2">
        <f>IFERROR(__xludf.DUMMYFUNCTION("""COMPUTED_VALUE"""),44568.66666666667)</f>
        <v>44568.66667</v>
      </c>
      <c r="B773" s="1">
        <f>IFERROR(__xludf.DUMMYFUNCTION("""COMPUTED_VALUE"""),4.46)</f>
        <v>4.46</v>
      </c>
      <c r="C773" s="1">
        <f>IFERROR(__xludf.DUMMYFUNCTION("""COMPUTED_VALUE"""),4.8)</f>
        <v>4.8</v>
      </c>
      <c r="D773" s="1">
        <f>IFERROR(__xludf.DUMMYFUNCTION("""COMPUTED_VALUE"""),4.41)</f>
        <v>4.41</v>
      </c>
      <c r="E773" s="1">
        <f>IFERROR(__xludf.DUMMYFUNCTION("""COMPUTED_VALUE"""),4.41)</f>
        <v>4.41</v>
      </c>
      <c r="F773" s="1">
        <f>IFERROR(__xludf.DUMMYFUNCTION("""COMPUTED_VALUE"""),1144800.0)</f>
        <v>1144800</v>
      </c>
    </row>
    <row r="774">
      <c r="A774" s="2">
        <f>IFERROR(__xludf.DUMMYFUNCTION("""COMPUTED_VALUE"""),44575.66666666667)</f>
        <v>44575.66667</v>
      </c>
      <c r="B774" s="1">
        <f>IFERROR(__xludf.DUMMYFUNCTION("""COMPUTED_VALUE"""),4.39)</f>
        <v>4.39</v>
      </c>
      <c r="C774" s="1">
        <f>IFERROR(__xludf.DUMMYFUNCTION("""COMPUTED_VALUE"""),4.59)</f>
        <v>4.59</v>
      </c>
      <c r="D774" s="1">
        <f>IFERROR(__xludf.DUMMYFUNCTION("""COMPUTED_VALUE"""),4.27)</f>
        <v>4.27</v>
      </c>
      <c r="E774" s="1">
        <f>IFERROR(__xludf.DUMMYFUNCTION("""COMPUTED_VALUE"""),4.56)</f>
        <v>4.56</v>
      </c>
      <c r="F774" s="1">
        <f>IFERROR(__xludf.DUMMYFUNCTION("""COMPUTED_VALUE"""),1032298.0)</f>
        <v>1032298</v>
      </c>
    </row>
    <row r="775">
      <c r="A775" s="2">
        <f>IFERROR(__xludf.DUMMYFUNCTION("""COMPUTED_VALUE"""),44582.66666666667)</f>
        <v>44582.66667</v>
      </c>
      <c r="B775" s="1">
        <f>IFERROR(__xludf.DUMMYFUNCTION("""COMPUTED_VALUE"""),4.55)</f>
        <v>4.55</v>
      </c>
      <c r="C775" s="1">
        <f>IFERROR(__xludf.DUMMYFUNCTION("""COMPUTED_VALUE"""),4.67)</f>
        <v>4.67</v>
      </c>
      <c r="D775" s="1">
        <f>IFERROR(__xludf.DUMMYFUNCTION("""COMPUTED_VALUE"""),4.1)</f>
        <v>4.1</v>
      </c>
      <c r="E775" s="1">
        <f>IFERROR(__xludf.DUMMYFUNCTION("""COMPUTED_VALUE"""),4.1)</f>
        <v>4.1</v>
      </c>
      <c r="F775" s="1">
        <f>IFERROR(__xludf.DUMMYFUNCTION("""COMPUTED_VALUE"""),1108229.0)</f>
        <v>1108229</v>
      </c>
    </row>
    <row r="776">
      <c r="A776" s="2">
        <f>IFERROR(__xludf.DUMMYFUNCTION("""COMPUTED_VALUE"""),44589.66666666667)</f>
        <v>44589.66667</v>
      </c>
      <c r="B776" s="1">
        <f>IFERROR(__xludf.DUMMYFUNCTION("""COMPUTED_VALUE"""),4.04)</f>
        <v>4.04</v>
      </c>
      <c r="C776" s="1">
        <f>IFERROR(__xludf.DUMMYFUNCTION("""COMPUTED_VALUE"""),4.11)</f>
        <v>4.11</v>
      </c>
      <c r="D776" s="1">
        <f>IFERROR(__xludf.DUMMYFUNCTION("""COMPUTED_VALUE"""),3.82)</f>
        <v>3.82</v>
      </c>
      <c r="E776" s="1">
        <f>IFERROR(__xludf.DUMMYFUNCTION("""COMPUTED_VALUE"""),4.01)</f>
        <v>4.01</v>
      </c>
      <c r="F776" s="1">
        <f>IFERROR(__xludf.DUMMYFUNCTION("""COMPUTED_VALUE"""),925523.0)</f>
        <v>925523</v>
      </c>
    </row>
    <row r="777">
      <c r="A777" s="2">
        <f>IFERROR(__xludf.DUMMYFUNCTION("""COMPUTED_VALUE"""),44596.66666666667)</f>
        <v>44596.66667</v>
      </c>
      <c r="B777" s="1">
        <f>IFERROR(__xludf.DUMMYFUNCTION("""COMPUTED_VALUE"""),3.99)</f>
        <v>3.99</v>
      </c>
      <c r="C777" s="1">
        <f>IFERROR(__xludf.DUMMYFUNCTION("""COMPUTED_VALUE"""),4.4)</f>
        <v>4.4</v>
      </c>
      <c r="D777" s="1">
        <f>IFERROR(__xludf.DUMMYFUNCTION("""COMPUTED_VALUE"""),3.81)</f>
        <v>3.81</v>
      </c>
      <c r="E777" s="1">
        <f>IFERROR(__xludf.DUMMYFUNCTION("""COMPUTED_VALUE"""),3.82)</f>
        <v>3.82</v>
      </c>
      <c r="F777" s="1">
        <f>IFERROR(__xludf.DUMMYFUNCTION("""COMPUTED_VALUE"""),2697687.0)</f>
        <v>2697687</v>
      </c>
    </row>
    <row r="778">
      <c r="A778" s="2">
        <f>IFERROR(__xludf.DUMMYFUNCTION("""COMPUTED_VALUE"""),44603.66666666667)</f>
        <v>44603.66667</v>
      </c>
      <c r="B778" s="1">
        <f>IFERROR(__xludf.DUMMYFUNCTION("""COMPUTED_VALUE"""),3.84)</f>
        <v>3.84</v>
      </c>
      <c r="C778" s="1">
        <f>IFERROR(__xludf.DUMMYFUNCTION("""COMPUTED_VALUE"""),3.92)</f>
        <v>3.92</v>
      </c>
      <c r="D778" s="1">
        <f>IFERROR(__xludf.DUMMYFUNCTION("""COMPUTED_VALUE"""),3.72)</f>
        <v>3.72</v>
      </c>
      <c r="E778" s="1">
        <f>IFERROR(__xludf.DUMMYFUNCTION("""COMPUTED_VALUE"""),3.81)</f>
        <v>3.81</v>
      </c>
      <c r="F778" s="1">
        <f>IFERROR(__xludf.DUMMYFUNCTION("""COMPUTED_VALUE"""),1183615.0)</f>
        <v>1183615</v>
      </c>
    </row>
    <row r="779">
      <c r="A779" s="2">
        <f>IFERROR(__xludf.DUMMYFUNCTION("""COMPUTED_VALUE"""),44610.66666666667)</f>
        <v>44610.66667</v>
      </c>
      <c r="B779" s="1">
        <f>IFERROR(__xludf.DUMMYFUNCTION("""COMPUTED_VALUE"""),3.78)</f>
        <v>3.78</v>
      </c>
      <c r="C779" s="1">
        <f>IFERROR(__xludf.DUMMYFUNCTION("""COMPUTED_VALUE"""),4.0)</f>
        <v>4</v>
      </c>
      <c r="D779" s="1">
        <f>IFERROR(__xludf.DUMMYFUNCTION("""COMPUTED_VALUE"""),3.77)</f>
        <v>3.77</v>
      </c>
      <c r="E779" s="1">
        <f>IFERROR(__xludf.DUMMYFUNCTION("""COMPUTED_VALUE"""),3.92)</f>
        <v>3.92</v>
      </c>
      <c r="F779" s="1">
        <f>IFERROR(__xludf.DUMMYFUNCTION("""COMPUTED_VALUE"""),897038.0)</f>
        <v>897038</v>
      </c>
    </row>
    <row r="780">
      <c r="A780" s="2">
        <f>IFERROR(__xludf.DUMMYFUNCTION("""COMPUTED_VALUE"""),44617.66666666667)</f>
        <v>44617.66667</v>
      </c>
      <c r="B780" s="1">
        <f>IFERROR(__xludf.DUMMYFUNCTION("""COMPUTED_VALUE"""),3.89)</f>
        <v>3.89</v>
      </c>
      <c r="C780" s="1">
        <f>IFERROR(__xludf.DUMMYFUNCTION("""COMPUTED_VALUE"""),4.02)</f>
        <v>4.02</v>
      </c>
      <c r="D780" s="1">
        <f>IFERROR(__xludf.DUMMYFUNCTION("""COMPUTED_VALUE"""),3.7)</f>
        <v>3.7</v>
      </c>
      <c r="E780" s="1">
        <f>IFERROR(__xludf.DUMMYFUNCTION("""COMPUTED_VALUE"""),4.02)</f>
        <v>4.02</v>
      </c>
      <c r="F780" s="1">
        <f>IFERROR(__xludf.DUMMYFUNCTION("""COMPUTED_VALUE"""),1204047.0)</f>
        <v>1204047</v>
      </c>
    </row>
    <row r="781">
      <c r="A781" s="2">
        <f>IFERROR(__xludf.DUMMYFUNCTION("""COMPUTED_VALUE"""),44624.66666666667)</f>
        <v>44624.66667</v>
      </c>
      <c r="B781" s="1">
        <f>IFERROR(__xludf.DUMMYFUNCTION("""COMPUTED_VALUE"""),3.96)</f>
        <v>3.96</v>
      </c>
      <c r="C781" s="1">
        <f>IFERROR(__xludf.DUMMYFUNCTION("""COMPUTED_VALUE"""),4.3)</f>
        <v>4.3</v>
      </c>
      <c r="D781" s="1">
        <f>IFERROR(__xludf.DUMMYFUNCTION("""COMPUTED_VALUE"""),3.88)</f>
        <v>3.88</v>
      </c>
      <c r="E781" s="1">
        <f>IFERROR(__xludf.DUMMYFUNCTION("""COMPUTED_VALUE"""),4.16)</f>
        <v>4.16</v>
      </c>
      <c r="F781" s="1">
        <f>IFERROR(__xludf.DUMMYFUNCTION("""COMPUTED_VALUE"""),1282067.0)</f>
        <v>1282067</v>
      </c>
    </row>
    <row r="782">
      <c r="A782" s="2">
        <f>IFERROR(__xludf.DUMMYFUNCTION("""COMPUTED_VALUE"""),44631.66666666667)</f>
        <v>44631.66667</v>
      </c>
      <c r="B782" s="1">
        <f>IFERROR(__xludf.DUMMYFUNCTION("""COMPUTED_VALUE"""),4.15)</f>
        <v>4.15</v>
      </c>
      <c r="C782" s="1">
        <f>IFERROR(__xludf.DUMMYFUNCTION("""COMPUTED_VALUE"""),4.2)</f>
        <v>4.2</v>
      </c>
      <c r="D782" s="1">
        <f>IFERROR(__xludf.DUMMYFUNCTION("""COMPUTED_VALUE"""),4.0)</f>
        <v>4</v>
      </c>
      <c r="E782" s="1">
        <f>IFERROR(__xludf.DUMMYFUNCTION("""COMPUTED_VALUE"""),4.16)</f>
        <v>4.16</v>
      </c>
      <c r="F782" s="1">
        <f>IFERROR(__xludf.DUMMYFUNCTION("""COMPUTED_VALUE"""),986313.0)</f>
        <v>986313</v>
      </c>
    </row>
    <row r="783">
      <c r="A783" s="2">
        <f>IFERROR(__xludf.DUMMYFUNCTION("""COMPUTED_VALUE"""),44638.66666666667)</f>
        <v>44638.66667</v>
      </c>
      <c r="B783" s="1">
        <f>IFERROR(__xludf.DUMMYFUNCTION("""COMPUTED_VALUE"""),4.16)</f>
        <v>4.16</v>
      </c>
      <c r="C783" s="1">
        <f>IFERROR(__xludf.DUMMYFUNCTION("""COMPUTED_VALUE"""),4.32)</f>
        <v>4.32</v>
      </c>
      <c r="D783" s="1">
        <f>IFERROR(__xludf.DUMMYFUNCTION("""COMPUTED_VALUE"""),4.02)</f>
        <v>4.02</v>
      </c>
      <c r="E783" s="1">
        <f>IFERROR(__xludf.DUMMYFUNCTION("""COMPUTED_VALUE"""),4.29)</f>
        <v>4.29</v>
      </c>
      <c r="F783" s="1">
        <f>IFERROR(__xludf.DUMMYFUNCTION("""COMPUTED_VALUE"""),1013915.0)</f>
        <v>1013915</v>
      </c>
    </row>
    <row r="784">
      <c r="A784" s="2">
        <f>IFERROR(__xludf.DUMMYFUNCTION("""COMPUTED_VALUE"""),44645.66666666667)</f>
        <v>44645.66667</v>
      </c>
      <c r="B784" s="1">
        <f>IFERROR(__xludf.DUMMYFUNCTION("""COMPUTED_VALUE"""),4.25)</f>
        <v>4.25</v>
      </c>
      <c r="C784" s="1">
        <f>IFERROR(__xludf.DUMMYFUNCTION("""COMPUTED_VALUE"""),4.36)</f>
        <v>4.36</v>
      </c>
      <c r="D784" s="1">
        <f>IFERROR(__xludf.DUMMYFUNCTION("""COMPUTED_VALUE"""),4.12)</f>
        <v>4.12</v>
      </c>
      <c r="E784" s="1">
        <f>IFERROR(__xludf.DUMMYFUNCTION("""COMPUTED_VALUE"""),4.2)</f>
        <v>4.2</v>
      </c>
      <c r="F784" s="1">
        <f>IFERROR(__xludf.DUMMYFUNCTION("""COMPUTED_VALUE"""),939861.0)</f>
        <v>939861</v>
      </c>
    </row>
    <row r="785">
      <c r="A785" s="2">
        <f>IFERROR(__xludf.DUMMYFUNCTION("""COMPUTED_VALUE"""),44652.66666666667)</f>
        <v>44652.66667</v>
      </c>
      <c r="B785" s="1">
        <f>IFERROR(__xludf.DUMMYFUNCTION("""COMPUTED_VALUE"""),4.2)</f>
        <v>4.2</v>
      </c>
      <c r="C785" s="1">
        <f>IFERROR(__xludf.DUMMYFUNCTION("""COMPUTED_VALUE"""),4.31)</f>
        <v>4.31</v>
      </c>
      <c r="D785" s="1">
        <f>IFERROR(__xludf.DUMMYFUNCTION("""COMPUTED_VALUE"""),3.69)</f>
        <v>3.69</v>
      </c>
      <c r="E785" s="1">
        <f>IFERROR(__xludf.DUMMYFUNCTION("""COMPUTED_VALUE"""),3.79)</f>
        <v>3.79</v>
      </c>
      <c r="F785" s="1">
        <f>IFERROR(__xludf.DUMMYFUNCTION("""COMPUTED_VALUE"""),1275108.0)</f>
        <v>1275108</v>
      </c>
    </row>
    <row r="786">
      <c r="A786" s="2">
        <f>IFERROR(__xludf.DUMMYFUNCTION("""COMPUTED_VALUE"""),44659.66666666667)</f>
        <v>44659.66667</v>
      </c>
      <c r="B786" s="1">
        <f>IFERROR(__xludf.DUMMYFUNCTION("""COMPUTED_VALUE"""),3.77)</f>
        <v>3.77</v>
      </c>
      <c r="C786" s="1">
        <f>IFERROR(__xludf.DUMMYFUNCTION("""COMPUTED_VALUE"""),3.8)</f>
        <v>3.8</v>
      </c>
      <c r="D786" s="1">
        <f>IFERROR(__xludf.DUMMYFUNCTION("""COMPUTED_VALUE"""),3.41)</f>
        <v>3.41</v>
      </c>
      <c r="E786" s="1">
        <f>IFERROR(__xludf.DUMMYFUNCTION("""COMPUTED_VALUE"""),3.53)</f>
        <v>3.53</v>
      </c>
      <c r="F786" s="1">
        <f>IFERROR(__xludf.DUMMYFUNCTION("""COMPUTED_VALUE"""),983582.0)</f>
        <v>983582</v>
      </c>
    </row>
    <row r="787">
      <c r="A787" s="2">
        <f>IFERROR(__xludf.DUMMYFUNCTION("""COMPUTED_VALUE"""),44665.66666666667)</f>
        <v>44665.66667</v>
      </c>
      <c r="B787" s="1">
        <f>IFERROR(__xludf.DUMMYFUNCTION("""COMPUTED_VALUE"""),3.5)</f>
        <v>3.5</v>
      </c>
      <c r="C787" s="1">
        <f>IFERROR(__xludf.DUMMYFUNCTION("""COMPUTED_VALUE"""),3.67)</f>
        <v>3.67</v>
      </c>
      <c r="D787" s="1">
        <f>IFERROR(__xludf.DUMMYFUNCTION("""COMPUTED_VALUE"""),3.45)</f>
        <v>3.45</v>
      </c>
      <c r="E787" s="1">
        <f>IFERROR(__xludf.DUMMYFUNCTION("""COMPUTED_VALUE"""),3.65)</f>
        <v>3.65</v>
      </c>
      <c r="F787" s="1">
        <f>IFERROR(__xludf.DUMMYFUNCTION("""COMPUTED_VALUE"""),700858.0)</f>
        <v>700858</v>
      </c>
    </row>
    <row r="788">
      <c r="A788" s="2">
        <f>IFERROR(__xludf.DUMMYFUNCTION("""COMPUTED_VALUE"""),44673.66666666667)</f>
        <v>44673.66667</v>
      </c>
      <c r="B788" s="1">
        <f>IFERROR(__xludf.DUMMYFUNCTION("""COMPUTED_VALUE"""),3.62)</f>
        <v>3.62</v>
      </c>
      <c r="C788" s="1">
        <f>IFERROR(__xludf.DUMMYFUNCTION("""COMPUTED_VALUE"""),4.68)</f>
        <v>4.68</v>
      </c>
      <c r="D788" s="1">
        <f>IFERROR(__xludf.DUMMYFUNCTION("""COMPUTED_VALUE"""),3.62)</f>
        <v>3.62</v>
      </c>
      <c r="E788" s="1">
        <f>IFERROR(__xludf.DUMMYFUNCTION("""COMPUTED_VALUE"""),4.24)</f>
        <v>4.24</v>
      </c>
      <c r="F788" s="1">
        <f>IFERROR(__xludf.DUMMYFUNCTION("""COMPUTED_VALUE"""),3484085.0)</f>
        <v>3484085</v>
      </c>
    </row>
    <row r="789">
      <c r="A789" s="2">
        <f>IFERROR(__xludf.DUMMYFUNCTION("""COMPUTED_VALUE"""),44680.66666666667)</f>
        <v>44680.66667</v>
      </c>
      <c r="B789" s="1">
        <f>IFERROR(__xludf.DUMMYFUNCTION("""COMPUTED_VALUE"""),4.2)</f>
        <v>4.2</v>
      </c>
      <c r="C789" s="1">
        <f>IFERROR(__xludf.DUMMYFUNCTION("""COMPUTED_VALUE"""),4.38)</f>
        <v>4.38</v>
      </c>
      <c r="D789" s="1">
        <f>IFERROR(__xludf.DUMMYFUNCTION("""COMPUTED_VALUE"""),4.11)</f>
        <v>4.11</v>
      </c>
      <c r="E789" s="1">
        <f>IFERROR(__xludf.DUMMYFUNCTION("""COMPUTED_VALUE"""),4.21)</f>
        <v>4.21</v>
      </c>
      <c r="F789" s="1">
        <f>IFERROR(__xludf.DUMMYFUNCTION("""COMPUTED_VALUE"""),1105588.0)</f>
        <v>1105588</v>
      </c>
    </row>
    <row r="790">
      <c r="A790" s="2">
        <f>IFERROR(__xludf.DUMMYFUNCTION("""COMPUTED_VALUE"""),44687.66666666667)</f>
        <v>44687.66667</v>
      </c>
      <c r="B790" s="1">
        <f>IFERROR(__xludf.DUMMYFUNCTION("""COMPUTED_VALUE"""),4.21)</f>
        <v>4.21</v>
      </c>
      <c r="C790" s="1">
        <f>IFERROR(__xludf.DUMMYFUNCTION("""COMPUTED_VALUE"""),5.83)</f>
        <v>5.83</v>
      </c>
      <c r="D790" s="1">
        <f>IFERROR(__xludf.DUMMYFUNCTION("""COMPUTED_VALUE"""),4.11)</f>
        <v>4.11</v>
      </c>
      <c r="E790" s="1">
        <f>IFERROR(__xludf.DUMMYFUNCTION("""COMPUTED_VALUE"""),5.12)</f>
        <v>5.12</v>
      </c>
      <c r="F790" s="1">
        <f>IFERROR(__xludf.DUMMYFUNCTION("""COMPUTED_VALUE"""),4921165.0)</f>
        <v>4921165</v>
      </c>
    </row>
    <row r="791">
      <c r="A791" s="2">
        <f>IFERROR(__xludf.DUMMYFUNCTION("""COMPUTED_VALUE"""),44694.66666666667)</f>
        <v>44694.66667</v>
      </c>
      <c r="B791" s="1">
        <f>IFERROR(__xludf.DUMMYFUNCTION("""COMPUTED_VALUE"""),5.04)</f>
        <v>5.04</v>
      </c>
      <c r="C791" s="1">
        <f>IFERROR(__xludf.DUMMYFUNCTION("""COMPUTED_VALUE"""),5.25)</f>
        <v>5.25</v>
      </c>
      <c r="D791" s="1">
        <f>IFERROR(__xludf.DUMMYFUNCTION("""COMPUTED_VALUE"""),4.87)</f>
        <v>4.87</v>
      </c>
      <c r="E791" s="1">
        <f>IFERROR(__xludf.DUMMYFUNCTION("""COMPUTED_VALUE"""),5.24)</f>
        <v>5.24</v>
      </c>
      <c r="F791" s="1">
        <f>IFERROR(__xludf.DUMMYFUNCTION("""COMPUTED_VALUE"""),2116896.0)</f>
        <v>2116896</v>
      </c>
    </row>
    <row r="792">
      <c r="A792" s="2">
        <f>IFERROR(__xludf.DUMMYFUNCTION("""COMPUTED_VALUE"""),44701.66666666667)</f>
        <v>44701.66667</v>
      </c>
      <c r="B792" s="1">
        <f>IFERROR(__xludf.DUMMYFUNCTION("""COMPUTED_VALUE"""),5.2)</f>
        <v>5.2</v>
      </c>
      <c r="C792" s="1">
        <f>IFERROR(__xludf.DUMMYFUNCTION("""COMPUTED_VALUE"""),5.49)</f>
        <v>5.49</v>
      </c>
      <c r="D792" s="1">
        <f>IFERROR(__xludf.DUMMYFUNCTION("""COMPUTED_VALUE"""),4.86)</f>
        <v>4.86</v>
      </c>
      <c r="E792" s="1">
        <f>IFERROR(__xludf.DUMMYFUNCTION("""COMPUTED_VALUE"""),4.98)</f>
        <v>4.98</v>
      </c>
      <c r="F792" s="1">
        <f>IFERROR(__xludf.DUMMYFUNCTION("""COMPUTED_VALUE"""),1887379.0)</f>
        <v>1887379</v>
      </c>
    </row>
    <row r="793">
      <c r="A793" s="2">
        <f>IFERROR(__xludf.DUMMYFUNCTION("""COMPUTED_VALUE"""),44708.66666666667)</f>
        <v>44708.66667</v>
      </c>
      <c r="B793" s="1">
        <f>IFERROR(__xludf.DUMMYFUNCTION("""COMPUTED_VALUE"""),5.0)</f>
        <v>5</v>
      </c>
      <c r="C793" s="1">
        <f>IFERROR(__xludf.DUMMYFUNCTION("""COMPUTED_VALUE"""),5.02)</f>
        <v>5.02</v>
      </c>
      <c r="D793" s="1">
        <f>IFERROR(__xludf.DUMMYFUNCTION("""COMPUTED_VALUE"""),4.67)</f>
        <v>4.67</v>
      </c>
      <c r="E793" s="1">
        <f>IFERROR(__xludf.DUMMYFUNCTION("""COMPUTED_VALUE"""),4.95)</f>
        <v>4.95</v>
      </c>
      <c r="F793" s="1">
        <f>IFERROR(__xludf.DUMMYFUNCTION("""COMPUTED_VALUE"""),1734958.0)</f>
        <v>1734958</v>
      </c>
    </row>
    <row r="794">
      <c r="A794" s="2">
        <f>IFERROR(__xludf.DUMMYFUNCTION("""COMPUTED_VALUE"""),44715.66666666667)</f>
        <v>44715.66667</v>
      </c>
      <c r="B794" s="1">
        <f>IFERROR(__xludf.DUMMYFUNCTION("""COMPUTED_VALUE"""),4.95)</f>
        <v>4.95</v>
      </c>
      <c r="C794" s="1">
        <f>IFERROR(__xludf.DUMMYFUNCTION("""COMPUTED_VALUE"""),5.65)</f>
        <v>5.65</v>
      </c>
      <c r="D794" s="1">
        <f>IFERROR(__xludf.DUMMYFUNCTION("""COMPUTED_VALUE"""),4.85)</f>
        <v>4.85</v>
      </c>
      <c r="E794" s="1">
        <f>IFERROR(__xludf.DUMMYFUNCTION("""COMPUTED_VALUE"""),5.48)</f>
        <v>5.48</v>
      </c>
      <c r="F794" s="1">
        <f>IFERROR(__xludf.DUMMYFUNCTION("""COMPUTED_VALUE"""),2700434.0)</f>
        <v>2700434</v>
      </c>
    </row>
    <row r="795">
      <c r="A795" s="2">
        <f>IFERROR(__xludf.DUMMYFUNCTION("""COMPUTED_VALUE"""),44722.66666666667)</f>
        <v>44722.66667</v>
      </c>
      <c r="B795" s="1">
        <f>IFERROR(__xludf.DUMMYFUNCTION("""COMPUTED_VALUE"""),5.56)</f>
        <v>5.56</v>
      </c>
      <c r="C795" s="1">
        <f>IFERROR(__xludf.DUMMYFUNCTION("""COMPUTED_VALUE"""),5.77)</f>
        <v>5.77</v>
      </c>
      <c r="D795" s="1">
        <f>IFERROR(__xludf.DUMMYFUNCTION("""COMPUTED_VALUE"""),4.8)</f>
        <v>4.8</v>
      </c>
      <c r="E795" s="1">
        <f>IFERROR(__xludf.DUMMYFUNCTION("""COMPUTED_VALUE"""),4.88)</f>
        <v>4.88</v>
      </c>
      <c r="F795" s="1">
        <f>IFERROR(__xludf.DUMMYFUNCTION("""COMPUTED_VALUE"""),2484026.0)</f>
        <v>2484026</v>
      </c>
    </row>
    <row r="796">
      <c r="A796" s="2">
        <f>IFERROR(__xludf.DUMMYFUNCTION("""COMPUTED_VALUE"""),44729.66666666667)</f>
        <v>44729.66667</v>
      </c>
      <c r="B796" s="1">
        <f>IFERROR(__xludf.DUMMYFUNCTION("""COMPUTED_VALUE"""),4.72)</f>
        <v>4.72</v>
      </c>
      <c r="C796" s="1">
        <f>IFERROR(__xludf.DUMMYFUNCTION("""COMPUTED_VALUE"""),4.8)</f>
        <v>4.8</v>
      </c>
      <c r="D796" s="1">
        <f>IFERROR(__xludf.DUMMYFUNCTION("""COMPUTED_VALUE"""),4.24)</f>
        <v>4.24</v>
      </c>
      <c r="E796" s="1">
        <f>IFERROR(__xludf.DUMMYFUNCTION("""COMPUTED_VALUE"""),4.31)</f>
        <v>4.31</v>
      </c>
      <c r="F796" s="1">
        <f>IFERROR(__xludf.DUMMYFUNCTION("""COMPUTED_VALUE"""),2464335.0)</f>
        <v>2464335</v>
      </c>
    </row>
    <row r="797">
      <c r="A797" s="2">
        <f>IFERROR(__xludf.DUMMYFUNCTION("""COMPUTED_VALUE"""),44736.66666666667)</f>
        <v>44736.66667</v>
      </c>
      <c r="B797" s="1">
        <f>IFERROR(__xludf.DUMMYFUNCTION("""COMPUTED_VALUE"""),4.43)</f>
        <v>4.43</v>
      </c>
      <c r="C797" s="1">
        <f>IFERROR(__xludf.DUMMYFUNCTION("""COMPUTED_VALUE"""),4.55)</f>
        <v>4.55</v>
      </c>
      <c r="D797" s="1">
        <f>IFERROR(__xludf.DUMMYFUNCTION("""COMPUTED_VALUE"""),4.13)</f>
        <v>4.13</v>
      </c>
      <c r="E797" s="1">
        <f>IFERROR(__xludf.DUMMYFUNCTION("""COMPUTED_VALUE"""),4.27)</f>
        <v>4.27</v>
      </c>
      <c r="F797" s="1">
        <f>IFERROR(__xludf.DUMMYFUNCTION("""COMPUTED_VALUE"""),2963894.0)</f>
        <v>2963894</v>
      </c>
    </row>
    <row r="798">
      <c r="A798" s="2">
        <f>IFERROR(__xludf.DUMMYFUNCTION("""COMPUTED_VALUE"""),44743.66666666667)</f>
        <v>44743.66667</v>
      </c>
      <c r="B798" s="1">
        <f>IFERROR(__xludf.DUMMYFUNCTION("""COMPUTED_VALUE"""),4.32)</f>
        <v>4.32</v>
      </c>
      <c r="C798" s="1">
        <f>IFERROR(__xludf.DUMMYFUNCTION("""COMPUTED_VALUE"""),4.47)</f>
        <v>4.47</v>
      </c>
      <c r="D798" s="1">
        <f>IFERROR(__xludf.DUMMYFUNCTION("""COMPUTED_VALUE"""),3.79)</f>
        <v>3.79</v>
      </c>
      <c r="E798" s="1">
        <f>IFERROR(__xludf.DUMMYFUNCTION("""COMPUTED_VALUE"""),3.91)</f>
        <v>3.91</v>
      </c>
      <c r="F798" s="1">
        <f>IFERROR(__xludf.DUMMYFUNCTION("""COMPUTED_VALUE"""),2341773.0)</f>
        <v>2341773</v>
      </c>
    </row>
    <row r="799">
      <c r="A799" s="2">
        <f>IFERROR(__xludf.DUMMYFUNCTION("""COMPUTED_VALUE"""),44750.66666666667)</f>
        <v>44750.66667</v>
      </c>
      <c r="B799" s="1">
        <f>IFERROR(__xludf.DUMMYFUNCTION("""COMPUTED_VALUE"""),3.83)</f>
        <v>3.83</v>
      </c>
      <c r="C799" s="1">
        <f>IFERROR(__xludf.DUMMYFUNCTION("""COMPUTED_VALUE"""),4.09)</f>
        <v>4.09</v>
      </c>
      <c r="D799" s="1">
        <f>IFERROR(__xludf.DUMMYFUNCTION("""COMPUTED_VALUE"""),3.7)</f>
        <v>3.7</v>
      </c>
      <c r="E799" s="1">
        <f>IFERROR(__xludf.DUMMYFUNCTION("""COMPUTED_VALUE"""),4.05)</f>
        <v>4.05</v>
      </c>
      <c r="F799" s="1">
        <f>IFERROR(__xludf.DUMMYFUNCTION("""COMPUTED_VALUE"""),1313845.0)</f>
        <v>1313845</v>
      </c>
    </row>
    <row r="800">
      <c r="A800" s="2">
        <f>IFERROR(__xludf.DUMMYFUNCTION("""COMPUTED_VALUE"""),44757.66666666667)</f>
        <v>44757.66667</v>
      </c>
      <c r="B800" s="1">
        <f>IFERROR(__xludf.DUMMYFUNCTION("""COMPUTED_VALUE"""),4.03)</f>
        <v>4.03</v>
      </c>
      <c r="C800" s="1">
        <f>IFERROR(__xludf.DUMMYFUNCTION("""COMPUTED_VALUE"""),4.27)</f>
        <v>4.27</v>
      </c>
      <c r="D800" s="1">
        <f>IFERROR(__xludf.DUMMYFUNCTION("""COMPUTED_VALUE"""),3.96)</f>
        <v>3.96</v>
      </c>
      <c r="E800" s="1">
        <f>IFERROR(__xludf.DUMMYFUNCTION("""COMPUTED_VALUE"""),4.22)</f>
        <v>4.22</v>
      </c>
      <c r="F800" s="1">
        <f>IFERROR(__xludf.DUMMYFUNCTION("""COMPUTED_VALUE"""),1327799.0)</f>
        <v>1327799</v>
      </c>
    </row>
    <row r="801">
      <c r="A801" s="2">
        <f>IFERROR(__xludf.DUMMYFUNCTION("""COMPUTED_VALUE"""),44764.66666666667)</f>
        <v>44764.66667</v>
      </c>
      <c r="B801" s="1">
        <f>IFERROR(__xludf.DUMMYFUNCTION("""COMPUTED_VALUE"""),4.27)</f>
        <v>4.27</v>
      </c>
      <c r="C801" s="1">
        <f>IFERROR(__xludf.DUMMYFUNCTION("""COMPUTED_VALUE"""),5.4)</f>
        <v>5.4</v>
      </c>
      <c r="D801" s="1">
        <f>IFERROR(__xludf.DUMMYFUNCTION("""COMPUTED_VALUE"""),4.24)</f>
        <v>4.24</v>
      </c>
      <c r="E801" s="1">
        <f>IFERROR(__xludf.DUMMYFUNCTION("""COMPUTED_VALUE"""),5.07)</f>
        <v>5.07</v>
      </c>
      <c r="F801" s="1">
        <f>IFERROR(__xludf.DUMMYFUNCTION("""COMPUTED_VALUE"""),3906461.0)</f>
        <v>3906461</v>
      </c>
    </row>
    <row r="802">
      <c r="A802" s="2">
        <f>IFERROR(__xludf.DUMMYFUNCTION("""COMPUTED_VALUE"""),44771.66666666667)</f>
        <v>44771.66667</v>
      </c>
      <c r="B802" s="1">
        <f>IFERROR(__xludf.DUMMYFUNCTION("""COMPUTED_VALUE"""),5.11)</f>
        <v>5.11</v>
      </c>
      <c r="C802" s="1">
        <f>IFERROR(__xludf.DUMMYFUNCTION("""COMPUTED_VALUE"""),5.52)</f>
        <v>5.52</v>
      </c>
      <c r="D802" s="1">
        <f>IFERROR(__xludf.DUMMYFUNCTION("""COMPUTED_VALUE"""),5.03)</f>
        <v>5.03</v>
      </c>
      <c r="E802" s="1">
        <f>IFERROR(__xludf.DUMMYFUNCTION("""COMPUTED_VALUE"""),5.4)</f>
        <v>5.4</v>
      </c>
      <c r="F802" s="1">
        <f>IFERROR(__xludf.DUMMYFUNCTION("""COMPUTED_VALUE"""),2194809.0)</f>
        <v>2194809</v>
      </c>
    </row>
    <row r="803">
      <c r="A803" s="2">
        <f>IFERROR(__xludf.DUMMYFUNCTION("""COMPUTED_VALUE"""),44778.66666666667)</f>
        <v>44778.66667</v>
      </c>
      <c r="B803" s="1">
        <f>IFERROR(__xludf.DUMMYFUNCTION("""COMPUTED_VALUE"""),5.39)</f>
        <v>5.39</v>
      </c>
      <c r="C803" s="1">
        <f>IFERROR(__xludf.DUMMYFUNCTION("""COMPUTED_VALUE"""),6.03)</f>
        <v>6.03</v>
      </c>
      <c r="D803" s="1">
        <f>IFERROR(__xludf.DUMMYFUNCTION("""COMPUTED_VALUE"""),5.35)</f>
        <v>5.35</v>
      </c>
      <c r="E803" s="1">
        <f>IFERROR(__xludf.DUMMYFUNCTION("""COMPUTED_VALUE"""),5.91)</f>
        <v>5.91</v>
      </c>
      <c r="F803" s="1">
        <f>IFERROR(__xludf.DUMMYFUNCTION("""COMPUTED_VALUE"""),2476235.0)</f>
        <v>2476235</v>
      </c>
    </row>
    <row r="804">
      <c r="A804" s="2">
        <f>IFERROR(__xludf.DUMMYFUNCTION("""COMPUTED_VALUE"""),44785.66666666667)</f>
        <v>44785.66667</v>
      </c>
      <c r="B804" s="1">
        <f>IFERROR(__xludf.DUMMYFUNCTION("""COMPUTED_VALUE"""),5.94)</f>
        <v>5.94</v>
      </c>
      <c r="C804" s="1">
        <f>IFERROR(__xludf.DUMMYFUNCTION("""COMPUTED_VALUE"""),6.88)</f>
        <v>6.88</v>
      </c>
      <c r="D804" s="1">
        <f>IFERROR(__xludf.DUMMYFUNCTION("""COMPUTED_VALUE"""),5.71)</f>
        <v>5.71</v>
      </c>
      <c r="E804" s="1">
        <f>IFERROR(__xludf.DUMMYFUNCTION("""COMPUTED_VALUE"""),6.53)</f>
        <v>6.53</v>
      </c>
      <c r="F804" s="1">
        <f>IFERROR(__xludf.DUMMYFUNCTION("""COMPUTED_VALUE"""),5022345.0)</f>
        <v>5022345</v>
      </c>
    </row>
    <row r="805">
      <c r="A805" s="2">
        <f>IFERROR(__xludf.DUMMYFUNCTION("""COMPUTED_VALUE"""),44792.66666666667)</f>
        <v>44792.66667</v>
      </c>
      <c r="B805" s="1">
        <f>IFERROR(__xludf.DUMMYFUNCTION("""COMPUTED_VALUE"""),6.52)</f>
        <v>6.52</v>
      </c>
      <c r="C805" s="1">
        <f>IFERROR(__xludf.DUMMYFUNCTION("""COMPUTED_VALUE"""),7.26)</f>
        <v>7.26</v>
      </c>
      <c r="D805" s="1">
        <f>IFERROR(__xludf.DUMMYFUNCTION("""COMPUTED_VALUE"""),6.45)</f>
        <v>6.45</v>
      </c>
      <c r="E805" s="1">
        <f>IFERROR(__xludf.DUMMYFUNCTION("""COMPUTED_VALUE"""),6.98)</f>
        <v>6.98</v>
      </c>
      <c r="F805" s="1">
        <f>IFERROR(__xludf.DUMMYFUNCTION("""COMPUTED_VALUE"""),3839958.0)</f>
        <v>3839958</v>
      </c>
    </row>
    <row r="806">
      <c r="A806" s="2">
        <f>IFERROR(__xludf.DUMMYFUNCTION("""COMPUTED_VALUE"""),44799.66666666667)</f>
        <v>44799.66667</v>
      </c>
      <c r="B806" s="1">
        <f>IFERROR(__xludf.DUMMYFUNCTION("""COMPUTED_VALUE"""),6.89)</f>
        <v>6.89</v>
      </c>
      <c r="C806" s="1">
        <f>IFERROR(__xludf.DUMMYFUNCTION("""COMPUTED_VALUE"""),7.49)</f>
        <v>7.49</v>
      </c>
      <c r="D806" s="1">
        <f>IFERROR(__xludf.DUMMYFUNCTION("""COMPUTED_VALUE"""),6.65)</f>
        <v>6.65</v>
      </c>
      <c r="E806" s="1">
        <f>IFERROR(__xludf.DUMMYFUNCTION("""COMPUTED_VALUE"""),6.98)</f>
        <v>6.98</v>
      </c>
      <c r="F806" s="1">
        <f>IFERROR(__xludf.DUMMYFUNCTION("""COMPUTED_VALUE"""),3592469.0)</f>
        <v>3592469</v>
      </c>
    </row>
    <row r="807">
      <c r="A807" s="2">
        <f>IFERROR(__xludf.DUMMYFUNCTION("""COMPUTED_VALUE"""),44806.66666666667)</f>
        <v>44806.66667</v>
      </c>
      <c r="B807" s="1">
        <f>IFERROR(__xludf.DUMMYFUNCTION("""COMPUTED_VALUE"""),6.84)</f>
        <v>6.84</v>
      </c>
      <c r="C807" s="1">
        <f>IFERROR(__xludf.DUMMYFUNCTION("""COMPUTED_VALUE"""),7.12)</f>
        <v>7.12</v>
      </c>
      <c r="D807" s="1">
        <f>IFERROR(__xludf.DUMMYFUNCTION("""COMPUTED_VALUE"""),6.19)</f>
        <v>6.19</v>
      </c>
      <c r="E807" s="1">
        <f>IFERROR(__xludf.DUMMYFUNCTION("""COMPUTED_VALUE"""),6.45)</f>
        <v>6.45</v>
      </c>
      <c r="F807" s="1">
        <f>IFERROR(__xludf.DUMMYFUNCTION("""COMPUTED_VALUE"""),4018597.0)</f>
        <v>4018597</v>
      </c>
    </row>
    <row r="808">
      <c r="A808" s="2">
        <f>IFERROR(__xludf.DUMMYFUNCTION("""COMPUTED_VALUE"""),44813.66666666667)</f>
        <v>44813.66667</v>
      </c>
      <c r="B808" s="1">
        <f>IFERROR(__xludf.DUMMYFUNCTION("""COMPUTED_VALUE"""),6.46)</f>
        <v>6.46</v>
      </c>
      <c r="C808" s="1">
        <f>IFERROR(__xludf.DUMMYFUNCTION("""COMPUTED_VALUE"""),6.71)</f>
        <v>6.71</v>
      </c>
      <c r="D808" s="1">
        <f>IFERROR(__xludf.DUMMYFUNCTION("""COMPUTED_VALUE"""),6.08)</f>
        <v>6.08</v>
      </c>
      <c r="E808" s="1">
        <f>IFERROR(__xludf.DUMMYFUNCTION("""COMPUTED_VALUE"""),6.69)</f>
        <v>6.69</v>
      </c>
      <c r="F808" s="1">
        <f>IFERROR(__xludf.DUMMYFUNCTION("""COMPUTED_VALUE"""),2010299.0)</f>
        <v>2010299</v>
      </c>
    </row>
    <row r="809">
      <c r="A809" s="2">
        <f>IFERROR(__xludf.DUMMYFUNCTION("""COMPUTED_VALUE"""),44820.66666666667)</f>
        <v>44820.66667</v>
      </c>
      <c r="B809" s="1">
        <f>IFERROR(__xludf.DUMMYFUNCTION("""COMPUTED_VALUE"""),6.71)</f>
        <v>6.71</v>
      </c>
      <c r="C809" s="1">
        <f>IFERROR(__xludf.DUMMYFUNCTION("""COMPUTED_VALUE"""),6.82)</f>
        <v>6.82</v>
      </c>
      <c r="D809" s="1">
        <f>IFERROR(__xludf.DUMMYFUNCTION("""COMPUTED_VALUE"""),6.04)</f>
        <v>6.04</v>
      </c>
      <c r="E809" s="1">
        <f>IFERROR(__xludf.DUMMYFUNCTION("""COMPUTED_VALUE"""),6.23)</f>
        <v>6.23</v>
      </c>
      <c r="F809" s="1">
        <f>IFERROR(__xludf.DUMMYFUNCTION("""COMPUTED_VALUE"""),2747218.0)</f>
        <v>2747218</v>
      </c>
    </row>
    <row r="810">
      <c r="A810" s="2">
        <f>IFERROR(__xludf.DUMMYFUNCTION("""COMPUTED_VALUE"""),44827.66666666667)</f>
        <v>44827.66667</v>
      </c>
      <c r="B810" s="1">
        <f>IFERROR(__xludf.DUMMYFUNCTION("""COMPUTED_VALUE"""),5.81)</f>
        <v>5.81</v>
      </c>
      <c r="C810" s="1">
        <f>IFERROR(__xludf.DUMMYFUNCTION("""COMPUTED_VALUE"""),5.98)</f>
        <v>5.98</v>
      </c>
      <c r="D810" s="1">
        <f>IFERROR(__xludf.DUMMYFUNCTION("""COMPUTED_VALUE"""),5.16)</f>
        <v>5.16</v>
      </c>
      <c r="E810" s="1">
        <f>IFERROR(__xludf.DUMMYFUNCTION("""COMPUTED_VALUE"""),5.34)</f>
        <v>5.34</v>
      </c>
      <c r="F810" s="1">
        <f>IFERROR(__xludf.DUMMYFUNCTION("""COMPUTED_VALUE"""),3548470.0)</f>
        <v>3548470</v>
      </c>
    </row>
    <row r="811">
      <c r="A811" s="2">
        <f>IFERROR(__xludf.DUMMYFUNCTION("""COMPUTED_VALUE"""),44834.66666666667)</f>
        <v>44834.66667</v>
      </c>
      <c r="B811" s="1">
        <f>IFERROR(__xludf.DUMMYFUNCTION("""COMPUTED_VALUE"""),5.32)</f>
        <v>5.32</v>
      </c>
      <c r="C811" s="1">
        <f>IFERROR(__xludf.DUMMYFUNCTION("""COMPUTED_VALUE"""),5.72)</f>
        <v>5.72</v>
      </c>
      <c r="D811" s="1">
        <f>IFERROR(__xludf.DUMMYFUNCTION("""COMPUTED_VALUE"""),5.17)</f>
        <v>5.17</v>
      </c>
      <c r="E811" s="1">
        <f>IFERROR(__xludf.DUMMYFUNCTION("""COMPUTED_VALUE"""),5.51)</f>
        <v>5.51</v>
      </c>
      <c r="F811" s="1">
        <f>IFERROR(__xludf.DUMMYFUNCTION("""COMPUTED_VALUE"""),1892860.0)</f>
        <v>1892860</v>
      </c>
    </row>
    <row r="812">
      <c r="A812" s="2">
        <f>IFERROR(__xludf.DUMMYFUNCTION("""COMPUTED_VALUE"""),44841.66666666667)</f>
        <v>44841.66667</v>
      </c>
      <c r="B812" s="1">
        <f>IFERROR(__xludf.DUMMYFUNCTION("""COMPUTED_VALUE"""),5.66)</f>
        <v>5.66</v>
      </c>
      <c r="C812" s="1">
        <f>IFERROR(__xludf.DUMMYFUNCTION("""COMPUTED_VALUE"""),6.19)</f>
        <v>6.19</v>
      </c>
      <c r="D812" s="1">
        <f>IFERROR(__xludf.DUMMYFUNCTION("""COMPUTED_VALUE"""),5.52)</f>
        <v>5.52</v>
      </c>
      <c r="E812" s="1">
        <f>IFERROR(__xludf.DUMMYFUNCTION("""COMPUTED_VALUE"""),5.89)</f>
        <v>5.89</v>
      </c>
      <c r="F812" s="1">
        <f>IFERROR(__xludf.DUMMYFUNCTION("""COMPUTED_VALUE"""),2544549.0)</f>
        <v>2544549</v>
      </c>
    </row>
    <row r="813">
      <c r="A813" s="2">
        <f>IFERROR(__xludf.DUMMYFUNCTION("""COMPUTED_VALUE"""),44848.66666666667)</f>
        <v>44848.66667</v>
      </c>
      <c r="B813" s="1">
        <f>IFERROR(__xludf.DUMMYFUNCTION("""COMPUTED_VALUE"""),5.99)</f>
        <v>5.99</v>
      </c>
      <c r="C813" s="1">
        <f>IFERROR(__xludf.DUMMYFUNCTION("""COMPUTED_VALUE"""),6.0)</f>
        <v>6</v>
      </c>
      <c r="D813" s="1">
        <f>IFERROR(__xludf.DUMMYFUNCTION("""COMPUTED_VALUE"""),5.03)</f>
        <v>5.03</v>
      </c>
      <c r="E813" s="1">
        <f>IFERROR(__xludf.DUMMYFUNCTION("""COMPUTED_VALUE"""),5.4)</f>
        <v>5.4</v>
      </c>
      <c r="F813" s="1">
        <f>IFERROR(__xludf.DUMMYFUNCTION("""COMPUTED_VALUE"""),2125648.0)</f>
        <v>2125648</v>
      </c>
    </row>
    <row r="814">
      <c r="A814" s="2">
        <f>IFERROR(__xludf.DUMMYFUNCTION("""COMPUTED_VALUE"""),44855.66666666667)</f>
        <v>44855.66667</v>
      </c>
      <c r="B814" s="1">
        <f>IFERROR(__xludf.DUMMYFUNCTION("""COMPUTED_VALUE"""),5.54)</f>
        <v>5.54</v>
      </c>
      <c r="C814" s="1">
        <f>IFERROR(__xludf.DUMMYFUNCTION("""COMPUTED_VALUE"""),6.54)</f>
        <v>6.54</v>
      </c>
      <c r="D814" s="1">
        <f>IFERROR(__xludf.DUMMYFUNCTION("""COMPUTED_VALUE"""),5.44)</f>
        <v>5.44</v>
      </c>
      <c r="E814" s="1">
        <f>IFERROR(__xludf.DUMMYFUNCTION("""COMPUTED_VALUE"""),6.45)</f>
        <v>6.45</v>
      </c>
      <c r="F814" s="1">
        <f>IFERROR(__xludf.DUMMYFUNCTION("""COMPUTED_VALUE"""),3743530.0)</f>
        <v>3743530</v>
      </c>
    </row>
    <row r="815">
      <c r="A815" s="2">
        <f>IFERROR(__xludf.DUMMYFUNCTION("""COMPUTED_VALUE"""),44862.66666666667)</f>
        <v>44862.66667</v>
      </c>
      <c r="B815" s="1">
        <f>IFERROR(__xludf.DUMMYFUNCTION("""COMPUTED_VALUE"""),6.51)</f>
        <v>6.51</v>
      </c>
      <c r="C815" s="1">
        <f>IFERROR(__xludf.DUMMYFUNCTION("""COMPUTED_VALUE"""),6.89)</f>
        <v>6.89</v>
      </c>
      <c r="D815" s="1">
        <f>IFERROR(__xludf.DUMMYFUNCTION("""COMPUTED_VALUE"""),6.28)</f>
        <v>6.28</v>
      </c>
      <c r="E815" s="1">
        <f>IFERROR(__xludf.DUMMYFUNCTION("""COMPUTED_VALUE"""),6.87)</f>
        <v>6.87</v>
      </c>
      <c r="F815" s="1">
        <f>IFERROR(__xludf.DUMMYFUNCTION("""COMPUTED_VALUE"""),2593052.0)</f>
        <v>2593052</v>
      </c>
    </row>
    <row r="816">
      <c r="A816" s="2">
        <f>IFERROR(__xludf.DUMMYFUNCTION("""COMPUTED_VALUE"""),44869.66666666667)</f>
        <v>44869.66667</v>
      </c>
      <c r="B816" s="1">
        <f>IFERROR(__xludf.DUMMYFUNCTION("""COMPUTED_VALUE"""),6.86)</f>
        <v>6.86</v>
      </c>
      <c r="C816" s="1">
        <f>IFERROR(__xludf.DUMMYFUNCTION("""COMPUTED_VALUE"""),8.6)</f>
        <v>8.6</v>
      </c>
      <c r="D816" s="1">
        <f>IFERROR(__xludf.DUMMYFUNCTION("""COMPUTED_VALUE"""),6.78)</f>
        <v>6.78</v>
      </c>
      <c r="E816" s="1">
        <f>IFERROR(__xludf.DUMMYFUNCTION("""COMPUTED_VALUE"""),7.66)</f>
        <v>7.66</v>
      </c>
      <c r="F816" s="1">
        <f>IFERROR(__xludf.DUMMYFUNCTION("""COMPUTED_VALUE"""),7782591.0)</f>
        <v>7782591</v>
      </c>
    </row>
    <row r="817">
      <c r="A817" s="2">
        <f>IFERROR(__xludf.DUMMYFUNCTION("""COMPUTED_VALUE"""),44876.66666666667)</f>
        <v>44876.66667</v>
      </c>
      <c r="B817" s="1">
        <f>IFERROR(__xludf.DUMMYFUNCTION("""COMPUTED_VALUE"""),7.7)</f>
        <v>7.7</v>
      </c>
      <c r="C817" s="1">
        <f>IFERROR(__xludf.DUMMYFUNCTION("""COMPUTED_VALUE"""),8.62)</f>
        <v>8.62</v>
      </c>
      <c r="D817" s="1">
        <f>IFERROR(__xludf.DUMMYFUNCTION("""COMPUTED_VALUE"""),7.62)</f>
        <v>7.62</v>
      </c>
      <c r="E817" s="1">
        <f>IFERROR(__xludf.DUMMYFUNCTION("""COMPUTED_VALUE"""),8.35)</f>
        <v>8.35</v>
      </c>
      <c r="F817" s="1">
        <f>IFERROR(__xludf.DUMMYFUNCTION("""COMPUTED_VALUE"""),4148491.0)</f>
        <v>4148491</v>
      </c>
    </row>
    <row r="818">
      <c r="A818" s="2">
        <f>IFERROR(__xludf.DUMMYFUNCTION("""COMPUTED_VALUE"""),44883.66666666667)</f>
        <v>44883.66667</v>
      </c>
      <c r="B818" s="1">
        <f>IFERROR(__xludf.DUMMYFUNCTION("""COMPUTED_VALUE"""),8.29)</f>
        <v>8.29</v>
      </c>
      <c r="C818" s="1">
        <f>IFERROR(__xludf.DUMMYFUNCTION("""COMPUTED_VALUE"""),8.97)</f>
        <v>8.97</v>
      </c>
      <c r="D818" s="1">
        <f>IFERROR(__xludf.DUMMYFUNCTION("""COMPUTED_VALUE"""),8.06)</f>
        <v>8.06</v>
      </c>
      <c r="E818" s="1">
        <f>IFERROR(__xludf.DUMMYFUNCTION("""COMPUTED_VALUE"""),8.65)</f>
        <v>8.65</v>
      </c>
      <c r="F818" s="1">
        <f>IFERROR(__xludf.DUMMYFUNCTION("""COMPUTED_VALUE"""),4990982.0)</f>
        <v>4990982</v>
      </c>
    </row>
    <row r="819">
      <c r="A819" s="2">
        <f>IFERROR(__xludf.DUMMYFUNCTION("""COMPUTED_VALUE"""),44890.54513888889)</f>
        <v>44890.54514</v>
      </c>
      <c r="B819" s="1">
        <f>IFERROR(__xludf.DUMMYFUNCTION("""COMPUTED_VALUE"""),8.6)</f>
        <v>8.6</v>
      </c>
      <c r="C819" s="1">
        <f>IFERROR(__xludf.DUMMYFUNCTION("""COMPUTED_VALUE"""),9.5)</f>
        <v>9.5</v>
      </c>
      <c r="D819" s="1">
        <f>IFERROR(__xludf.DUMMYFUNCTION("""COMPUTED_VALUE"""),8.3)</f>
        <v>8.3</v>
      </c>
      <c r="E819" s="1">
        <f>IFERROR(__xludf.DUMMYFUNCTION("""COMPUTED_VALUE"""),9.39)</f>
        <v>9.39</v>
      </c>
      <c r="F819" s="1">
        <f>IFERROR(__xludf.DUMMYFUNCTION("""COMPUTED_VALUE"""),2760676.0)</f>
        <v>2760676</v>
      </c>
    </row>
    <row r="820">
      <c r="A820" s="2">
        <f>IFERROR(__xludf.DUMMYFUNCTION("""COMPUTED_VALUE"""),44897.66666666667)</f>
        <v>44897.66667</v>
      </c>
      <c r="B820" s="1">
        <f>IFERROR(__xludf.DUMMYFUNCTION("""COMPUTED_VALUE"""),9.3)</f>
        <v>9.3</v>
      </c>
      <c r="C820" s="1">
        <f>IFERROR(__xludf.DUMMYFUNCTION("""COMPUTED_VALUE"""),9.52)</f>
        <v>9.52</v>
      </c>
      <c r="D820" s="1">
        <f>IFERROR(__xludf.DUMMYFUNCTION("""COMPUTED_VALUE"""),8.54)</f>
        <v>8.54</v>
      </c>
      <c r="E820" s="1">
        <f>IFERROR(__xludf.DUMMYFUNCTION("""COMPUTED_VALUE"""),8.67)</f>
        <v>8.67</v>
      </c>
      <c r="F820" s="1">
        <f>IFERROR(__xludf.DUMMYFUNCTION("""COMPUTED_VALUE"""),4777061.0)</f>
        <v>4777061</v>
      </c>
    </row>
    <row r="821">
      <c r="A821" s="2">
        <f>IFERROR(__xludf.DUMMYFUNCTION("""COMPUTED_VALUE"""),44904.66666666667)</f>
        <v>44904.66667</v>
      </c>
      <c r="B821" s="1">
        <f>IFERROR(__xludf.DUMMYFUNCTION("""COMPUTED_VALUE"""),8.65)</f>
        <v>8.65</v>
      </c>
      <c r="C821" s="1">
        <f>IFERROR(__xludf.DUMMYFUNCTION("""COMPUTED_VALUE"""),9.0)</f>
        <v>9</v>
      </c>
      <c r="D821" s="1">
        <f>IFERROR(__xludf.DUMMYFUNCTION("""COMPUTED_VALUE"""),8.1)</f>
        <v>8.1</v>
      </c>
      <c r="E821" s="1">
        <f>IFERROR(__xludf.DUMMYFUNCTION("""COMPUTED_VALUE"""),8.4)</f>
        <v>8.4</v>
      </c>
      <c r="F821" s="1">
        <f>IFERROR(__xludf.DUMMYFUNCTION("""COMPUTED_VALUE"""),4193258.0)</f>
        <v>4193258</v>
      </c>
    </row>
    <row r="822">
      <c r="A822" s="2">
        <f>IFERROR(__xludf.DUMMYFUNCTION("""COMPUTED_VALUE"""),44911.66666666667)</f>
        <v>44911.66667</v>
      </c>
      <c r="B822" s="1">
        <f>IFERROR(__xludf.DUMMYFUNCTION("""COMPUTED_VALUE"""),8.52)</f>
        <v>8.52</v>
      </c>
      <c r="C822" s="1">
        <f>IFERROR(__xludf.DUMMYFUNCTION("""COMPUTED_VALUE"""),9.3)</f>
        <v>9.3</v>
      </c>
      <c r="D822" s="1">
        <f>IFERROR(__xludf.DUMMYFUNCTION("""COMPUTED_VALUE"""),7.88)</f>
        <v>7.88</v>
      </c>
      <c r="E822" s="1">
        <f>IFERROR(__xludf.DUMMYFUNCTION("""COMPUTED_VALUE"""),8.07)</f>
        <v>8.07</v>
      </c>
      <c r="F822" s="1">
        <f>IFERROR(__xludf.DUMMYFUNCTION("""COMPUTED_VALUE"""),5567063.0)</f>
        <v>5567063</v>
      </c>
    </row>
    <row r="823">
      <c r="A823" s="2">
        <f>IFERROR(__xludf.DUMMYFUNCTION("""COMPUTED_VALUE"""),44918.66666666667)</f>
        <v>44918.66667</v>
      </c>
      <c r="B823" s="1">
        <f>IFERROR(__xludf.DUMMYFUNCTION("""COMPUTED_VALUE"""),8.07)</f>
        <v>8.07</v>
      </c>
      <c r="C823" s="1">
        <f>IFERROR(__xludf.DUMMYFUNCTION("""COMPUTED_VALUE"""),8.59)</f>
        <v>8.59</v>
      </c>
      <c r="D823" s="1">
        <f>IFERROR(__xludf.DUMMYFUNCTION("""COMPUTED_VALUE"""),7.75)</f>
        <v>7.75</v>
      </c>
      <c r="E823" s="1">
        <f>IFERROR(__xludf.DUMMYFUNCTION("""COMPUTED_VALUE"""),8.22)</f>
        <v>8.22</v>
      </c>
      <c r="F823" s="1">
        <f>IFERROR(__xludf.DUMMYFUNCTION("""COMPUTED_VALUE"""),1.5169663E7)</f>
        <v>15169663</v>
      </c>
    </row>
    <row r="824">
      <c r="A824" s="2">
        <f>IFERROR(__xludf.DUMMYFUNCTION("""COMPUTED_VALUE"""),44925.66666666667)</f>
        <v>44925.66667</v>
      </c>
      <c r="B824" s="1">
        <f>IFERROR(__xludf.DUMMYFUNCTION("""COMPUTED_VALUE"""),8.25)</f>
        <v>8.25</v>
      </c>
      <c r="C824" s="1">
        <f>IFERROR(__xludf.DUMMYFUNCTION("""COMPUTED_VALUE"""),8.44)</f>
        <v>8.44</v>
      </c>
      <c r="D824" s="1">
        <f>IFERROR(__xludf.DUMMYFUNCTION("""COMPUTED_VALUE"""),7.95)</f>
        <v>7.95</v>
      </c>
      <c r="E824" s="1">
        <f>IFERROR(__xludf.DUMMYFUNCTION("""COMPUTED_VALUE"""),8.21)</f>
        <v>8.21</v>
      </c>
      <c r="F824" s="1">
        <f>IFERROR(__xludf.DUMMYFUNCTION("""COMPUTED_VALUE"""),3193632.0)</f>
        <v>3193632</v>
      </c>
    </row>
    <row r="825">
      <c r="A825" s="2">
        <f>IFERROR(__xludf.DUMMYFUNCTION("""COMPUTED_VALUE"""),44932.66666666667)</f>
        <v>44932.66667</v>
      </c>
      <c r="B825" s="1">
        <f>IFERROR(__xludf.DUMMYFUNCTION("""COMPUTED_VALUE"""),8.31)</f>
        <v>8.31</v>
      </c>
      <c r="C825" s="1">
        <f>IFERROR(__xludf.DUMMYFUNCTION("""COMPUTED_VALUE"""),8.77)</f>
        <v>8.77</v>
      </c>
      <c r="D825" s="1">
        <f>IFERROR(__xludf.DUMMYFUNCTION("""COMPUTED_VALUE"""),7.96)</f>
        <v>7.96</v>
      </c>
      <c r="E825" s="1">
        <f>IFERROR(__xludf.DUMMYFUNCTION("""COMPUTED_VALUE"""),8.44)</f>
        <v>8.44</v>
      </c>
      <c r="F825" s="1">
        <f>IFERROR(__xludf.DUMMYFUNCTION("""COMPUTED_VALUE"""),4395623.0)</f>
        <v>4395623</v>
      </c>
    </row>
    <row r="826">
      <c r="A826" s="2">
        <f>IFERROR(__xludf.DUMMYFUNCTION("""COMPUTED_VALUE"""),44939.66666666667)</f>
        <v>44939.66667</v>
      </c>
      <c r="B826" s="1">
        <f>IFERROR(__xludf.DUMMYFUNCTION("""COMPUTED_VALUE"""),8.6)</f>
        <v>8.6</v>
      </c>
      <c r="C826" s="1">
        <f>IFERROR(__xludf.DUMMYFUNCTION("""COMPUTED_VALUE"""),9.28)</f>
        <v>9.28</v>
      </c>
      <c r="D826" s="1">
        <f>IFERROR(__xludf.DUMMYFUNCTION("""COMPUTED_VALUE"""),7.4)</f>
        <v>7.4</v>
      </c>
      <c r="E826" s="1">
        <f>IFERROR(__xludf.DUMMYFUNCTION("""COMPUTED_VALUE"""),8.06)</f>
        <v>8.06</v>
      </c>
      <c r="F826" s="1">
        <f>IFERROR(__xludf.DUMMYFUNCTION("""COMPUTED_VALUE"""),1.0649604E7)</f>
        <v>10649604</v>
      </c>
    </row>
    <row r="827">
      <c r="A827" s="2">
        <f>IFERROR(__xludf.DUMMYFUNCTION("""COMPUTED_VALUE"""),44946.66666666667)</f>
        <v>44946.66667</v>
      </c>
      <c r="B827" s="1">
        <f>IFERROR(__xludf.DUMMYFUNCTION("""COMPUTED_VALUE"""),8.06)</f>
        <v>8.06</v>
      </c>
      <c r="C827" s="1">
        <f>IFERROR(__xludf.DUMMYFUNCTION("""COMPUTED_VALUE"""),8.68)</f>
        <v>8.68</v>
      </c>
      <c r="D827" s="1">
        <f>IFERROR(__xludf.DUMMYFUNCTION("""COMPUTED_VALUE"""),6.9)</f>
        <v>6.9</v>
      </c>
      <c r="E827" s="1">
        <f>IFERROR(__xludf.DUMMYFUNCTION("""COMPUTED_VALUE"""),7.2)</f>
        <v>7.2</v>
      </c>
      <c r="F827" s="1">
        <f>IFERROR(__xludf.DUMMYFUNCTION("""COMPUTED_VALUE"""),9016653.0)</f>
        <v>9016653</v>
      </c>
    </row>
    <row r="828">
      <c r="A828" s="2">
        <f>IFERROR(__xludf.DUMMYFUNCTION("""COMPUTED_VALUE"""),44953.66666666667)</f>
        <v>44953.66667</v>
      </c>
      <c r="B828" s="1">
        <f>IFERROR(__xludf.DUMMYFUNCTION("""COMPUTED_VALUE"""),7.3)</f>
        <v>7.3</v>
      </c>
      <c r="C828" s="1">
        <f>IFERROR(__xludf.DUMMYFUNCTION("""COMPUTED_VALUE"""),7.97)</f>
        <v>7.97</v>
      </c>
      <c r="D828" s="1">
        <f>IFERROR(__xludf.DUMMYFUNCTION("""COMPUTED_VALUE"""),7.15)</f>
        <v>7.15</v>
      </c>
      <c r="E828" s="1">
        <f>IFERROR(__xludf.DUMMYFUNCTION("""COMPUTED_VALUE"""),7.43)</f>
        <v>7.43</v>
      </c>
      <c r="F828" s="1">
        <f>IFERROR(__xludf.DUMMYFUNCTION("""COMPUTED_VALUE"""),5127569.0)</f>
        <v>5127569</v>
      </c>
    </row>
    <row r="829">
      <c r="A829" s="2">
        <f>IFERROR(__xludf.DUMMYFUNCTION("""COMPUTED_VALUE"""),44960.66666666667)</f>
        <v>44960.66667</v>
      </c>
      <c r="B829" s="1">
        <f>IFERROR(__xludf.DUMMYFUNCTION("""COMPUTED_VALUE"""),7.31)</f>
        <v>7.31</v>
      </c>
      <c r="C829" s="1">
        <f>IFERROR(__xludf.DUMMYFUNCTION("""COMPUTED_VALUE"""),8.59)</f>
        <v>8.59</v>
      </c>
      <c r="D829" s="1">
        <f>IFERROR(__xludf.DUMMYFUNCTION("""COMPUTED_VALUE"""),7.01)</f>
        <v>7.01</v>
      </c>
      <c r="E829" s="1">
        <f>IFERROR(__xludf.DUMMYFUNCTION("""COMPUTED_VALUE"""),8.43)</f>
        <v>8.43</v>
      </c>
      <c r="F829" s="1">
        <f>IFERROR(__xludf.DUMMYFUNCTION("""COMPUTED_VALUE"""),8842169.0)</f>
        <v>8842169</v>
      </c>
    </row>
    <row r="830">
      <c r="A830" s="2">
        <f>IFERROR(__xludf.DUMMYFUNCTION("""COMPUTED_VALUE"""),44967.66666666667)</f>
        <v>44967.66667</v>
      </c>
      <c r="B830" s="1">
        <f>IFERROR(__xludf.DUMMYFUNCTION("""COMPUTED_VALUE"""),8.35)</f>
        <v>8.35</v>
      </c>
      <c r="C830" s="1">
        <f>IFERROR(__xludf.DUMMYFUNCTION("""COMPUTED_VALUE"""),9.39)</f>
        <v>9.39</v>
      </c>
      <c r="D830" s="1">
        <f>IFERROR(__xludf.DUMMYFUNCTION("""COMPUTED_VALUE"""),8.0)</f>
        <v>8</v>
      </c>
      <c r="E830" s="1">
        <f>IFERROR(__xludf.DUMMYFUNCTION("""COMPUTED_VALUE"""),9.0)</f>
        <v>9</v>
      </c>
      <c r="F830" s="1">
        <f>IFERROR(__xludf.DUMMYFUNCTION("""COMPUTED_VALUE"""),7375791.0)</f>
        <v>7375791</v>
      </c>
    </row>
    <row r="831">
      <c r="A831" s="2">
        <f>IFERROR(__xludf.DUMMYFUNCTION("""COMPUTED_VALUE"""),44974.66666666667)</f>
        <v>44974.66667</v>
      </c>
      <c r="B831" s="1">
        <f>IFERROR(__xludf.DUMMYFUNCTION("""COMPUTED_VALUE"""),8.95)</f>
        <v>8.95</v>
      </c>
      <c r="C831" s="1">
        <f>IFERROR(__xludf.DUMMYFUNCTION("""COMPUTED_VALUE"""),9.8)</f>
        <v>9.8</v>
      </c>
      <c r="D831" s="1">
        <f>IFERROR(__xludf.DUMMYFUNCTION("""COMPUTED_VALUE"""),8.76)</f>
        <v>8.76</v>
      </c>
      <c r="E831" s="1">
        <f>IFERROR(__xludf.DUMMYFUNCTION("""COMPUTED_VALUE"""),9.2)</f>
        <v>9.2</v>
      </c>
      <c r="F831" s="1">
        <f>IFERROR(__xludf.DUMMYFUNCTION("""COMPUTED_VALUE"""),6735520.0)</f>
        <v>6735520</v>
      </c>
    </row>
    <row r="832">
      <c r="A832" s="2">
        <f>IFERROR(__xludf.DUMMYFUNCTION("""COMPUTED_VALUE"""),44981.66666666667)</f>
        <v>44981.66667</v>
      </c>
      <c r="B832" s="1">
        <f>IFERROR(__xludf.DUMMYFUNCTION("""COMPUTED_VALUE"""),9.05)</f>
        <v>9.05</v>
      </c>
      <c r="C832" s="1">
        <f>IFERROR(__xludf.DUMMYFUNCTION("""COMPUTED_VALUE"""),9.84)</f>
        <v>9.84</v>
      </c>
      <c r="D832" s="1">
        <f>IFERROR(__xludf.DUMMYFUNCTION("""COMPUTED_VALUE"""),8.56)</f>
        <v>8.56</v>
      </c>
      <c r="E832" s="1">
        <f>IFERROR(__xludf.DUMMYFUNCTION("""COMPUTED_VALUE"""),9.82)</f>
        <v>9.82</v>
      </c>
      <c r="F832" s="1">
        <f>IFERROR(__xludf.DUMMYFUNCTION("""COMPUTED_VALUE"""),5769267.0)</f>
        <v>5769267</v>
      </c>
    </row>
    <row r="833">
      <c r="A833" s="2">
        <f>IFERROR(__xludf.DUMMYFUNCTION("""COMPUTED_VALUE"""),44988.66666666667)</f>
        <v>44988.66667</v>
      </c>
      <c r="B833" s="1">
        <f>IFERROR(__xludf.DUMMYFUNCTION("""COMPUTED_VALUE"""),9.89)</f>
        <v>9.89</v>
      </c>
      <c r="C833" s="1">
        <f>IFERROR(__xludf.DUMMYFUNCTION("""COMPUTED_VALUE"""),10.4)</f>
        <v>10.4</v>
      </c>
      <c r="D833" s="1">
        <f>IFERROR(__xludf.DUMMYFUNCTION("""COMPUTED_VALUE"""),9.51)</f>
        <v>9.51</v>
      </c>
      <c r="E833" s="1">
        <f>IFERROR(__xludf.DUMMYFUNCTION("""COMPUTED_VALUE"""),9.78)</f>
        <v>9.78</v>
      </c>
      <c r="F833" s="1">
        <f>IFERROR(__xludf.DUMMYFUNCTION("""COMPUTED_VALUE"""),7028225.0)</f>
        <v>7028225</v>
      </c>
    </row>
    <row r="834">
      <c r="A834" s="2">
        <f>IFERROR(__xludf.DUMMYFUNCTION("""COMPUTED_VALUE"""),44995.66666666667)</f>
        <v>44995.66667</v>
      </c>
      <c r="B834" s="1">
        <f>IFERROR(__xludf.DUMMYFUNCTION("""COMPUTED_VALUE"""),9.89)</f>
        <v>9.89</v>
      </c>
      <c r="C834" s="1">
        <f>IFERROR(__xludf.DUMMYFUNCTION("""COMPUTED_VALUE"""),10.43)</f>
        <v>10.43</v>
      </c>
      <c r="D834" s="1">
        <f>IFERROR(__xludf.DUMMYFUNCTION("""COMPUTED_VALUE"""),9.21)</f>
        <v>9.21</v>
      </c>
      <c r="E834" s="1">
        <f>IFERROR(__xludf.DUMMYFUNCTION("""COMPUTED_VALUE"""),9.28)</f>
        <v>9.28</v>
      </c>
      <c r="F834" s="1">
        <f>IFERROR(__xludf.DUMMYFUNCTION("""COMPUTED_VALUE"""),6152528.0)</f>
        <v>6152528</v>
      </c>
    </row>
    <row r="835">
      <c r="A835" s="2">
        <f>IFERROR(__xludf.DUMMYFUNCTION("""COMPUTED_VALUE"""),45002.66666666667)</f>
        <v>45002.66667</v>
      </c>
      <c r="B835" s="1">
        <f>IFERROR(__xludf.DUMMYFUNCTION("""COMPUTED_VALUE"""),9.1)</f>
        <v>9.1</v>
      </c>
      <c r="C835" s="1">
        <f>IFERROR(__xludf.DUMMYFUNCTION("""COMPUTED_VALUE"""),9.8)</f>
        <v>9.8</v>
      </c>
      <c r="D835" s="1">
        <f>IFERROR(__xludf.DUMMYFUNCTION("""COMPUTED_VALUE"""),8.73)</f>
        <v>8.73</v>
      </c>
      <c r="E835" s="1">
        <f>IFERROR(__xludf.DUMMYFUNCTION("""COMPUTED_VALUE"""),9.55)</f>
        <v>9.55</v>
      </c>
      <c r="F835" s="1">
        <f>IFERROR(__xludf.DUMMYFUNCTION("""COMPUTED_VALUE"""),6964158.0)</f>
        <v>6964158</v>
      </c>
    </row>
    <row r="836">
      <c r="A836" s="2">
        <f>IFERROR(__xludf.DUMMYFUNCTION("""COMPUTED_VALUE"""),45009.66666666667)</f>
        <v>45009.66667</v>
      </c>
      <c r="B836" s="1">
        <f>IFERROR(__xludf.DUMMYFUNCTION("""COMPUTED_VALUE"""),9.55)</f>
        <v>9.55</v>
      </c>
      <c r="C836" s="1">
        <f>IFERROR(__xludf.DUMMYFUNCTION("""COMPUTED_VALUE"""),11.84)</f>
        <v>11.84</v>
      </c>
      <c r="D836" s="1">
        <f>IFERROR(__xludf.DUMMYFUNCTION("""COMPUTED_VALUE"""),9.54)</f>
        <v>9.54</v>
      </c>
      <c r="E836" s="1">
        <f>IFERROR(__xludf.DUMMYFUNCTION("""COMPUTED_VALUE"""),11.08)</f>
        <v>11.08</v>
      </c>
      <c r="F836" s="1">
        <f>IFERROR(__xludf.DUMMYFUNCTION("""COMPUTED_VALUE"""),9919883.0)</f>
        <v>9919883</v>
      </c>
    </row>
    <row r="837">
      <c r="A837" s="2">
        <f>IFERROR(__xludf.DUMMYFUNCTION("""COMPUTED_VALUE"""),45016.66666666667)</f>
        <v>45016.66667</v>
      </c>
      <c r="B837" s="1">
        <f>IFERROR(__xludf.DUMMYFUNCTION("""COMPUTED_VALUE"""),11.2)</f>
        <v>11.2</v>
      </c>
      <c r="C837" s="1">
        <f>IFERROR(__xludf.DUMMYFUNCTION("""COMPUTED_VALUE"""),11.36)</f>
        <v>11.36</v>
      </c>
      <c r="D837" s="1">
        <f>IFERROR(__xludf.DUMMYFUNCTION("""COMPUTED_VALUE"""),10.13)</f>
        <v>10.13</v>
      </c>
      <c r="E837" s="1">
        <f>IFERROR(__xludf.DUMMYFUNCTION("""COMPUTED_VALUE"""),10.66)</f>
        <v>10.66</v>
      </c>
      <c r="F837" s="1">
        <f>IFERROR(__xludf.DUMMYFUNCTION("""COMPUTED_VALUE"""),7769291.0)</f>
        <v>7769291</v>
      </c>
    </row>
    <row r="838">
      <c r="A838" s="2">
        <f>IFERROR(__xludf.DUMMYFUNCTION("""COMPUTED_VALUE"""),45022.66666666667)</f>
        <v>45022.66667</v>
      </c>
      <c r="B838" s="1">
        <f>IFERROR(__xludf.DUMMYFUNCTION("""COMPUTED_VALUE"""),10.66)</f>
        <v>10.66</v>
      </c>
      <c r="C838" s="1">
        <f>IFERROR(__xludf.DUMMYFUNCTION("""COMPUTED_VALUE"""),11.71)</f>
        <v>11.71</v>
      </c>
      <c r="D838" s="1">
        <f>IFERROR(__xludf.DUMMYFUNCTION("""COMPUTED_VALUE"""),9.7)</f>
        <v>9.7</v>
      </c>
      <c r="E838" s="1">
        <f>IFERROR(__xludf.DUMMYFUNCTION("""COMPUTED_VALUE"""),10.07)</f>
        <v>10.07</v>
      </c>
      <c r="F838" s="1">
        <f>IFERROR(__xludf.DUMMYFUNCTION("""COMPUTED_VALUE"""),7834759.0)</f>
        <v>7834759</v>
      </c>
    </row>
    <row r="839">
      <c r="A839" s="2">
        <f>IFERROR(__xludf.DUMMYFUNCTION("""COMPUTED_VALUE"""),45030.66666666667)</f>
        <v>45030.66667</v>
      </c>
      <c r="B839" s="1">
        <f>IFERROR(__xludf.DUMMYFUNCTION("""COMPUTED_VALUE"""),10.0)</f>
        <v>10</v>
      </c>
      <c r="C839" s="1">
        <f>IFERROR(__xludf.DUMMYFUNCTION("""COMPUTED_VALUE"""),11.05)</f>
        <v>11.05</v>
      </c>
      <c r="D839" s="1">
        <f>IFERROR(__xludf.DUMMYFUNCTION("""COMPUTED_VALUE"""),9.92)</f>
        <v>9.92</v>
      </c>
      <c r="E839" s="1">
        <f>IFERROR(__xludf.DUMMYFUNCTION("""COMPUTED_VALUE"""),10.92)</f>
        <v>10.92</v>
      </c>
      <c r="F839" s="1">
        <f>IFERROR(__xludf.DUMMYFUNCTION("""COMPUTED_VALUE"""),6013010.0)</f>
        <v>6013010</v>
      </c>
    </row>
    <row r="840">
      <c r="A840" s="2">
        <f>IFERROR(__xludf.DUMMYFUNCTION("""COMPUTED_VALUE"""),45037.66666666667)</f>
        <v>45037.66667</v>
      </c>
      <c r="B840" s="1">
        <f>IFERROR(__xludf.DUMMYFUNCTION("""COMPUTED_VALUE"""),10.92)</f>
        <v>10.92</v>
      </c>
      <c r="C840" s="1">
        <f>IFERROR(__xludf.DUMMYFUNCTION("""COMPUTED_VALUE"""),11.92)</f>
        <v>11.92</v>
      </c>
      <c r="D840" s="1">
        <f>IFERROR(__xludf.DUMMYFUNCTION("""COMPUTED_VALUE"""),10.23)</f>
        <v>10.23</v>
      </c>
      <c r="E840" s="1">
        <f>IFERROR(__xludf.DUMMYFUNCTION("""COMPUTED_VALUE"""),10.73)</f>
        <v>10.73</v>
      </c>
      <c r="F840" s="1">
        <f>IFERROR(__xludf.DUMMYFUNCTION("""COMPUTED_VALUE"""),6058912.0)</f>
        <v>6058912</v>
      </c>
    </row>
    <row r="841">
      <c r="A841" s="2">
        <f>IFERROR(__xludf.DUMMYFUNCTION("""COMPUTED_VALUE"""),45044.66666666667)</f>
        <v>45044.66667</v>
      </c>
      <c r="B841" s="1">
        <f>IFERROR(__xludf.DUMMYFUNCTION("""COMPUTED_VALUE"""),9.75)</f>
        <v>9.75</v>
      </c>
      <c r="C841" s="1">
        <f>IFERROR(__xludf.DUMMYFUNCTION("""COMPUTED_VALUE"""),10.55)</f>
        <v>10.55</v>
      </c>
      <c r="D841" s="1">
        <f>IFERROR(__xludf.DUMMYFUNCTION("""COMPUTED_VALUE"""),9.32)</f>
        <v>9.32</v>
      </c>
      <c r="E841" s="1">
        <f>IFERROR(__xludf.DUMMYFUNCTION("""COMPUTED_VALUE"""),10.54)</f>
        <v>10.54</v>
      </c>
      <c r="F841" s="1">
        <f>IFERROR(__xludf.DUMMYFUNCTION("""COMPUTED_VALUE"""),1.0414761E7)</f>
        <v>10414761</v>
      </c>
    </row>
    <row r="842">
      <c r="A842" s="2">
        <f>IFERROR(__xludf.DUMMYFUNCTION("""COMPUTED_VALUE"""),45051.66666666667)</f>
        <v>45051.66667</v>
      </c>
      <c r="B842" s="1">
        <f>IFERROR(__xludf.DUMMYFUNCTION("""COMPUTED_VALUE"""),10.54)</f>
        <v>10.54</v>
      </c>
      <c r="C842" s="1">
        <f>IFERROR(__xludf.DUMMYFUNCTION("""COMPUTED_VALUE"""),14.35)</f>
        <v>14.35</v>
      </c>
      <c r="D842" s="1">
        <f>IFERROR(__xludf.DUMMYFUNCTION("""COMPUTED_VALUE"""),10.17)</f>
        <v>10.17</v>
      </c>
      <c r="E842" s="1">
        <f>IFERROR(__xludf.DUMMYFUNCTION("""COMPUTED_VALUE"""),13.72)</f>
        <v>13.72</v>
      </c>
      <c r="F842" s="1">
        <f>IFERROR(__xludf.DUMMYFUNCTION("""COMPUTED_VALUE"""),1.6277231E7)</f>
        <v>16277231</v>
      </c>
    </row>
    <row r="843">
      <c r="A843" s="2">
        <f>IFERROR(__xludf.DUMMYFUNCTION("""COMPUTED_VALUE"""),45058.66666666667)</f>
        <v>45058.66667</v>
      </c>
      <c r="B843" s="1">
        <f>IFERROR(__xludf.DUMMYFUNCTION("""COMPUTED_VALUE"""),13.6)</f>
        <v>13.6</v>
      </c>
      <c r="C843" s="1">
        <f>IFERROR(__xludf.DUMMYFUNCTION("""COMPUTED_VALUE"""),13.99)</f>
        <v>13.99</v>
      </c>
      <c r="D843" s="1">
        <f>IFERROR(__xludf.DUMMYFUNCTION("""COMPUTED_VALUE"""),13.11)</f>
        <v>13.11</v>
      </c>
      <c r="E843" s="1">
        <f>IFERROR(__xludf.DUMMYFUNCTION("""COMPUTED_VALUE"""),13.45)</f>
        <v>13.45</v>
      </c>
      <c r="F843" s="1">
        <f>IFERROR(__xludf.DUMMYFUNCTION("""COMPUTED_VALUE"""),5858017.0)</f>
        <v>5858017</v>
      </c>
    </row>
    <row r="844">
      <c r="A844" s="2">
        <f>IFERROR(__xludf.DUMMYFUNCTION("""COMPUTED_VALUE"""),45065.66666666667)</f>
        <v>45065.66667</v>
      </c>
      <c r="B844" s="1">
        <f>IFERROR(__xludf.DUMMYFUNCTION("""COMPUTED_VALUE"""),13.6)</f>
        <v>13.6</v>
      </c>
      <c r="C844" s="1">
        <f>IFERROR(__xludf.DUMMYFUNCTION("""COMPUTED_VALUE"""),17.17)</f>
        <v>17.17</v>
      </c>
      <c r="D844" s="1">
        <f>IFERROR(__xludf.DUMMYFUNCTION("""COMPUTED_VALUE"""),13.56)</f>
        <v>13.56</v>
      </c>
      <c r="E844" s="1">
        <f>IFERROR(__xludf.DUMMYFUNCTION("""COMPUTED_VALUE"""),16.42)</f>
        <v>16.42</v>
      </c>
      <c r="F844" s="1">
        <f>IFERROR(__xludf.DUMMYFUNCTION("""COMPUTED_VALUE"""),1.2098166E7)</f>
        <v>12098166</v>
      </c>
    </row>
    <row r="845">
      <c r="A845" s="2">
        <f>IFERROR(__xludf.DUMMYFUNCTION("""COMPUTED_VALUE"""),45072.66666666667)</f>
        <v>45072.66667</v>
      </c>
      <c r="B845" s="1">
        <f>IFERROR(__xludf.DUMMYFUNCTION("""COMPUTED_VALUE"""),16.42)</f>
        <v>16.42</v>
      </c>
      <c r="C845" s="1">
        <f>IFERROR(__xludf.DUMMYFUNCTION("""COMPUTED_VALUE"""),22.77)</f>
        <v>22.77</v>
      </c>
      <c r="D845" s="1">
        <f>IFERROR(__xludf.DUMMYFUNCTION("""COMPUTED_VALUE"""),15.83)</f>
        <v>15.83</v>
      </c>
      <c r="E845" s="1">
        <f>IFERROR(__xludf.DUMMYFUNCTION("""COMPUTED_VALUE"""),21.92)</f>
        <v>21.92</v>
      </c>
      <c r="F845" s="1">
        <f>IFERROR(__xludf.DUMMYFUNCTION("""COMPUTED_VALUE"""),1.6868855E7)</f>
        <v>16868855</v>
      </c>
    </row>
    <row r="846">
      <c r="A846" s="2">
        <f>IFERROR(__xludf.DUMMYFUNCTION("""COMPUTED_VALUE"""),45079.66666666667)</f>
        <v>45079.66667</v>
      </c>
      <c r="B846" s="1">
        <f>IFERROR(__xludf.DUMMYFUNCTION("""COMPUTED_VALUE"""),22.8)</f>
        <v>22.8</v>
      </c>
      <c r="C846" s="1">
        <f>IFERROR(__xludf.DUMMYFUNCTION("""COMPUTED_VALUE"""),24.3)</f>
        <v>24.3</v>
      </c>
      <c r="D846" s="1">
        <f>IFERROR(__xludf.DUMMYFUNCTION("""COMPUTED_VALUE"""),21.6)</f>
        <v>21.6</v>
      </c>
      <c r="E846" s="1">
        <f>IFERROR(__xludf.DUMMYFUNCTION("""COMPUTED_VALUE"""),22.19)</f>
        <v>22.19</v>
      </c>
      <c r="F846" s="1">
        <f>IFERROR(__xludf.DUMMYFUNCTION("""COMPUTED_VALUE"""),1.4946484E7)</f>
        <v>14946484</v>
      </c>
    </row>
    <row r="847">
      <c r="A847" s="2">
        <f>IFERROR(__xludf.DUMMYFUNCTION("""COMPUTED_VALUE"""),45086.66666666667)</f>
        <v>45086.66667</v>
      </c>
      <c r="B847" s="1">
        <f>IFERROR(__xludf.DUMMYFUNCTION("""COMPUTED_VALUE"""),21.91)</f>
        <v>21.91</v>
      </c>
      <c r="C847" s="1">
        <f>IFERROR(__xludf.DUMMYFUNCTION("""COMPUTED_VALUE"""),27.02)</f>
        <v>27.02</v>
      </c>
      <c r="D847" s="1">
        <f>IFERROR(__xludf.DUMMYFUNCTION("""COMPUTED_VALUE"""),21.7)</f>
        <v>21.7</v>
      </c>
      <c r="E847" s="1">
        <f>IFERROR(__xludf.DUMMYFUNCTION("""COMPUTED_VALUE"""),26.17)</f>
        <v>26.17</v>
      </c>
      <c r="F847" s="1">
        <f>IFERROR(__xludf.DUMMYFUNCTION("""COMPUTED_VALUE"""),1.5531022E7)</f>
        <v>15531022</v>
      </c>
    </row>
    <row r="848">
      <c r="A848" s="2">
        <f>IFERROR(__xludf.DUMMYFUNCTION("""COMPUTED_VALUE"""),45093.66666666667)</f>
        <v>45093.66667</v>
      </c>
      <c r="B848" s="1">
        <f>IFERROR(__xludf.DUMMYFUNCTION("""COMPUTED_VALUE"""),26.47)</f>
        <v>26.47</v>
      </c>
      <c r="C848" s="1">
        <f>IFERROR(__xludf.DUMMYFUNCTION("""COMPUTED_VALUE"""),26.64)</f>
        <v>26.64</v>
      </c>
      <c r="D848" s="1">
        <f>IFERROR(__xludf.DUMMYFUNCTION("""COMPUTED_VALUE"""),23.04)</f>
        <v>23.04</v>
      </c>
      <c r="E848" s="1">
        <f>IFERROR(__xludf.DUMMYFUNCTION("""COMPUTED_VALUE"""),23.08)</f>
        <v>23.08</v>
      </c>
      <c r="F848" s="1">
        <f>IFERROR(__xludf.DUMMYFUNCTION("""COMPUTED_VALUE"""),1.5870108E7)</f>
        <v>15870108</v>
      </c>
    </row>
    <row r="849">
      <c r="A849" s="2">
        <f>IFERROR(__xludf.DUMMYFUNCTION("""COMPUTED_VALUE"""),45100.66666666667)</f>
        <v>45100.66667</v>
      </c>
      <c r="B849" s="1">
        <f>IFERROR(__xludf.DUMMYFUNCTION("""COMPUTED_VALUE"""),22.73)</f>
        <v>22.73</v>
      </c>
      <c r="C849" s="1">
        <f>IFERROR(__xludf.DUMMYFUNCTION("""COMPUTED_VALUE"""),24.2)</f>
        <v>24.2</v>
      </c>
      <c r="D849" s="1">
        <f>IFERROR(__xludf.DUMMYFUNCTION("""COMPUTED_VALUE"""),21.42)</f>
        <v>21.42</v>
      </c>
      <c r="E849" s="1">
        <f>IFERROR(__xludf.DUMMYFUNCTION("""COMPUTED_VALUE"""),21.61)</f>
        <v>21.61</v>
      </c>
      <c r="F849" s="1">
        <f>IFERROR(__xludf.DUMMYFUNCTION("""COMPUTED_VALUE"""),1.242197E7)</f>
        <v>12421970</v>
      </c>
    </row>
    <row r="850">
      <c r="A850" s="2">
        <f>IFERROR(__xludf.DUMMYFUNCTION("""COMPUTED_VALUE"""),45107.66666666667)</f>
        <v>45107.66667</v>
      </c>
      <c r="B850" s="1">
        <f>IFERROR(__xludf.DUMMYFUNCTION("""COMPUTED_VALUE"""),21.97)</f>
        <v>21.97</v>
      </c>
      <c r="C850" s="1">
        <f>IFERROR(__xludf.DUMMYFUNCTION("""COMPUTED_VALUE"""),25.4)</f>
        <v>25.4</v>
      </c>
      <c r="D850" s="1">
        <f>IFERROR(__xludf.DUMMYFUNCTION("""COMPUTED_VALUE"""),21.31)</f>
        <v>21.31</v>
      </c>
      <c r="E850" s="1">
        <f>IFERROR(__xludf.DUMMYFUNCTION("""COMPUTED_VALUE"""),24.93)</f>
        <v>24.93</v>
      </c>
      <c r="F850" s="1">
        <f>IFERROR(__xludf.DUMMYFUNCTION("""COMPUTED_VALUE"""),1.3219336E7)</f>
        <v>13219336</v>
      </c>
    </row>
    <row r="851">
      <c r="A851" s="2">
        <f>IFERROR(__xludf.DUMMYFUNCTION("""COMPUTED_VALUE"""),45114.66666666667)</f>
        <v>45114.66667</v>
      </c>
      <c r="B851" s="1">
        <f>IFERROR(__xludf.DUMMYFUNCTION("""COMPUTED_VALUE"""),25.49)</f>
        <v>25.49</v>
      </c>
      <c r="C851" s="1">
        <f>IFERROR(__xludf.DUMMYFUNCTION("""COMPUTED_VALUE"""),26.78)</f>
        <v>26.78</v>
      </c>
      <c r="D851" s="1">
        <f>IFERROR(__xludf.DUMMYFUNCTION("""COMPUTED_VALUE"""),24.51)</f>
        <v>24.51</v>
      </c>
      <c r="E851" s="1">
        <f>IFERROR(__xludf.DUMMYFUNCTION("""COMPUTED_VALUE"""),26.0)</f>
        <v>26</v>
      </c>
      <c r="F851" s="1">
        <f>IFERROR(__xludf.DUMMYFUNCTION("""COMPUTED_VALUE"""),8403304.0)</f>
        <v>8403304</v>
      </c>
    </row>
    <row r="852">
      <c r="A852" s="2">
        <f>IFERROR(__xludf.DUMMYFUNCTION("""COMPUTED_VALUE"""),45121.66666666667)</f>
        <v>45121.66667</v>
      </c>
      <c r="B852" s="1">
        <f>IFERROR(__xludf.DUMMYFUNCTION("""COMPUTED_VALUE"""),26.2)</f>
        <v>26.2</v>
      </c>
      <c r="C852" s="1">
        <f>IFERROR(__xludf.DUMMYFUNCTION("""COMPUTED_VALUE"""),30.69)</f>
        <v>30.69</v>
      </c>
      <c r="D852" s="1">
        <f>IFERROR(__xludf.DUMMYFUNCTION("""COMPUTED_VALUE"""),25.33)</f>
        <v>25.33</v>
      </c>
      <c r="E852" s="1">
        <f>IFERROR(__xludf.DUMMYFUNCTION("""COMPUTED_VALUE"""),29.54)</f>
        <v>29.54</v>
      </c>
      <c r="F852" s="1">
        <f>IFERROR(__xludf.DUMMYFUNCTION("""COMPUTED_VALUE"""),1.5040156E7)</f>
        <v>15040156</v>
      </c>
    </row>
    <row r="853">
      <c r="A853" s="2">
        <f>IFERROR(__xludf.DUMMYFUNCTION("""COMPUTED_VALUE"""),45128.66666666667)</f>
        <v>45128.66667</v>
      </c>
      <c r="B853" s="1">
        <f>IFERROR(__xludf.DUMMYFUNCTION("""COMPUTED_VALUE"""),29.91)</f>
        <v>29.91</v>
      </c>
      <c r="C853" s="1">
        <f>IFERROR(__xludf.DUMMYFUNCTION("""COMPUTED_VALUE"""),32.91)</f>
        <v>32.91</v>
      </c>
      <c r="D853" s="1">
        <f>IFERROR(__xludf.DUMMYFUNCTION("""COMPUTED_VALUE"""),28.13)</f>
        <v>28.13</v>
      </c>
      <c r="E853" s="1">
        <f>IFERROR(__xludf.DUMMYFUNCTION("""COMPUTED_VALUE"""),30.32)</f>
        <v>30.32</v>
      </c>
      <c r="F853" s="1">
        <f>IFERROR(__xludf.DUMMYFUNCTION("""COMPUTED_VALUE"""),1.8566753E7)</f>
        <v>18566753</v>
      </c>
    </row>
    <row r="854">
      <c r="A854" s="2">
        <f>IFERROR(__xludf.DUMMYFUNCTION("""COMPUTED_VALUE"""),45135.66666666667)</f>
        <v>45135.66667</v>
      </c>
      <c r="B854" s="1">
        <f>IFERROR(__xludf.DUMMYFUNCTION("""COMPUTED_VALUE"""),30.35)</f>
        <v>30.35</v>
      </c>
      <c r="C854" s="1">
        <f>IFERROR(__xludf.DUMMYFUNCTION("""COMPUTED_VALUE"""),33.78)</f>
        <v>33.78</v>
      </c>
      <c r="D854" s="1">
        <f>IFERROR(__xludf.DUMMYFUNCTION("""COMPUTED_VALUE"""),29.47)</f>
        <v>29.47</v>
      </c>
      <c r="E854" s="1">
        <f>IFERROR(__xludf.DUMMYFUNCTION("""COMPUTED_VALUE"""),33.45)</f>
        <v>33.45</v>
      </c>
      <c r="F854" s="1">
        <f>IFERROR(__xludf.DUMMYFUNCTION("""COMPUTED_VALUE"""),1.2887692E7)</f>
        <v>12887692</v>
      </c>
    </row>
    <row r="855">
      <c r="A855" s="2">
        <f>IFERROR(__xludf.DUMMYFUNCTION("""COMPUTED_VALUE"""),45142.66666666667)</f>
        <v>45142.66667</v>
      </c>
      <c r="B855" s="1">
        <f>IFERROR(__xludf.DUMMYFUNCTION("""COMPUTED_VALUE"""),33.52)</f>
        <v>33.52</v>
      </c>
      <c r="C855" s="1">
        <f>IFERROR(__xludf.DUMMYFUNCTION("""COMPUTED_VALUE"""),34.8)</f>
        <v>34.8</v>
      </c>
      <c r="D855" s="1">
        <f>IFERROR(__xludf.DUMMYFUNCTION("""COMPUTED_VALUE"""),31.2)</f>
        <v>31.2</v>
      </c>
      <c r="E855" s="1">
        <f>IFERROR(__xludf.DUMMYFUNCTION("""COMPUTED_VALUE"""),33.81)</f>
        <v>33.81</v>
      </c>
      <c r="F855" s="1">
        <f>IFERROR(__xludf.DUMMYFUNCTION("""COMPUTED_VALUE"""),1.2176964E7)</f>
        <v>12176964</v>
      </c>
    </row>
    <row r="856">
      <c r="A856" s="2">
        <f>IFERROR(__xludf.DUMMYFUNCTION("""COMPUTED_VALUE"""),45149.66666666667)</f>
        <v>45149.66667</v>
      </c>
      <c r="B856" s="1">
        <f>IFERROR(__xludf.DUMMYFUNCTION("""COMPUTED_VALUE"""),35.2)</f>
        <v>35.2</v>
      </c>
      <c r="C856" s="1">
        <f>IFERROR(__xludf.DUMMYFUNCTION("""COMPUTED_VALUE"""),35.7)</f>
        <v>35.7</v>
      </c>
      <c r="D856" s="1">
        <f>IFERROR(__xludf.DUMMYFUNCTION("""COMPUTED_VALUE"""),25.05)</f>
        <v>25.05</v>
      </c>
      <c r="E856" s="1">
        <f>IFERROR(__xludf.DUMMYFUNCTION("""COMPUTED_VALUE"""),25.44)</f>
        <v>25.44</v>
      </c>
      <c r="F856" s="1">
        <f>IFERROR(__xludf.DUMMYFUNCTION("""COMPUTED_VALUE"""),3.0809067E7)</f>
        <v>30809067</v>
      </c>
    </row>
    <row r="857">
      <c r="A857" s="2">
        <f>IFERROR(__xludf.DUMMYFUNCTION("""COMPUTED_VALUE"""),45156.66666666667)</f>
        <v>45156.66667</v>
      </c>
      <c r="B857" s="1">
        <f>IFERROR(__xludf.DUMMYFUNCTION("""COMPUTED_VALUE"""),25.04)</f>
        <v>25.04</v>
      </c>
      <c r="C857" s="1">
        <f>IFERROR(__xludf.DUMMYFUNCTION("""COMPUTED_VALUE"""),27.26)</f>
        <v>27.26</v>
      </c>
      <c r="D857" s="1">
        <f>IFERROR(__xludf.DUMMYFUNCTION("""COMPUTED_VALUE"""),23.51)</f>
        <v>23.51</v>
      </c>
      <c r="E857" s="1">
        <f>IFERROR(__xludf.DUMMYFUNCTION("""COMPUTED_VALUE"""),24.36)</f>
        <v>24.36</v>
      </c>
      <c r="F857" s="1">
        <f>IFERROR(__xludf.DUMMYFUNCTION("""COMPUTED_VALUE"""),1.505301E7)</f>
        <v>15053010</v>
      </c>
    </row>
    <row r="858">
      <c r="A858" s="2">
        <f>IFERROR(__xludf.DUMMYFUNCTION("""COMPUTED_VALUE"""),45163.66666666667)</f>
        <v>45163.66667</v>
      </c>
      <c r="B858" s="1">
        <f>IFERROR(__xludf.DUMMYFUNCTION("""COMPUTED_VALUE"""),24.45)</f>
        <v>24.45</v>
      </c>
      <c r="C858" s="1">
        <f>IFERROR(__xludf.DUMMYFUNCTION("""COMPUTED_VALUE"""),29.84)</f>
        <v>29.84</v>
      </c>
      <c r="D858" s="1">
        <f>IFERROR(__xludf.DUMMYFUNCTION("""COMPUTED_VALUE"""),24.23)</f>
        <v>24.23</v>
      </c>
      <c r="E858" s="1">
        <f>IFERROR(__xludf.DUMMYFUNCTION("""COMPUTED_VALUE"""),25.4)</f>
        <v>25.4</v>
      </c>
      <c r="F858" s="1">
        <f>IFERROR(__xludf.DUMMYFUNCTION("""COMPUTED_VALUE"""),1.9787095E7)</f>
        <v>19787095</v>
      </c>
    </row>
    <row r="859">
      <c r="A859" s="2">
        <f>IFERROR(__xludf.DUMMYFUNCTION("""COMPUTED_VALUE"""),45170.66666666667)</f>
        <v>45170.66667</v>
      </c>
      <c r="B859" s="1">
        <f>IFERROR(__xludf.DUMMYFUNCTION("""COMPUTED_VALUE"""),25.74)</f>
        <v>25.74</v>
      </c>
      <c r="C859" s="1">
        <f>IFERROR(__xludf.DUMMYFUNCTION("""COMPUTED_VALUE"""),28.33)</f>
        <v>28.33</v>
      </c>
      <c r="D859" s="1">
        <f>IFERROR(__xludf.DUMMYFUNCTION("""COMPUTED_VALUE"""),25.1)</f>
        <v>25.1</v>
      </c>
      <c r="E859" s="1">
        <f>IFERROR(__xludf.DUMMYFUNCTION("""COMPUTED_VALUE"""),28.22)</f>
        <v>28.22</v>
      </c>
      <c r="F859" s="1">
        <f>IFERROR(__xludf.DUMMYFUNCTION("""COMPUTED_VALUE"""),1.9485852E7)</f>
        <v>19485852</v>
      </c>
    </row>
    <row r="860">
      <c r="A860" s="2">
        <f>IFERROR(__xludf.DUMMYFUNCTION("""COMPUTED_VALUE"""),45177.66666666667)</f>
        <v>45177.66667</v>
      </c>
      <c r="B860" s="1">
        <f>IFERROR(__xludf.DUMMYFUNCTION("""COMPUTED_VALUE"""),27.94)</f>
        <v>27.94</v>
      </c>
      <c r="C860" s="1">
        <f>IFERROR(__xludf.DUMMYFUNCTION("""COMPUTED_VALUE"""),28.69)</f>
        <v>28.69</v>
      </c>
      <c r="D860" s="1">
        <f>IFERROR(__xludf.DUMMYFUNCTION("""COMPUTED_VALUE"""),25.42)</f>
        <v>25.42</v>
      </c>
      <c r="E860" s="1">
        <f>IFERROR(__xludf.DUMMYFUNCTION("""COMPUTED_VALUE"""),28.07)</f>
        <v>28.07</v>
      </c>
      <c r="F860" s="1">
        <f>IFERROR(__xludf.DUMMYFUNCTION("""COMPUTED_VALUE"""),1.1681743E7)</f>
        <v>11681743</v>
      </c>
    </row>
    <row r="861">
      <c r="A861" s="2">
        <f>IFERROR(__xludf.DUMMYFUNCTION("""COMPUTED_VALUE"""),45184.66666666667)</f>
        <v>45184.66667</v>
      </c>
      <c r="B861" s="1">
        <f>IFERROR(__xludf.DUMMYFUNCTION("""COMPUTED_VALUE"""),28.55)</f>
        <v>28.55</v>
      </c>
      <c r="C861" s="1">
        <f>IFERROR(__xludf.DUMMYFUNCTION("""COMPUTED_VALUE"""),28.77)</f>
        <v>28.77</v>
      </c>
      <c r="D861" s="1">
        <f>IFERROR(__xludf.DUMMYFUNCTION("""COMPUTED_VALUE"""),24.72)</f>
        <v>24.72</v>
      </c>
      <c r="E861" s="1">
        <f>IFERROR(__xludf.DUMMYFUNCTION("""COMPUTED_VALUE"""),24.93)</f>
        <v>24.93</v>
      </c>
      <c r="F861" s="1">
        <f>IFERROR(__xludf.DUMMYFUNCTION("""COMPUTED_VALUE"""),1.4740831E7)</f>
        <v>14740831</v>
      </c>
    </row>
    <row r="862">
      <c r="A862" s="2">
        <f>IFERROR(__xludf.DUMMYFUNCTION("""COMPUTED_VALUE"""),45191.66666666667)</f>
        <v>45191.66667</v>
      </c>
      <c r="B862" s="1">
        <f>IFERROR(__xludf.DUMMYFUNCTION("""COMPUTED_VALUE"""),24.1)</f>
        <v>24.1</v>
      </c>
      <c r="C862" s="1">
        <f>IFERROR(__xludf.DUMMYFUNCTION("""COMPUTED_VALUE"""),25.47)</f>
        <v>25.47</v>
      </c>
      <c r="D862" s="1">
        <f>IFERROR(__xludf.DUMMYFUNCTION("""COMPUTED_VALUE"""),22.83)</f>
        <v>22.83</v>
      </c>
      <c r="E862" s="1">
        <f>IFERROR(__xludf.DUMMYFUNCTION("""COMPUTED_VALUE"""),23.58)</f>
        <v>23.58</v>
      </c>
      <c r="F862" s="1">
        <f>IFERROR(__xludf.DUMMYFUNCTION("""COMPUTED_VALUE"""),1.0369178E7)</f>
        <v>10369178</v>
      </c>
    </row>
    <row r="863">
      <c r="A863" s="2">
        <f>IFERROR(__xludf.DUMMYFUNCTION("""COMPUTED_VALUE"""),45198.66666666667)</f>
        <v>45198.66667</v>
      </c>
      <c r="B863" s="1">
        <f>IFERROR(__xludf.DUMMYFUNCTION("""COMPUTED_VALUE"""),23.4)</f>
        <v>23.4</v>
      </c>
      <c r="C863" s="1">
        <f>IFERROR(__xludf.DUMMYFUNCTION("""COMPUTED_VALUE"""),28.36)</f>
        <v>28.36</v>
      </c>
      <c r="D863" s="1">
        <f>IFERROR(__xludf.DUMMYFUNCTION("""COMPUTED_VALUE"""),23.34)</f>
        <v>23.34</v>
      </c>
      <c r="E863" s="1">
        <f>IFERROR(__xludf.DUMMYFUNCTION("""COMPUTED_VALUE"""),27.42)</f>
        <v>27.42</v>
      </c>
      <c r="F863" s="1">
        <f>IFERROR(__xludf.DUMMYFUNCTION("""COMPUTED_VALUE"""),1.3428645E7)</f>
        <v>13428645</v>
      </c>
    </row>
    <row r="864">
      <c r="A864" s="2">
        <f>IFERROR(__xludf.DUMMYFUNCTION("""COMPUTED_VALUE"""),45205.66666666667)</f>
        <v>45205.66667</v>
      </c>
      <c r="B864" s="1">
        <f>IFERROR(__xludf.DUMMYFUNCTION("""COMPUTED_VALUE"""),27.5)</f>
        <v>27.5</v>
      </c>
      <c r="C864" s="1">
        <f>IFERROR(__xludf.DUMMYFUNCTION("""COMPUTED_VALUE"""),29.44)</f>
        <v>29.44</v>
      </c>
      <c r="D864" s="1">
        <f>IFERROR(__xludf.DUMMYFUNCTION("""COMPUTED_VALUE"""),26.63)</f>
        <v>26.63</v>
      </c>
      <c r="E864" s="1">
        <f>IFERROR(__xludf.DUMMYFUNCTION("""COMPUTED_VALUE"""),28.97)</f>
        <v>28.97</v>
      </c>
      <c r="F864" s="1">
        <f>IFERROR(__xludf.DUMMYFUNCTION("""COMPUTED_VALUE"""),1.6054666E7)</f>
        <v>16054666</v>
      </c>
    </row>
    <row r="865">
      <c r="A865" s="2">
        <f>IFERROR(__xludf.DUMMYFUNCTION("""COMPUTED_VALUE"""),45212.66666666667)</f>
        <v>45212.66667</v>
      </c>
      <c r="B865" s="1">
        <f>IFERROR(__xludf.DUMMYFUNCTION("""COMPUTED_VALUE"""),28.4)</f>
        <v>28.4</v>
      </c>
      <c r="C865" s="1">
        <f>IFERROR(__xludf.DUMMYFUNCTION("""COMPUTED_VALUE"""),31.75)</f>
        <v>31.75</v>
      </c>
      <c r="D865" s="1">
        <f>IFERROR(__xludf.DUMMYFUNCTION("""COMPUTED_VALUE"""),27.66)</f>
        <v>27.66</v>
      </c>
      <c r="E865" s="1">
        <f>IFERROR(__xludf.DUMMYFUNCTION("""COMPUTED_VALUE"""),28.52)</f>
        <v>28.52</v>
      </c>
      <c r="F865" s="1">
        <f>IFERROR(__xludf.DUMMYFUNCTION("""COMPUTED_VALUE"""),1.9122629E7)</f>
        <v>19122629</v>
      </c>
    </row>
    <row r="866">
      <c r="A866" s="2">
        <f>IFERROR(__xludf.DUMMYFUNCTION("""COMPUTED_VALUE"""),45219.66666666667)</f>
        <v>45219.66667</v>
      </c>
      <c r="B866" s="1">
        <f>IFERROR(__xludf.DUMMYFUNCTION("""COMPUTED_VALUE"""),28.48)</f>
        <v>28.48</v>
      </c>
      <c r="C866" s="1">
        <f>IFERROR(__xludf.DUMMYFUNCTION("""COMPUTED_VALUE"""),30.06)</f>
        <v>30.06</v>
      </c>
      <c r="D866" s="1">
        <f>IFERROR(__xludf.DUMMYFUNCTION("""COMPUTED_VALUE"""),24.8)</f>
        <v>24.8</v>
      </c>
      <c r="E866" s="1">
        <f>IFERROR(__xludf.DUMMYFUNCTION("""COMPUTED_VALUE"""),24.86)</f>
        <v>24.86</v>
      </c>
      <c r="F866" s="1">
        <f>IFERROR(__xludf.DUMMYFUNCTION("""COMPUTED_VALUE"""),1.7554601E7)</f>
        <v>17554601</v>
      </c>
    </row>
    <row r="867">
      <c r="A867" s="2">
        <f>IFERROR(__xludf.DUMMYFUNCTION("""COMPUTED_VALUE"""),45226.66666666667)</f>
        <v>45226.66667</v>
      </c>
      <c r="B867" s="1">
        <f>IFERROR(__xludf.DUMMYFUNCTION("""COMPUTED_VALUE"""),24.62)</f>
        <v>24.62</v>
      </c>
      <c r="C867" s="1">
        <f>IFERROR(__xludf.DUMMYFUNCTION("""COMPUTED_VALUE"""),26.67)</f>
        <v>26.67</v>
      </c>
      <c r="D867" s="1">
        <f>IFERROR(__xludf.DUMMYFUNCTION("""COMPUTED_VALUE"""),23.47)</f>
        <v>23.47</v>
      </c>
      <c r="E867" s="1">
        <f>IFERROR(__xludf.DUMMYFUNCTION("""COMPUTED_VALUE"""),24.14)</f>
        <v>24.14</v>
      </c>
      <c r="F867" s="1">
        <f>IFERROR(__xludf.DUMMYFUNCTION("""COMPUTED_VALUE"""),1.2615843E7)</f>
        <v>12615843</v>
      </c>
    </row>
    <row r="868">
      <c r="A868" s="2">
        <f>IFERROR(__xludf.DUMMYFUNCTION("""COMPUTED_VALUE"""),45233.66666666667)</f>
        <v>45233.66667</v>
      </c>
      <c r="B868" s="1">
        <f>IFERROR(__xludf.DUMMYFUNCTION("""COMPUTED_VALUE"""),24.59)</f>
        <v>24.59</v>
      </c>
      <c r="C868" s="1">
        <f>IFERROR(__xludf.DUMMYFUNCTION("""COMPUTED_VALUE"""),26.86)</f>
        <v>26.86</v>
      </c>
      <c r="D868" s="1">
        <f>IFERROR(__xludf.DUMMYFUNCTION("""COMPUTED_VALUE"""),22.66)</f>
        <v>22.66</v>
      </c>
      <c r="E868" s="1">
        <f>IFERROR(__xludf.DUMMYFUNCTION("""COMPUTED_VALUE"""),25.5)</f>
        <v>25.5</v>
      </c>
      <c r="F868" s="1">
        <f>IFERROR(__xludf.DUMMYFUNCTION("""COMPUTED_VALUE"""),2.0844681E7)</f>
        <v>20844681</v>
      </c>
    </row>
    <row r="869">
      <c r="A869" s="2">
        <f>IFERROR(__xludf.DUMMYFUNCTION("""COMPUTED_VALUE"""),45240.66666666667)</f>
        <v>45240.66667</v>
      </c>
      <c r="B869" s="1">
        <f>IFERROR(__xludf.DUMMYFUNCTION("""COMPUTED_VALUE"""),25.77)</f>
        <v>25.77</v>
      </c>
      <c r="C869" s="1">
        <f>IFERROR(__xludf.DUMMYFUNCTION("""COMPUTED_VALUE"""),28.02)</f>
        <v>28.02</v>
      </c>
      <c r="D869" s="1">
        <f>IFERROR(__xludf.DUMMYFUNCTION("""COMPUTED_VALUE"""),24.92)</f>
        <v>24.92</v>
      </c>
      <c r="E869" s="1">
        <f>IFERROR(__xludf.DUMMYFUNCTION("""COMPUTED_VALUE"""),26.6)</f>
        <v>26.6</v>
      </c>
      <c r="F869" s="1">
        <f>IFERROR(__xludf.DUMMYFUNCTION("""COMPUTED_VALUE"""),1.3134752E7)</f>
        <v>13134752</v>
      </c>
    </row>
    <row r="870">
      <c r="A870" s="2">
        <f>IFERROR(__xludf.DUMMYFUNCTION("""COMPUTED_VALUE"""),45247.66666666667)</f>
        <v>45247.66667</v>
      </c>
      <c r="B870" s="1">
        <f>IFERROR(__xludf.DUMMYFUNCTION("""COMPUTED_VALUE"""),26.48)</f>
        <v>26.48</v>
      </c>
      <c r="C870" s="1">
        <f>IFERROR(__xludf.DUMMYFUNCTION("""COMPUTED_VALUE"""),29.75)</f>
        <v>29.75</v>
      </c>
      <c r="D870" s="1">
        <f>IFERROR(__xludf.DUMMYFUNCTION("""COMPUTED_VALUE"""),25.31)</f>
        <v>25.31</v>
      </c>
      <c r="E870" s="1">
        <f>IFERROR(__xludf.DUMMYFUNCTION("""COMPUTED_VALUE"""),28.86)</f>
        <v>28.86</v>
      </c>
      <c r="F870" s="1">
        <f>IFERROR(__xludf.DUMMYFUNCTION("""COMPUTED_VALUE"""),1.7015639E7)</f>
        <v>17015639</v>
      </c>
    </row>
    <row r="871">
      <c r="A871" s="2">
        <f>IFERROR(__xludf.DUMMYFUNCTION("""COMPUTED_VALUE"""),45254.54513888889)</f>
        <v>45254.54514</v>
      </c>
      <c r="B871" s="1">
        <f>IFERROR(__xludf.DUMMYFUNCTION("""COMPUTED_VALUE"""),28.9)</f>
        <v>28.9</v>
      </c>
      <c r="C871" s="1">
        <f>IFERROR(__xludf.DUMMYFUNCTION("""COMPUTED_VALUE"""),30.59)</f>
        <v>30.59</v>
      </c>
      <c r="D871" s="1">
        <f>IFERROR(__xludf.DUMMYFUNCTION("""COMPUTED_VALUE"""),27.65)</f>
        <v>27.65</v>
      </c>
      <c r="E871" s="1">
        <f>IFERROR(__xludf.DUMMYFUNCTION("""COMPUTED_VALUE"""),28.57)</f>
        <v>28.57</v>
      </c>
      <c r="F871" s="1">
        <f>IFERROR(__xludf.DUMMYFUNCTION("""COMPUTED_VALUE"""),1.0739669E7)</f>
        <v>10739669</v>
      </c>
    </row>
    <row r="872">
      <c r="A872" s="2">
        <f>IFERROR(__xludf.DUMMYFUNCTION("""COMPUTED_VALUE"""),45261.66666666667)</f>
        <v>45261.66667</v>
      </c>
      <c r="B872" s="1">
        <f>IFERROR(__xludf.DUMMYFUNCTION("""COMPUTED_VALUE"""),28.41)</f>
        <v>28.41</v>
      </c>
      <c r="C872" s="1">
        <f>IFERROR(__xludf.DUMMYFUNCTION("""COMPUTED_VALUE"""),30.65)</f>
        <v>30.65</v>
      </c>
      <c r="D872" s="1">
        <f>IFERROR(__xludf.DUMMYFUNCTION("""COMPUTED_VALUE"""),26.03)</f>
        <v>26.03</v>
      </c>
      <c r="E872" s="1">
        <f>IFERROR(__xludf.DUMMYFUNCTION("""COMPUTED_VALUE"""),26.96)</f>
        <v>26.96</v>
      </c>
      <c r="F872" s="1">
        <f>IFERROR(__xludf.DUMMYFUNCTION("""COMPUTED_VALUE"""),1.6734358E7)</f>
        <v>16734358</v>
      </c>
    </row>
    <row r="873">
      <c r="A873" s="2">
        <f>IFERROR(__xludf.DUMMYFUNCTION("""COMPUTED_VALUE"""),45268.66666666667)</f>
        <v>45268.66667</v>
      </c>
      <c r="B873" s="1">
        <f>IFERROR(__xludf.DUMMYFUNCTION("""COMPUTED_VALUE"""),26.72)</f>
        <v>26.72</v>
      </c>
      <c r="C873" s="1">
        <f>IFERROR(__xludf.DUMMYFUNCTION("""COMPUTED_VALUE"""),27.42)</f>
        <v>27.42</v>
      </c>
      <c r="D873" s="1">
        <f>IFERROR(__xludf.DUMMYFUNCTION("""COMPUTED_VALUE"""),25.13)</f>
        <v>25.13</v>
      </c>
      <c r="E873" s="1">
        <f>IFERROR(__xludf.DUMMYFUNCTION("""COMPUTED_VALUE"""),27.27)</f>
        <v>27.27</v>
      </c>
      <c r="F873" s="1">
        <f>IFERROR(__xludf.DUMMYFUNCTION("""COMPUTED_VALUE"""),1.3936674E7)</f>
        <v>13936674</v>
      </c>
    </row>
    <row r="874">
      <c r="A874" s="2">
        <f>IFERROR(__xludf.DUMMYFUNCTION("""COMPUTED_VALUE"""),45275.66666666667)</f>
        <v>45275.66667</v>
      </c>
      <c r="B874" s="1">
        <f>IFERROR(__xludf.DUMMYFUNCTION("""COMPUTED_VALUE"""),26.3)</f>
        <v>26.3</v>
      </c>
      <c r="C874" s="1">
        <f>IFERROR(__xludf.DUMMYFUNCTION("""COMPUTED_VALUE"""),30.19)</f>
        <v>30.19</v>
      </c>
      <c r="D874" s="1">
        <f>IFERROR(__xludf.DUMMYFUNCTION("""COMPUTED_VALUE"""),25.7)</f>
        <v>25.7</v>
      </c>
      <c r="E874" s="1">
        <f>IFERROR(__xludf.DUMMYFUNCTION("""COMPUTED_VALUE"""),30.01)</f>
        <v>30.01</v>
      </c>
      <c r="F874" s="1">
        <f>IFERROR(__xludf.DUMMYFUNCTION("""COMPUTED_VALUE"""),1.6346858E7)</f>
        <v>16346858</v>
      </c>
    </row>
    <row r="875">
      <c r="A875" s="2">
        <f>IFERROR(__xludf.DUMMYFUNCTION("""COMPUTED_VALUE"""),45282.66666666667)</f>
        <v>45282.66667</v>
      </c>
      <c r="B875" s="1">
        <f>IFERROR(__xludf.DUMMYFUNCTION("""COMPUTED_VALUE"""),30.44)</f>
        <v>30.44</v>
      </c>
      <c r="C875" s="1">
        <f>IFERROR(__xludf.DUMMYFUNCTION("""COMPUTED_VALUE"""),32.76)</f>
        <v>32.76</v>
      </c>
      <c r="D875" s="1">
        <f>IFERROR(__xludf.DUMMYFUNCTION("""COMPUTED_VALUE"""),28.51)</f>
        <v>28.51</v>
      </c>
      <c r="E875" s="1">
        <f>IFERROR(__xludf.DUMMYFUNCTION("""COMPUTED_VALUE"""),28.97)</f>
        <v>28.97</v>
      </c>
      <c r="F875" s="1">
        <f>IFERROR(__xludf.DUMMYFUNCTION("""COMPUTED_VALUE"""),1.9826132E7)</f>
        <v>19826132</v>
      </c>
    </row>
    <row r="876">
      <c r="A876" s="2">
        <f>IFERROR(__xludf.DUMMYFUNCTION("""COMPUTED_VALUE"""),45289.66666666667)</f>
        <v>45289.66667</v>
      </c>
      <c r="B876" s="1">
        <f>IFERROR(__xludf.DUMMYFUNCTION("""COMPUTED_VALUE"""),29.09)</f>
        <v>29.09</v>
      </c>
      <c r="C876" s="1">
        <f>IFERROR(__xludf.DUMMYFUNCTION("""COMPUTED_VALUE"""),29.9)</f>
        <v>29.9</v>
      </c>
      <c r="D876" s="1">
        <f>IFERROR(__xludf.DUMMYFUNCTION("""COMPUTED_VALUE"""),28.02)</f>
        <v>28.02</v>
      </c>
      <c r="E876" s="1">
        <f>IFERROR(__xludf.DUMMYFUNCTION("""COMPUTED_VALUE"""),28.43)</f>
        <v>28.43</v>
      </c>
      <c r="F876" s="1">
        <f>IFERROR(__xludf.DUMMYFUNCTION("""COMPUTED_VALUE"""),7203281.0)</f>
        <v>7203281</v>
      </c>
    </row>
    <row r="877">
      <c r="A877" s="2">
        <f>IFERROR(__xludf.DUMMYFUNCTION("""COMPUTED_VALUE"""),45296.66666666667)</f>
        <v>45296.66667</v>
      </c>
      <c r="B877" s="1">
        <f>IFERROR(__xludf.DUMMYFUNCTION("""COMPUTED_VALUE"""),28.0)</f>
        <v>28</v>
      </c>
      <c r="C877" s="1">
        <f>IFERROR(__xludf.DUMMYFUNCTION("""COMPUTED_VALUE"""),29.89)</f>
        <v>29.89</v>
      </c>
      <c r="D877" s="1">
        <f>IFERROR(__xludf.DUMMYFUNCTION("""COMPUTED_VALUE"""),27.59)</f>
        <v>27.59</v>
      </c>
      <c r="E877" s="1">
        <f>IFERROR(__xludf.DUMMYFUNCTION("""COMPUTED_VALUE"""),29.21)</f>
        <v>29.21</v>
      </c>
      <c r="F877" s="1">
        <f>IFERROR(__xludf.DUMMYFUNCTION("""COMPUTED_VALUE"""),8235993.0)</f>
        <v>8235993</v>
      </c>
    </row>
    <row r="878">
      <c r="A878" s="2">
        <f>IFERROR(__xludf.DUMMYFUNCTION("""COMPUTED_VALUE"""),45303.66666666667)</f>
        <v>45303.66667</v>
      </c>
      <c r="B878" s="1">
        <f>IFERROR(__xludf.DUMMYFUNCTION("""COMPUTED_VALUE"""),29.49)</f>
        <v>29.49</v>
      </c>
      <c r="C878" s="1">
        <f>IFERROR(__xludf.DUMMYFUNCTION("""COMPUTED_VALUE"""),35.8)</f>
        <v>35.8</v>
      </c>
      <c r="D878" s="1">
        <f>IFERROR(__xludf.DUMMYFUNCTION("""COMPUTED_VALUE"""),29.35)</f>
        <v>29.35</v>
      </c>
      <c r="E878" s="1">
        <f>IFERROR(__xludf.DUMMYFUNCTION("""COMPUTED_VALUE"""),33.96)</f>
        <v>33.96</v>
      </c>
      <c r="F878" s="1">
        <f>IFERROR(__xludf.DUMMYFUNCTION("""COMPUTED_VALUE"""),2.2773469E7)</f>
        <v>22773469</v>
      </c>
    </row>
    <row r="879">
      <c r="A879" s="2">
        <f>IFERROR(__xludf.DUMMYFUNCTION("""COMPUTED_VALUE"""),45310.66666666667)</f>
        <v>45310.66667</v>
      </c>
      <c r="B879" s="1">
        <f>IFERROR(__xludf.DUMMYFUNCTION("""COMPUTED_VALUE"""),34.06)</f>
        <v>34.06</v>
      </c>
      <c r="C879" s="1">
        <f>IFERROR(__xludf.DUMMYFUNCTION("""COMPUTED_VALUE"""),42.87)</f>
        <v>42.87</v>
      </c>
      <c r="D879" s="1">
        <f>IFERROR(__xludf.DUMMYFUNCTION("""COMPUTED_VALUE"""),30.58)</f>
        <v>30.58</v>
      </c>
      <c r="E879" s="1">
        <f>IFERROR(__xludf.DUMMYFUNCTION("""COMPUTED_VALUE"""),42.34)</f>
        <v>42.34</v>
      </c>
      <c r="F879" s="1">
        <f>IFERROR(__xludf.DUMMYFUNCTION("""COMPUTED_VALUE"""),3.630627E7)</f>
        <v>36306270</v>
      </c>
    </row>
    <row r="880">
      <c r="A880" s="2">
        <f>IFERROR(__xludf.DUMMYFUNCTION("""COMPUTED_VALUE"""),45317.66666666667)</f>
        <v>45317.66667</v>
      </c>
      <c r="B880" s="1">
        <f>IFERROR(__xludf.DUMMYFUNCTION("""COMPUTED_VALUE"""),45.64)</f>
        <v>45.64</v>
      </c>
      <c r="C880" s="1">
        <f>IFERROR(__xludf.DUMMYFUNCTION("""COMPUTED_VALUE"""),49.68)</f>
        <v>49.68</v>
      </c>
      <c r="D880" s="1">
        <f>IFERROR(__xludf.DUMMYFUNCTION("""COMPUTED_VALUE"""),41.02)</f>
        <v>41.02</v>
      </c>
      <c r="E880" s="1">
        <f>IFERROR(__xludf.DUMMYFUNCTION("""COMPUTED_VALUE"""),47.42)</f>
        <v>47.42</v>
      </c>
      <c r="F880" s="1">
        <f>IFERROR(__xludf.DUMMYFUNCTION("""COMPUTED_VALUE"""),5.2370305E7)</f>
        <v>52370305</v>
      </c>
    </row>
    <row r="881">
      <c r="A881" s="2">
        <f>IFERROR(__xludf.DUMMYFUNCTION("""COMPUTED_VALUE"""),45324.66666666667)</f>
        <v>45324.66667</v>
      </c>
      <c r="B881" s="1">
        <f>IFERROR(__xludf.DUMMYFUNCTION("""COMPUTED_VALUE"""),47.57)</f>
        <v>47.57</v>
      </c>
      <c r="C881" s="1">
        <f>IFERROR(__xludf.DUMMYFUNCTION("""COMPUTED_VALUE"""),60.6)</f>
        <v>60.6</v>
      </c>
      <c r="D881" s="1">
        <f>IFERROR(__xludf.DUMMYFUNCTION("""COMPUTED_VALUE"""),47.19)</f>
        <v>47.19</v>
      </c>
      <c r="E881" s="1">
        <f>IFERROR(__xludf.DUMMYFUNCTION("""COMPUTED_VALUE"""),57.96)</f>
        <v>57.96</v>
      </c>
      <c r="F881" s="1">
        <f>IFERROR(__xludf.DUMMYFUNCTION("""COMPUTED_VALUE"""),6.7278001E7)</f>
        <v>67278001</v>
      </c>
    </row>
    <row r="882">
      <c r="A882" s="2">
        <f>IFERROR(__xludf.DUMMYFUNCTION("""COMPUTED_VALUE"""),45331.66666666667)</f>
        <v>45331.66667</v>
      </c>
      <c r="B882" s="1">
        <f>IFERROR(__xludf.DUMMYFUNCTION("""COMPUTED_VALUE"""),58.99)</f>
        <v>58.99</v>
      </c>
      <c r="C882" s="1">
        <f>IFERROR(__xludf.DUMMYFUNCTION("""COMPUTED_VALUE"""),74.52)</f>
        <v>74.52</v>
      </c>
      <c r="D882" s="1">
        <f>IFERROR(__xludf.DUMMYFUNCTION("""COMPUTED_VALUE"""),58.8)</f>
        <v>58.8</v>
      </c>
      <c r="E882" s="1">
        <f>IFERROR(__xludf.DUMMYFUNCTION("""COMPUTED_VALUE"""),74.03)</f>
        <v>74.03</v>
      </c>
      <c r="F882" s="1">
        <f>IFERROR(__xludf.DUMMYFUNCTION("""COMPUTED_VALUE"""),6.866687E7)</f>
        <v>68666870</v>
      </c>
    </row>
    <row r="883">
      <c r="A883" s="2">
        <f>IFERROR(__xludf.DUMMYFUNCTION("""COMPUTED_VALUE"""),45338.66666666667)</f>
        <v>45338.66667</v>
      </c>
      <c r="B883" s="1">
        <f>IFERROR(__xludf.DUMMYFUNCTION("""COMPUTED_VALUE"""),76.13)</f>
        <v>76.13</v>
      </c>
      <c r="C883" s="1">
        <f>IFERROR(__xludf.DUMMYFUNCTION("""COMPUTED_VALUE"""),107.79)</f>
        <v>107.79</v>
      </c>
      <c r="D883" s="1">
        <f>IFERROR(__xludf.DUMMYFUNCTION("""COMPUTED_VALUE"""),74.51)</f>
        <v>74.51</v>
      </c>
      <c r="E883" s="1">
        <f>IFERROR(__xludf.DUMMYFUNCTION("""COMPUTED_VALUE"""),80.33)</f>
        <v>80.33</v>
      </c>
      <c r="F883" s="1">
        <f>IFERROR(__xludf.DUMMYFUNCTION("""COMPUTED_VALUE"""),1.10760291E8)</f>
        <v>110760291</v>
      </c>
    </row>
    <row r="884">
      <c r="A884" s="2">
        <f>IFERROR(__xludf.DUMMYFUNCTION("""COMPUTED_VALUE"""),45345.66666666667)</f>
        <v>45345.66667</v>
      </c>
      <c r="B884" s="1">
        <f>IFERROR(__xludf.DUMMYFUNCTION("""COMPUTED_VALUE"""),79.0)</f>
        <v>79</v>
      </c>
      <c r="C884" s="1">
        <f>IFERROR(__xludf.DUMMYFUNCTION("""COMPUTED_VALUE"""),100.35)</f>
        <v>100.35</v>
      </c>
      <c r="D884" s="1">
        <f>IFERROR(__xludf.DUMMYFUNCTION("""COMPUTED_VALUE"""),69.25)</f>
        <v>69.25</v>
      </c>
      <c r="E884" s="1">
        <f>IFERROR(__xludf.DUMMYFUNCTION("""COMPUTED_VALUE"""),86.0)</f>
        <v>86</v>
      </c>
      <c r="F884" s="1">
        <f>IFERROR(__xludf.DUMMYFUNCTION("""COMPUTED_VALUE"""),8.5132556E7)</f>
        <v>85132556</v>
      </c>
    </row>
    <row r="885">
      <c r="A885" s="2">
        <f>IFERROR(__xludf.DUMMYFUNCTION("""COMPUTED_VALUE"""),45352.66666666667)</f>
        <v>45352.66667</v>
      </c>
      <c r="B885" s="1">
        <f>IFERROR(__xludf.DUMMYFUNCTION("""COMPUTED_VALUE"""),88.45)</f>
        <v>88.45</v>
      </c>
      <c r="C885" s="1">
        <f>IFERROR(__xludf.DUMMYFUNCTION("""COMPUTED_VALUE"""),92.7)</f>
        <v>92.7</v>
      </c>
      <c r="D885" s="1">
        <f>IFERROR(__xludf.DUMMYFUNCTION("""COMPUTED_VALUE"""),81.2)</f>
        <v>81.2</v>
      </c>
      <c r="E885" s="1">
        <f>IFERROR(__xludf.DUMMYFUNCTION("""COMPUTED_VALUE"""),90.55)</f>
        <v>90.55</v>
      </c>
      <c r="F885" s="1">
        <f>IFERROR(__xludf.DUMMYFUNCTION("""COMPUTED_VALUE"""),4.2275138E7)</f>
        <v>42275138</v>
      </c>
    </row>
    <row r="886">
      <c r="A886" s="2">
        <f>IFERROR(__xludf.DUMMYFUNCTION("""COMPUTED_VALUE"""),45359.66666666667)</f>
        <v>45359.66667</v>
      </c>
      <c r="B886" s="1">
        <f>IFERROR(__xludf.DUMMYFUNCTION("""COMPUTED_VALUE"""),103.9)</f>
        <v>103.9</v>
      </c>
      <c r="C886" s="1">
        <f>IFERROR(__xludf.DUMMYFUNCTION("""COMPUTED_VALUE"""),122.9)</f>
        <v>122.9</v>
      </c>
      <c r="D886" s="1">
        <f>IFERROR(__xludf.DUMMYFUNCTION("""COMPUTED_VALUE"""),97.61)</f>
        <v>97.61</v>
      </c>
      <c r="E886" s="1">
        <f>IFERROR(__xludf.DUMMYFUNCTION("""COMPUTED_VALUE"""),114.0)</f>
        <v>114</v>
      </c>
      <c r="F886" s="1">
        <f>IFERROR(__xludf.DUMMYFUNCTION("""COMPUTED_VALUE"""),6.5934686E7)</f>
        <v>65934686</v>
      </c>
    </row>
    <row r="887">
      <c r="A887" s="2">
        <f>IFERROR(__xludf.DUMMYFUNCTION("""COMPUTED_VALUE"""),45366.66666666667)</f>
        <v>45366.66667</v>
      </c>
      <c r="B887" s="1">
        <f>IFERROR(__xludf.DUMMYFUNCTION("""COMPUTED_VALUE"""),110.03)</f>
        <v>110.03</v>
      </c>
      <c r="C887" s="1">
        <f>IFERROR(__xludf.DUMMYFUNCTION("""COMPUTED_VALUE"""),119.8)</f>
        <v>119.8</v>
      </c>
      <c r="D887" s="1">
        <f>IFERROR(__xludf.DUMMYFUNCTION("""COMPUTED_VALUE"""),102.5)</f>
        <v>102.5</v>
      </c>
      <c r="E887" s="1">
        <f>IFERROR(__xludf.DUMMYFUNCTION("""COMPUTED_VALUE"""),106.88)</f>
        <v>106.88</v>
      </c>
      <c r="F887" s="1">
        <f>IFERROR(__xludf.DUMMYFUNCTION("""COMPUTED_VALUE"""),4.2947321E7)</f>
        <v>42947321</v>
      </c>
    </row>
    <row r="888">
      <c r="A888" s="2">
        <f>IFERROR(__xludf.DUMMYFUNCTION("""COMPUTED_VALUE"""),45373.66666666667)</f>
        <v>45373.66667</v>
      </c>
      <c r="B888" s="1">
        <f>IFERROR(__xludf.DUMMYFUNCTION("""COMPUTED_VALUE"""),110.7)</f>
        <v>110.7</v>
      </c>
      <c r="C888" s="1">
        <f>IFERROR(__xludf.DUMMYFUNCTION("""COMPUTED_VALUE"""),114.78)</f>
        <v>114.78</v>
      </c>
      <c r="D888" s="1">
        <f>IFERROR(__xludf.DUMMYFUNCTION("""COMPUTED_VALUE"""),85.5)</f>
        <v>85.5</v>
      </c>
      <c r="E888" s="1">
        <f>IFERROR(__xludf.DUMMYFUNCTION("""COMPUTED_VALUE"""),97.27)</f>
        <v>97.27</v>
      </c>
      <c r="F888" s="1">
        <f>IFERROR(__xludf.DUMMYFUNCTION("""COMPUTED_VALUE"""),4.3292875E7)</f>
        <v>43292875</v>
      </c>
    </row>
    <row r="889">
      <c r="A889" s="2">
        <f>IFERROR(__xludf.DUMMYFUNCTION("""COMPUTED_VALUE"""),45379.66666666667)</f>
        <v>45379.66667</v>
      </c>
      <c r="B889" s="1">
        <f>IFERROR(__xludf.DUMMYFUNCTION("""COMPUTED_VALUE"""),97.28)</f>
        <v>97.28</v>
      </c>
      <c r="C889" s="1">
        <f>IFERROR(__xludf.DUMMYFUNCTION("""COMPUTED_VALUE"""),110.61)</f>
        <v>110.61</v>
      </c>
      <c r="D889" s="1">
        <f>IFERROR(__xludf.DUMMYFUNCTION("""COMPUTED_VALUE"""),96.7)</f>
        <v>96.7</v>
      </c>
      <c r="E889" s="1">
        <f>IFERROR(__xludf.DUMMYFUNCTION("""COMPUTED_VALUE"""),101.0)</f>
        <v>101</v>
      </c>
      <c r="F889" s="1">
        <f>IFERROR(__xludf.DUMMYFUNCTION("""COMPUTED_VALUE"""),2.2094522E7)</f>
        <v>22094522</v>
      </c>
    </row>
    <row r="890">
      <c r="A890" s="2">
        <f>IFERROR(__xludf.DUMMYFUNCTION("""COMPUTED_VALUE"""),45387.66666666667)</f>
        <v>45387.66667</v>
      </c>
      <c r="B890" s="1">
        <f>IFERROR(__xludf.DUMMYFUNCTION("""COMPUTED_VALUE"""),101.0)</f>
        <v>101</v>
      </c>
      <c r="C890" s="1">
        <f>IFERROR(__xludf.DUMMYFUNCTION("""COMPUTED_VALUE"""),106.9)</f>
        <v>106.9</v>
      </c>
      <c r="D890" s="1">
        <f>IFERROR(__xludf.DUMMYFUNCTION("""COMPUTED_VALUE"""),93.2)</f>
        <v>93.2</v>
      </c>
      <c r="E890" s="1">
        <f>IFERROR(__xludf.DUMMYFUNCTION("""COMPUTED_VALUE"""),94.8)</f>
        <v>94.8</v>
      </c>
      <c r="F890" s="1">
        <f>IFERROR(__xludf.DUMMYFUNCTION("""COMPUTED_VALUE"""),2.6758873E7)</f>
        <v>26758873</v>
      </c>
    </row>
    <row r="891">
      <c r="A891" s="2">
        <f>IFERROR(__xludf.DUMMYFUNCTION("""COMPUTED_VALUE"""),45394.66666666667)</f>
        <v>45394.66667</v>
      </c>
      <c r="B891" s="1">
        <f>IFERROR(__xludf.DUMMYFUNCTION("""COMPUTED_VALUE"""),96.25)</f>
        <v>96.25</v>
      </c>
      <c r="C891" s="1">
        <f>IFERROR(__xludf.DUMMYFUNCTION("""COMPUTED_VALUE"""),96.4)</f>
        <v>96.4</v>
      </c>
      <c r="D891" s="1">
        <f>IFERROR(__xludf.DUMMYFUNCTION("""COMPUTED_VALUE"""),87.11)</f>
        <v>87.11</v>
      </c>
      <c r="E891" s="1">
        <f>IFERROR(__xludf.DUMMYFUNCTION("""COMPUTED_VALUE"""),89.85)</f>
        <v>89.85</v>
      </c>
      <c r="F891" s="1">
        <f>IFERROR(__xludf.DUMMYFUNCTION("""COMPUTED_VALUE"""),1.9495521E7)</f>
        <v>19495521</v>
      </c>
    </row>
    <row r="892">
      <c r="A892" s="2">
        <f>IFERROR(__xludf.DUMMYFUNCTION("""COMPUTED_VALUE"""),45401.66666666667)</f>
        <v>45401.66667</v>
      </c>
      <c r="B892" s="1">
        <f>IFERROR(__xludf.DUMMYFUNCTION("""COMPUTED_VALUE"""),91.2)</f>
        <v>91.2</v>
      </c>
      <c r="C892" s="1">
        <f>IFERROR(__xludf.DUMMYFUNCTION("""COMPUTED_VALUE"""),102.03)</f>
        <v>102.03</v>
      </c>
      <c r="D892" s="1">
        <f>IFERROR(__xludf.DUMMYFUNCTION("""COMPUTED_VALUE"""),71.1)</f>
        <v>71.1</v>
      </c>
      <c r="E892" s="1">
        <f>IFERROR(__xludf.DUMMYFUNCTION("""COMPUTED_VALUE"""),71.36)</f>
        <v>71.36</v>
      </c>
      <c r="F892" s="1">
        <f>IFERROR(__xludf.DUMMYFUNCTION("""COMPUTED_VALUE"""),4.0029176E7)</f>
        <v>40029176</v>
      </c>
    </row>
    <row r="893">
      <c r="A893" s="2">
        <f>IFERROR(__xludf.DUMMYFUNCTION("""COMPUTED_VALUE"""),45408.66666666667)</f>
        <v>45408.66667</v>
      </c>
      <c r="B893" s="1">
        <f>IFERROR(__xludf.DUMMYFUNCTION("""COMPUTED_VALUE"""),73.19)</f>
        <v>73.19</v>
      </c>
      <c r="C893" s="1">
        <f>IFERROR(__xludf.DUMMYFUNCTION("""COMPUTED_VALUE"""),86.1)</f>
        <v>86.1</v>
      </c>
      <c r="D893" s="1">
        <f>IFERROR(__xludf.DUMMYFUNCTION("""COMPUTED_VALUE"""),67.1)</f>
        <v>67.1</v>
      </c>
      <c r="E893" s="1">
        <f>IFERROR(__xludf.DUMMYFUNCTION("""COMPUTED_VALUE"""),85.74)</f>
        <v>85.74</v>
      </c>
      <c r="F893" s="1">
        <f>IFERROR(__xludf.DUMMYFUNCTION("""COMPUTED_VALUE"""),3.653627E7)</f>
        <v>36536270</v>
      </c>
    </row>
    <row r="894">
      <c r="A894" s="2">
        <f>IFERROR(__xludf.DUMMYFUNCTION("""COMPUTED_VALUE"""),45415.66666666667)</f>
        <v>45415.66667</v>
      </c>
      <c r="B894" s="1">
        <f>IFERROR(__xludf.DUMMYFUNCTION("""COMPUTED_VALUE"""),83.9)</f>
        <v>83.9</v>
      </c>
      <c r="C894" s="1">
        <f>IFERROR(__xludf.DUMMYFUNCTION("""COMPUTED_VALUE"""),91.08)</f>
        <v>91.08</v>
      </c>
      <c r="D894" s="1">
        <f>IFERROR(__xludf.DUMMYFUNCTION("""COMPUTED_VALUE"""),70.0)</f>
        <v>70</v>
      </c>
      <c r="E894" s="1">
        <f>IFERROR(__xludf.DUMMYFUNCTION("""COMPUTED_VALUE"""),78.27)</f>
        <v>78.27</v>
      </c>
      <c r="F894" s="1">
        <f>IFERROR(__xludf.DUMMYFUNCTION("""COMPUTED_VALUE"""),3.8500976E7)</f>
        <v>38500976</v>
      </c>
    </row>
    <row r="895">
      <c r="A895" s="2">
        <f>IFERROR(__xludf.DUMMYFUNCTION("""COMPUTED_VALUE"""),45422.66666666667)</f>
        <v>45422.66667</v>
      </c>
      <c r="B895" s="1">
        <f>IFERROR(__xludf.DUMMYFUNCTION("""COMPUTED_VALUE"""),79.18)</f>
        <v>79.18</v>
      </c>
      <c r="C895" s="1">
        <f>IFERROR(__xludf.DUMMYFUNCTION("""COMPUTED_VALUE"""),84.38)</f>
        <v>84.38</v>
      </c>
      <c r="D895" s="1">
        <f>IFERROR(__xludf.DUMMYFUNCTION("""COMPUTED_VALUE"""),78.69)</f>
        <v>78.69</v>
      </c>
      <c r="E895" s="1">
        <f>IFERROR(__xludf.DUMMYFUNCTION("""COMPUTED_VALUE"""),79.85)</f>
        <v>79.85</v>
      </c>
      <c r="F895" s="1">
        <f>IFERROR(__xludf.DUMMYFUNCTION("""COMPUTED_VALUE"""),2.0815119E7)</f>
        <v>20815119</v>
      </c>
    </row>
    <row r="896">
      <c r="A896" s="2">
        <f>IFERROR(__xludf.DUMMYFUNCTION("""COMPUTED_VALUE"""),45429.66666666667)</f>
        <v>45429.66667</v>
      </c>
      <c r="B896" s="1">
        <f>IFERROR(__xludf.DUMMYFUNCTION("""COMPUTED_VALUE"""),81.08)</f>
        <v>81.08</v>
      </c>
      <c r="C896" s="1">
        <f>IFERROR(__xludf.DUMMYFUNCTION("""COMPUTED_VALUE"""),97.1)</f>
        <v>97.1</v>
      </c>
      <c r="D896" s="1">
        <f>IFERROR(__xludf.DUMMYFUNCTION("""COMPUTED_VALUE"""),76.26)</f>
        <v>76.26</v>
      </c>
      <c r="E896" s="1">
        <f>IFERROR(__xludf.DUMMYFUNCTION("""COMPUTED_VALUE"""),88.79)</f>
        <v>88.79</v>
      </c>
      <c r="F896" s="1">
        <f>IFERROR(__xludf.DUMMYFUNCTION("""COMPUTED_VALUE"""),2.9766035E7)</f>
        <v>29766035</v>
      </c>
    </row>
    <row r="897">
      <c r="A897" s="2">
        <f>IFERROR(__xludf.DUMMYFUNCTION("""COMPUTED_VALUE"""),45436.66666666667)</f>
        <v>45436.66667</v>
      </c>
      <c r="B897" s="1">
        <f>IFERROR(__xludf.DUMMYFUNCTION("""COMPUTED_VALUE"""),90.2)</f>
        <v>90.2</v>
      </c>
      <c r="C897" s="1">
        <f>IFERROR(__xludf.DUMMYFUNCTION("""COMPUTED_VALUE"""),97.23)</f>
        <v>97.23</v>
      </c>
      <c r="D897" s="1">
        <f>IFERROR(__xludf.DUMMYFUNCTION("""COMPUTED_VALUE"""),83.57)</f>
        <v>83.57</v>
      </c>
      <c r="E897" s="1">
        <f>IFERROR(__xludf.DUMMYFUNCTION("""COMPUTED_VALUE"""),88.39)</f>
        <v>88.39</v>
      </c>
      <c r="F897" s="1">
        <f>IFERROR(__xludf.DUMMYFUNCTION("""COMPUTED_VALUE"""),3.5224862E7)</f>
        <v>35224862</v>
      </c>
    </row>
    <row r="898">
      <c r="A898" s="2">
        <f>IFERROR(__xludf.DUMMYFUNCTION("""COMPUTED_VALUE"""),45443.66666666667)</f>
        <v>45443.66667</v>
      </c>
      <c r="B898" s="1">
        <f>IFERROR(__xludf.DUMMYFUNCTION("""COMPUTED_VALUE"""),89.9)</f>
        <v>89.9</v>
      </c>
      <c r="C898" s="1">
        <f>IFERROR(__xludf.DUMMYFUNCTION("""COMPUTED_VALUE"""),90.97)</f>
        <v>90.97</v>
      </c>
      <c r="D898" s="1">
        <f>IFERROR(__xludf.DUMMYFUNCTION("""COMPUTED_VALUE"""),76.0)</f>
        <v>76</v>
      </c>
      <c r="E898" s="1">
        <f>IFERROR(__xludf.DUMMYFUNCTION("""COMPUTED_VALUE"""),78.45)</f>
        <v>78.45</v>
      </c>
      <c r="F898" s="1">
        <f>IFERROR(__xludf.DUMMYFUNCTION("""COMPUTED_VALUE"""),2.3323031E7)</f>
        <v>23323031</v>
      </c>
    </row>
    <row r="899">
      <c r="A899" s="2">
        <f>IFERROR(__xludf.DUMMYFUNCTION("""COMPUTED_VALUE"""),45450.66666666667)</f>
        <v>45450.66667</v>
      </c>
      <c r="B899" s="1">
        <f>IFERROR(__xludf.DUMMYFUNCTION("""COMPUTED_VALUE"""),80.2)</f>
        <v>80.2</v>
      </c>
      <c r="C899" s="1">
        <f>IFERROR(__xludf.DUMMYFUNCTION("""COMPUTED_VALUE"""),82.25)</f>
        <v>82.25</v>
      </c>
      <c r="D899" s="1">
        <f>IFERROR(__xludf.DUMMYFUNCTION("""COMPUTED_VALUE"""),74.12)</f>
        <v>74.12</v>
      </c>
      <c r="E899" s="1">
        <f>IFERROR(__xludf.DUMMYFUNCTION("""COMPUTED_VALUE"""),76.91)</f>
        <v>76.91</v>
      </c>
      <c r="F899" s="1">
        <f>IFERROR(__xludf.DUMMYFUNCTION("""COMPUTED_VALUE"""),2.5020375E7)</f>
        <v>25020375</v>
      </c>
    </row>
    <row r="900">
      <c r="A900" s="2">
        <f>IFERROR(__xludf.DUMMYFUNCTION("""COMPUTED_VALUE"""),45457.66666666667)</f>
        <v>45457.66667</v>
      </c>
      <c r="B900" s="1">
        <f>IFERROR(__xludf.DUMMYFUNCTION("""COMPUTED_VALUE"""),76.17)</f>
        <v>76.17</v>
      </c>
      <c r="C900" s="1">
        <f>IFERROR(__xludf.DUMMYFUNCTION("""COMPUTED_VALUE"""),88.32)</f>
        <v>88.32</v>
      </c>
      <c r="D900" s="1">
        <f>IFERROR(__xludf.DUMMYFUNCTION("""COMPUTED_VALUE"""),75.3)</f>
        <v>75.3</v>
      </c>
      <c r="E900" s="1">
        <f>IFERROR(__xludf.DUMMYFUNCTION("""COMPUTED_VALUE"""),84.45)</f>
        <v>84.45</v>
      </c>
      <c r="F900" s="1">
        <f>IFERROR(__xludf.DUMMYFUNCTION("""COMPUTED_VALUE"""),3.0249147E7)</f>
        <v>30249147</v>
      </c>
    </row>
    <row r="901">
      <c r="A901" s="2">
        <f>IFERROR(__xludf.DUMMYFUNCTION("""COMPUTED_VALUE"""),45464.66666666667)</f>
        <v>45464.66667</v>
      </c>
      <c r="B901" s="1">
        <f>IFERROR(__xludf.DUMMYFUNCTION("""COMPUTED_VALUE"""),85.74)</f>
        <v>85.74</v>
      </c>
      <c r="C901" s="1">
        <f>IFERROR(__xludf.DUMMYFUNCTION("""COMPUTED_VALUE"""),101.4)</f>
        <v>101.4</v>
      </c>
      <c r="D901" s="1">
        <f>IFERROR(__xludf.DUMMYFUNCTION("""COMPUTED_VALUE"""),82.81)</f>
        <v>82.81</v>
      </c>
      <c r="E901" s="1">
        <f>IFERROR(__xludf.DUMMYFUNCTION("""COMPUTED_VALUE"""),90.53)</f>
        <v>90.53</v>
      </c>
      <c r="F901" s="1">
        <f>IFERROR(__xludf.DUMMYFUNCTION("""COMPUTED_VALUE"""),3.8572357E7)</f>
        <v>38572357</v>
      </c>
    </row>
    <row r="902">
      <c r="A902" s="2">
        <f>IFERROR(__xludf.DUMMYFUNCTION("""COMPUTED_VALUE"""),45471.66666666667)</f>
        <v>45471.66667</v>
      </c>
      <c r="B902" s="1">
        <f>IFERROR(__xludf.DUMMYFUNCTION("""COMPUTED_VALUE"""),88.1)</f>
        <v>88.1</v>
      </c>
      <c r="C902" s="1">
        <f>IFERROR(__xludf.DUMMYFUNCTION("""COMPUTED_VALUE"""),89.99)</f>
        <v>89.99</v>
      </c>
      <c r="D902" s="1">
        <f>IFERROR(__xludf.DUMMYFUNCTION("""COMPUTED_VALUE"""),80.83)</f>
        <v>80.83</v>
      </c>
      <c r="E902" s="1">
        <f>IFERROR(__xludf.DUMMYFUNCTION("""COMPUTED_VALUE"""),81.94)</f>
        <v>81.94</v>
      </c>
      <c r="F902" s="1">
        <f>IFERROR(__xludf.DUMMYFUNCTION("""COMPUTED_VALUE"""),4.0654087E7)</f>
        <v>40654087</v>
      </c>
    </row>
    <row r="903">
      <c r="A903" s="2">
        <f>IFERROR(__xludf.DUMMYFUNCTION("""COMPUTED_VALUE"""),45478.66666666667)</f>
        <v>45478.66667</v>
      </c>
      <c r="B903" s="1">
        <f>IFERROR(__xludf.DUMMYFUNCTION("""COMPUTED_VALUE"""),83.14)</f>
        <v>83.14</v>
      </c>
      <c r="C903" s="1">
        <f>IFERROR(__xludf.DUMMYFUNCTION("""COMPUTED_VALUE"""),86.67)</f>
        <v>86.67</v>
      </c>
      <c r="D903" s="1">
        <f>IFERROR(__xludf.DUMMYFUNCTION("""COMPUTED_VALUE"""),77.38)</f>
        <v>77.38</v>
      </c>
      <c r="E903" s="1">
        <f>IFERROR(__xludf.DUMMYFUNCTION("""COMPUTED_VALUE"""),84.66)</f>
        <v>84.66</v>
      </c>
      <c r="F903" s="1">
        <f>IFERROR(__xludf.DUMMYFUNCTION("""COMPUTED_VALUE"""),2.0623829E7)</f>
        <v>20623829</v>
      </c>
    </row>
    <row r="904">
      <c r="A904" s="2">
        <f>IFERROR(__xludf.DUMMYFUNCTION("""COMPUTED_VALUE"""),45485.66666666667)</f>
        <v>45485.66667</v>
      </c>
      <c r="B904" s="1">
        <f>IFERROR(__xludf.DUMMYFUNCTION("""COMPUTED_VALUE"""),86.4)</f>
        <v>86.4</v>
      </c>
      <c r="C904" s="1">
        <f>IFERROR(__xludf.DUMMYFUNCTION("""COMPUTED_VALUE"""),93.46)</f>
        <v>93.46</v>
      </c>
      <c r="D904" s="1">
        <f>IFERROR(__xludf.DUMMYFUNCTION("""COMPUTED_VALUE"""),86.01)</f>
        <v>86.01</v>
      </c>
      <c r="E904" s="1">
        <f>IFERROR(__xludf.DUMMYFUNCTION("""COMPUTED_VALUE"""),91.0)</f>
        <v>91</v>
      </c>
      <c r="F904" s="1">
        <f>IFERROR(__xludf.DUMMYFUNCTION("""COMPUTED_VALUE"""),3.2209558E7)</f>
        <v>32209558</v>
      </c>
    </row>
    <row r="905">
      <c r="A905" s="2">
        <f>IFERROR(__xludf.DUMMYFUNCTION("""COMPUTED_VALUE"""),45492.66666666667)</f>
        <v>45492.66667</v>
      </c>
      <c r="B905" s="1">
        <f>IFERROR(__xludf.DUMMYFUNCTION("""COMPUTED_VALUE"""),94.0)</f>
        <v>94</v>
      </c>
      <c r="C905" s="1">
        <f>IFERROR(__xludf.DUMMYFUNCTION("""COMPUTED_VALUE"""),96.33)</f>
        <v>96.33</v>
      </c>
      <c r="D905" s="1">
        <f>IFERROR(__xludf.DUMMYFUNCTION("""COMPUTED_VALUE"""),77.41)</f>
        <v>77.41</v>
      </c>
      <c r="E905" s="1">
        <f>IFERROR(__xludf.DUMMYFUNCTION("""COMPUTED_VALUE"""),79.68)</f>
        <v>79.68</v>
      </c>
      <c r="F905" s="1">
        <f>IFERROR(__xludf.DUMMYFUNCTION("""COMPUTED_VALUE"""),3.3122757E7)</f>
        <v>33122757</v>
      </c>
    </row>
    <row r="906">
      <c r="A906" s="2">
        <f>IFERROR(__xludf.DUMMYFUNCTION("""COMPUTED_VALUE"""),45499.66666666667)</f>
        <v>45499.66667</v>
      </c>
      <c r="B906" s="1">
        <f>IFERROR(__xludf.DUMMYFUNCTION("""COMPUTED_VALUE"""),80.64)</f>
        <v>80.64</v>
      </c>
      <c r="C906" s="1">
        <f>IFERROR(__xludf.DUMMYFUNCTION("""COMPUTED_VALUE"""),80.87)</f>
        <v>80.87</v>
      </c>
      <c r="D906" s="1">
        <f>IFERROR(__xludf.DUMMYFUNCTION("""COMPUTED_VALUE"""),66.32)</f>
        <v>66.32</v>
      </c>
      <c r="E906" s="1">
        <f>IFERROR(__xludf.DUMMYFUNCTION("""COMPUTED_VALUE"""),71.22)</f>
        <v>71.22</v>
      </c>
      <c r="F906" s="1">
        <f>IFERROR(__xludf.DUMMYFUNCTION("""COMPUTED_VALUE"""),2.7351085E7)</f>
        <v>27351085</v>
      </c>
    </row>
    <row r="907">
      <c r="A907" s="2">
        <f>IFERROR(__xludf.DUMMYFUNCTION("""COMPUTED_VALUE"""),45506.66666666667)</f>
        <v>45506.66667</v>
      </c>
      <c r="B907" s="1">
        <f>IFERROR(__xludf.DUMMYFUNCTION("""COMPUTED_VALUE"""),72.07)</f>
        <v>72.07</v>
      </c>
      <c r="C907" s="1">
        <f>IFERROR(__xludf.DUMMYFUNCTION("""COMPUTED_VALUE"""),73.0)</f>
        <v>73</v>
      </c>
      <c r="D907" s="1">
        <f>IFERROR(__xludf.DUMMYFUNCTION("""COMPUTED_VALUE"""),58.25)</f>
        <v>58.25</v>
      </c>
      <c r="E907" s="1">
        <f>IFERROR(__xludf.DUMMYFUNCTION("""COMPUTED_VALUE"""),62.47)</f>
        <v>62.47</v>
      </c>
      <c r="F907" s="1">
        <f>IFERROR(__xludf.DUMMYFUNCTION("""COMPUTED_VALUE"""),2.6930134E7)</f>
        <v>26930134</v>
      </c>
    </row>
    <row r="908">
      <c r="A908" s="2">
        <f>IFERROR(__xludf.DUMMYFUNCTION("""COMPUTED_VALUE"""),45513.66666666667)</f>
        <v>45513.66667</v>
      </c>
      <c r="B908" s="1">
        <f>IFERROR(__xludf.DUMMYFUNCTION("""COMPUTED_VALUE"""),53.56)</f>
        <v>53.56</v>
      </c>
      <c r="C908" s="1">
        <f>IFERROR(__xludf.DUMMYFUNCTION("""COMPUTED_VALUE"""),62.88)</f>
        <v>62.88</v>
      </c>
      <c r="D908" s="1">
        <f>IFERROR(__xludf.DUMMYFUNCTION("""COMPUTED_VALUE"""),47.86)</f>
        <v>47.86</v>
      </c>
      <c r="E908" s="1">
        <f>IFERROR(__xludf.DUMMYFUNCTION("""COMPUTED_VALUE"""),50.88)</f>
        <v>50.88</v>
      </c>
      <c r="F908" s="1">
        <f>IFERROR(__xludf.DUMMYFUNCTION("""COMPUTED_VALUE"""),5.4065619E7)</f>
        <v>54065619</v>
      </c>
    </row>
    <row r="909">
      <c r="A909" s="2">
        <f>IFERROR(__xludf.DUMMYFUNCTION("""COMPUTED_VALUE"""),45520.66666666667)</f>
        <v>45520.66667</v>
      </c>
      <c r="B909" s="1">
        <f>IFERROR(__xludf.DUMMYFUNCTION("""COMPUTED_VALUE"""),51.11)</f>
        <v>51.11</v>
      </c>
      <c r="C909" s="1">
        <f>IFERROR(__xludf.DUMMYFUNCTION("""COMPUTED_VALUE"""),63.97)</f>
        <v>63.97</v>
      </c>
      <c r="D909" s="1">
        <f>IFERROR(__xludf.DUMMYFUNCTION("""COMPUTED_VALUE"""),51.05)</f>
        <v>51.05</v>
      </c>
      <c r="E909" s="1">
        <f>IFERROR(__xludf.DUMMYFUNCTION("""COMPUTED_VALUE"""),62.88)</f>
        <v>62.88</v>
      </c>
      <c r="F909" s="1">
        <f>IFERROR(__xludf.DUMMYFUNCTION("""COMPUTED_VALUE"""),4.1914084E7)</f>
        <v>41914084</v>
      </c>
    </row>
    <row r="910">
      <c r="A910" s="2">
        <f>IFERROR(__xludf.DUMMYFUNCTION("""COMPUTED_VALUE"""),45527.66666666667)</f>
        <v>45527.66667</v>
      </c>
      <c r="B910" s="1">
        <f>IFERROR(__xludf.DUMMYFUNCTION("""COMPUTED_VALUE"""),62.2)</f>
        <v>62.2</v>
      </c>
      <c r="C910" s="1">
        <f>IFERROR(__xludf.DUMMYFUNCTION("""COMPUTED_VALUE"""),63.08)</f>
        <v>63.08</v>
      </c>
      <c r="D910" s="1">
        <f>IFERROR(__xludf.DUMMYFUNCTION("""COMPUTED_VALUE"""),59.53)</f>
        <v>59.53</v>
      </c>
      <c r="E910" s="1">
        <f>IFERROR(__xludf.DUMMYFUNCTION("""COMPUTED_VALUE"""),61.32)</f>
        <v>61.32</v>
      </c>
      <c r="F910" s="1">
        <f>IFERROR(__xludf.DUMMYFUNCTION("""COMPUTED_VALUE"""),3.013089E7)</f>
        <v>30130890</v>
      </c>
    </row>
    <row r="911">
      <c r="A911" s="2">
        <f>IFERROR(__xludf.DUMMYFUNCTION("""COMPUTED_VALUE"""),45534.66666666667)</f>
        <v>45534.66667</v>
      </c>
      <c r="B911" s="1">
        <f>IFERROR(__xludf.DUMMYFUNCTION("""COMPUTED_VALUE"""),61.0)</f>
        <v>61</v>
      </c>
      <c r="C911" s="1">
        <f>IFERROR(__xludf.DUMMYFUNCTION("""COMPUTED_VALUE"""),61.82)</f>
        <v>61.82</v>
      </c>
      <c r="D911" s="1">
        <f>IFERROR(__xludf.DUMMYFUNCTION("""COMPUTED_VALUE"""),39.52)</f>
        <v>39.52</v>
      </c>
      <c r="E911" s="1">
        <f>IFERROR(__xludf.DUMMYFUNCTION("""COMPUTED_VALUE"""),43.77)</f>
        <v>43.77</v>
      </c>
      <c r="F911" s="1">
        <f>IFERROR(__xludf.DUMMYFUNCTION("""COMPUTED_VALUE"""),8.1682278E7)</f>
        <v>81682278</v>
      </c>
    </row>
    <row r="912">
      <c r="A912" s="2">
        <f>IFERROR(__xludf.DUMMYFUNCTION("""COMPUTED_VALUE"""),45541.66666666667)</f>
        <v>45541.66667</v>
      </c>
      <c r="B912" s="1">
        <f>IFERROR(__xludf.DUMMYFUNCTION("""COMPUTED_VALUE"""),43.01)</f>
        <v>43.01</v>
      </c>
      <c r="C912" s="1">
        <f>IFERROR(__xludf.DUMMYFUNCTION("""COMPUTED_VALUE"""),46.44)</f>
        <v>46.44</v>
      </c>
      <c r="D912" s="1">
        <f>IFERROR(__xludf.DUMMYFUNCTION("""COMPUTED_VALUE"""),38.28)</f>
        <v>38.28</v>
      </c>
      <c r="E912" s="1">
        <f>IFERROR(__xludf.DUMMYFUNCTION("""COMPUTED_VALUE"""),38.65)</f>
        <v>38.65</v>
      </c>
      <c r="F912" s="1">
        <f>IFERROR(__xludf.DUMMYFUNCTION("""COMPUTED_VALUE"""),3.213248E7)</f>
        <v>32132480</v>
      </c>
    </row>
    <row r="913">
      <c r="A913" s="2">
        <f>IFERROR(__xludf.DUMMYFUNCTION("""COMPUTED_VALUE"""),45548.66666666667)</f>
        <v>45548.66667</v>
      </c>
      <c r="B913" s="1">
        <f>IFERROR(__xludf.DUMMYFUNCTION("""COMPUTED_VALUE"""),39.27)</f>
        <v>39.27</v>
      </c>
      <c r="C913" s="1">
        <f>IFERROR(__xludf.DUMMYFUNCTION("""COMPUTED_VALUE"""),46.95)</f>
        <v>46.95</v>
      </c>
      <c r="D913" s="1">
        <f>IFERROR(__xludf.DUMMYFUNCTION("""COMPUTED_VALUE"""),38.75)</f>
        <v>38.75</v>
      </c>
      <c r="E913" s="1">
        <f>IFERROR(__xludf.DUMMYFUNCTION("""COMPUTED_VALUE"""),45.72)</f>
        <v>45.72</v>
      </c>
      <c r="F913" s="1">
        <f>IFERROR(__xludf.DUMMYFUNCTION("""COMPUTED_VALUE"""),3.2244915E7)</f>
        <v>32244915</v>
      </c>
    </row>
    <row r="914">
      <c r="A914" s="2">
        <f>IFERROR(__xludf.DUMMYFUNCTION("""COMPUTED_VALUE"""),45555.66666666667)</f>
        <v>45555.66667</v>
      </c>
      <c r="B914" s="1">
        <f>IFERROR(__xludf.DUMMYFUNCTION("""COMPUTED_VALUE"""),44.72)</f>
        <v>44.72</v>
      </c>
      <c r="C914" s="1">
        <f>IFERROR(__xludf.DUMMYFUNCTION("""COMPUTED_VALUE"""),46.1)</f>
        <v>46.1</v>
      </c>
      <c r="D914" s="1">
        <f>IFERROR(__xludf.DUMMYFUNCTION("""COMPUTED_VALUE"""),43.36)</f>
        <v>43.36</v>
      </c>
      <c r="E914" s="1">
        <f>IFERROR(__xludf.DUMMYFUNCTION("""COMPUTED_VALUE"""),45.73)</f>
        <v>45.73</v>
      </c>
      <c r="F914" s="1">
        <f>IFERROR(__xludf.DUMMYFUNCTION("""COMPUTED_VALUE"""),2.6291851E7)</f>
        <v>26291851</v>
      </c>
    </row>
    <row r="915">
      <c r="A915" s="2">
        <f>IFERROR(__xludf.DUMMYFUNCTION("""COMPUTED_VALUE"""),45562.66666666667)</f>
        <v>45562.66667</v>
      </c>
      <c r="B915" s="1">
        <f>IFERROR(__xludf.DUMMYFUNCTION("""COMPUTED_VALUE"""),45.06)</f>
        <v>45.06</v>
      </c>
      <c r="C915" s="1">
        <f>IFERROR(__xludf.DUMMYFUNCTION("""COMPUTED_VALUE"""),48.44)</f>
        <v>48.44</v>
      </c>
      <c r="D915" s="1">
        <f>IFERROR(__xludf.DUMMYFUNCTION("""COMPUTED_VALUE"""),37.3)</f>
        <v>37.3</v>
      </c>
      <c r="E915" s="1">
        <f>IFERROR(__xludf.DUMMYFUNCTION("""COMPUTED_VALUE"""),41.97)</f>
        <v>41.97</v>
      </c>
      <c r="F915" s="1">
        <f>IFERROR(__xludf.DUMMYFUNCTION("""COMPUTED_VALUE"""),5.2166153E7)</f>
        <v>52166153</v>
      </c>
    </row>
    <row r="916">
      <c r="A916" s="2">
        <f>IFERROR(__xludf.DUMMYFUNCTION("""COMPUTED_VALUE"""),45569.66666666667)</f>
        <v>45569.66667</v>
      </c>
      <c r="B916" s="1">
        <f>IFERROR(__xludf.DUMMYFUNCTION("""COMPUTED_VALUE"""),41.35)</f>
        <v>41.35</v>
      </c>
      <c r="C916" s="1">
        <f>IFERROR(__xludf.DUMMYFUNCTION("""COMPUTED_VALUE"""),44.23)</f>
        <v>44.23</v>
      </c>
      <c r="D916" s="1">
        <f>IFERROR(__xludf.DUMMYFUNCTION("""COMPUTED_VALUE"""),39.84)</f>
        <v>39.84</v>
      </c>
      <c r="E916" s="1">
        <f>IFERROR(__xludf.DUMMYFUNCTION("""COMPUTED_VALUE"""),41.23)</f>
        <v>41.23</v>
      </c>
      <c r="F916" s="1">
        <f>IFERROR(__xludf.DUMMYFUNCTION("""COMPUTED_VALUE"""),1.20968912E8)</f>
        <v>120968912</v>
      </c>
    </row>
    <row r="917">
      <c r="A917" s="2">
        <f>IFERROR(__xludf.DUMMYFUNCTION("""COMPUTED_VALUE"""),45576.66666666667)</f>
        <v>45576.66667</v>
      </c>
      <c r="B917" s="1">
        <f>IFERROR(__xludf.DUMMYFUNCTION("""COMPUTED_VALUE"""),41.53)</f>
        <v>41.53</v>
      </c>
      <c r="C917" s="1">
        <f>IFERROR(__xludf.DUMMYFUNCTION("""COMPUTED_VALUE"""),50.1)</f>
        <v>50.1</v>
      </c>
      <c r="D917" s="1">
        <f>IFERROR(__xludf.DUMMYFUNCTION("""COMPUTED_VALUE"""),41.51)</f>
        <v>41.51</v>
      </c>
      <c r="E917" s="1">
        <f>IFERROR(__xludf.DUMMYFUNCTION("""COMPUTED_VALUE"""),47.8)</f>
        <v>47.8</v>
      </c>
      <c r="F917" s="1">
        <f>IFERROR(__xludf.DUMMYFUNCTION("""COMPUTED_VALUE"""),3.57695355E8)</f>
        <v>357695355</v>
      </c>
    </row>
    <row r="918">
      <c r="A918" s="2">
        <f>IFERROR(__xludf.DUMMYFUNCTION("""COMPUTED_VALUE"""),45583.66666666667)</f>
        <v>45583.66667</v>
      </c>
      <c r="B918" s="1">
        <f>IFERROR(__xludf.DUMMYFUNCTION("""COMPUTED_VALUE"""),48.18)</f>
        <v>48.18</v>
      </c>
      <c r="C918" s="1">
        <f>IFERROR(__xludf.DUMMYFUNCTION("""COMPUTED_VALUE"""),50.61)</f>
        <v>50.61</v>
      </c>
      <c r="D918" s="1">
        <f>IFERROR(__xludf.DUMMYFUNCTION("""COMPUTED_VALUE"""),46.44)</f>
        <v>46.44</v>
      </c>
      <c r="E918" s="1">
        <f>IFERROR(__xludf.DUMMYFUNCTION("""COMPUTED_VALUE"""),47.26)</f>
        <v>47.26</v>
      </c>
      <c r="F918" s="1">
        <f>IFERROR(__xludf.DUMMYFUNCTION("""COMPUTED_VALUE"""),1.7567483E8)</f>
        <v>175674830</v>
      </c>
    </row>
    <row r="919">
      <c r="A919" s="2">
        <f>IFERROR(__xludf.DUMMYFUNCTION("""COMPUTED_VALUE"""),45590.66666666667)</f>
        <v>45590.66667</v>
      </c>
      <c r="B919" s="1">
        <f>IFERROR(__xludf.DUMMYFUNCTION("""COMPUTED_VALUE"""),47.39)</f>
        <v>47.39</v>
      </c>
      <c r="C919" s="1">
        <f>IFERROR(__xludf.DUMMYFUNCTION("""COMPUTED_VALUE"""),48.88)</f>
        <v>48.88</v>
      </c>
      <c r="D919" s="1">
        <f>IFERROR(__xludf.DUMMYFUNCTION("""COMPUTED_VALUE"""),44.61)</f>
        <v>44.61</v>
      </c>
      <c r="E919" s="1">
        <f>IFERROR(__xludf.DUMMYFUNCTION("""COMPUTED_VALUE"""),47.27)</f>
        <v>47.27</v>
      </c>
      <c r="F919" s="1">
        <f>IFERROR(__xludf.DUMMYFUNCTION("""COMPUTED_VALUE"""),1.57762771E8)</f>
        <v>157762771</v>
      </c>
    </row>
    <row r="920">
      <c r="A920" s="2">
        <f>IFERROR(__xludf.DUMMYFUNCTION("""COMPUTED_VALUE"""),45597.66666666667)</f>
        <v>45597.66667</v>
      </c>
      <c r="B920" s="1">
        <f>IFERROR(__xludf.DUMMYFUNCTION("""COMPUTED_VALUE"""),47.8)</f>
        <v>47.8</v>
      </c>
      <c r="C920" s="1">
        <f>IFERROR(__xludf.DUMMYFUNCTION("""COMPUTED_VALUE"""),49.7)</f>
        <v>49.7</v>
      </c>
      <c r="D920" s="1">
        <f>IFERROR(__xludf.DUMMYFUNCTION("""COMPUTED_VALUE"""),25.71)</f>
        <v>25.71</v>
      </c>
      <c r="E920" s="1">
        <f>IFERROR(__xludf.DUMMYFUNCTION("""COMPUTED_VALUE"""),26.05)</f>
        <v>26.05</v>
      </c>
      <c r="F920" s="1">
        <f>IFERROR(__xludf.DUMMYFUNCTION("""COMPUTED_VALUE"""),5.31515706E8)</f>
        <v>531515706</v>
      </c>
    </row>
    <row r="921">
      <c r="A921" s="2">
        <f>IFERROR(__xludf.DUMMYFUNCTION("""COMPUTED_VALUE"""),45604.66666666667)</f>
        <v>45604.66667</v>
      </c>
      <c r="B921" s="1">
        <f>IFERROR(__xludf.DUMMYFUNCTION("""COMPUTED_VALUE"""),24.89)</f>
        <v>24.89</v>
      </c>
      <c r="C921" s="1">
        <f>IFERROR(__xludf.DUMMYFUNCTION("""COMPUTED_VALUE"""),28.0)</f>
        <v>28</v>
      </c>
      <c r="D921" s="1">
        <f>IFERROR(__xludf.DUMMYFUNCTION("""COMPUTED_VALUE"""),20.2)</f>
        <v>20.2</v>
      </c>
      <c r="E921" s="1">
        <f>IFERROR(__xludf.DUMMYFUNCTION("""COMPUTED_VALUE"""),24.52)</f>
        <v>24.52</v>
      </c>
      <c r="F921" s="1">
        <f>IFERROR(__xludf.DUMMYFUNCTION("""COMPUTED_VALUE"""),4.70355269E8)</f>
        <v>470355269</v>
      </c>
    </row>
    <row r="922">
      <c r="A922" s="2">
        <f>IFERROR(__xludf.DUMMYFUNCTION("""COMPUTED_VALUE"""),45611.66666666667)</f>
        <v>45611.66667</v>
      </c>
      <c r="B922" s="1">
        <f>IFERROR(__xludf.DUMMYFUNCTION("""COMPUTED_VALUE"""),22.35)</f>
        <v>22.35</v>
      </c>
      <c r="C922" s="1">
        <f>IFERROR(__xludf.DUMMYFUNCTION("""COMPUTED_VALUE"""),23.66)</f>
        <v>23.66</v>
      </c>
      <c r="D922" s="1">
        <f>IFERROR(__xludf.DUMMYFUNCTION("""COMPUTED_VALUE"""),17.25)</f>
        <v>17.25</v>
      </c>
      <c r="E922" s="1">
        <f>IFERROR(__xludf.DUMMYFUNCTION("""COMPUTED_VALUE"""),18.58)</f>
        <v>18.58</v>
      </c>
      <c r="F922" s="1">
        <f>IFERROR(__xludf.DUMMYFUNCTION("""COMPUTED_VALUE"""),3.39984009E8)</f>
        <v>339984009</v>
      </c>
    </row>
    <row r="923">
      <c r="A923" s="2">
        <f>IFERROR(__xludf.DUMMYFUNCTION("""COMPUTED_VALUE"""),45618.66666666667)</f>
        <v>45618.66667</v>
      </c>
      <c r="B923" s="1">
        <f>IFERROR(__xludf.DUMMYFUNCTION("""COMPUTED_VALUE"""),20.03)</f>
        <v>20.03</v>
      </c>
      <c r="C923" s="1">
        <f>IFERROR(__xludf.DUMMYFUNCTION("""COMPUTED_VALUE"""),34.37)</f>
        <v>34.37</v>
      </c>
      <c r="D923" s="1">
        <f>IFERROR(__xludf.DUMMYFUNCTION("""COMPUTED_VALUE"""),20.0)</f>
        <v>20</v>
      </c>
      <c r="E923" s="1">
        <f>IFERROR(__xludf.DUMMYFUNCTION("""COMPUTED_VALUE"""),33.15)</f>
        <v>33.15</v>
      </c>
      <c r="F923" s="1">
        <f>IFERROR(__xludf.DUMMYFUNCTION("""COMPUTED_VALUE"""),8.16370426E8)</f>
        <v>816370426</v>
      </c>
    </row>
    <row r="924">
      <c r="A924" s="2">
        <f>IFERROR(__xludf.DUMMYFUNCTION("""COMPUTED_VALUE"""),45625.54513888889)</f>
        <v>45625.54514</v>
      </c>
      <c r="B924" s="1">
        <f>IFERROR(__xludf.DUMMYFUNCTION("""COMPUTED_VALUE"""),36.03)</f>
        <v>36.03</v>
      </c>
      <c r="C924" s="1">
        <f>IFERROR(__xludf.DUMMYFUNCTION("""COMPUTED_VALUE"""),39.23)</f>
        <v>39.23</v>
      </c>
      <c r="D924" s="1">
        <f>IFERROR(__xludf.DUMMYFUNCTION("""COMPUTED_VALUE"""),31.11)</f>
        <v>31.11</v>
      </c>
      <c r="E924" s="1">
        <f>IFERROR(__xludf.DUMMYFUNCTION("""COMPUTED_VALUE"""),32.64)</f>
        <v>32.64</v>
      </c>
      <c r="F924" s="1">
        <f>IFERROR(__xludf.DUMMYFUNCTION("""COMPUTED_VALUE"""),3.88807958E8)</f>
        <v>388807958</v>
      </c>
    </row>
    <row r="925">
      <c r="A925" s="2">
        <f>IFERROR(__xludf.DUMMYFUNCTION("""COMPUTED_VALUE"""),45632.66666666667)</f>
        <v>45632.66667</v>
      </c>
      <c r="B925" s="1">
        <f>IFERROR(__xludf.DUMMYFUNCTION("""COMPUTED_VALUE"""),37.78)</f>
        <v>37.78</v>
      </c>
      <c r="C925" s="1">
        <f>IFERROR(__xludf.DUMMYFUNCTION("""COMPUTED_VALUE"""),45.99)</f>
        <v>45.99</v>
      </c>
      <c r="D925" s="1">
        <f>IFERROR(__xludf.DUMMYFUNCTION("""COMPUTED_VALUE"""),35.32)</f>
        <v>35.32</v>
      </c>
      <c r="E925" s="1">
        <f>IFERROR(__xludf.DUMMYFUNCTION("""COMPUTED_VALUE"""),43.93)</f>
        <v>43.93</v>
      </c>
      <c r="F925" s="1">
        <f>IFERROR(__xludf.DUMMYFUNCTION("""COMPUTED_VALUE"""),7.44340762E8)</f>
        <v>744340762</v>
      </c>
    </row>
    <row r="926">
      <c r="A926" s="2">
        <f>IFERROR(__xludf.DUMMYFUNCTION("""COMPUTED_VALUE"""),45639.66666666667)</f>
        <v>45639.66667</v>
      </c>
      <c r="B926" s="1">
        <f>IFERROR(__xludf.DUMMYFUNCTION("""COMPUTED_VALUE"""),47.93)</f>
        <v>47.93</v>
      </c>
      <c r="C926" s="1">
        <f>IFERROR(__xludf.DUMMYFUNCTION("""COMPUTED_VALUE"""),48.0)</f>
        <v>48</v>
      </c>
      <c r="D926" s="1">
        <f>IFERROR(__xludf.DUMMYFUNCTION("""COMPUTED_VALUE"""),35.55)</f>
        <v>35.55</v>
      </c>
      <c r="E926" s="1">
        <f>IFERROR(__xludf.DUMMYFUNCTION("""COMPUTED_VALUE"""),36.45)</f>
        <v>36.45</v>
      </c>
      <c r="F926" s="1">
        <f>IFERROR(__xludf.DUMMYFUNCTION("""COMPUTED_VALUE"""),3.65967434E8)</f>
        <v>365967434</v>
      </c>
    </row>
    <row r="927">
      <c r="A927" s="2">
        <f>IFERROR(__xludf.DUMMYFUNCTION("""COMPUTED_VALUE"""),45646.66666666667)</f>
        <v>45646.66667</v>
      </c>
      <c r="B927" s="1">
        <f>IFERROR(__xludf.DUMMYFUNCTION("""COMPUTED_VALUE"""),31.51)</f>
        <v>31.51</v>
      </c>
      <c r="C927" s="1">
        <f>IFERROR(__xludf.DUMMYFUNCTION("""COMPUTED_VALUE"""),35.38)</f>
        <v>35.38</v>
      </c>
      <c r="D927" s="1">
        <f>IFERROR(__xludf.DUMMYFUNCTION("""COMPUTED_VALUE"""),30.51)</f>
        <v>30.51</v>
      </c>
      <c r="E927" s="1">
        <f>IFERROR(__xludf.DUMMYFUNCTION("""COMPUTED_VALUE"""),31.59)</f>
        <v>31.59</v>
      </c>
      <c r="F927" s="1">
        <f>IFERROR(__xludf.DUMMYFUNCTION("""COMPUTED_VALUE"""),2.97234502E8)</f>
        <v>297234502</v>
      </c>
    </row>
    <row r="928">
      <c r="A928" s="2">
        <f>IFERROR(__xludf.DUMMYFUNCTION("""COMPUTED_VALUE"""),45653.66666666667)</f>
        <v>45653.66667</v>
      </c>
      <c r="B928" s="1">
        <f>IFERROR(__xludf.DUMMYFUNCTION("""COMPUTED_VALUE"""),31.82)</f>
        <v>31.82</v>
      </c>
      <c r="C928" s="1">
        <f>IFERROR(__xludf.DUMMYFUNCTION("""COMPUTED_VALUE"""),35.5)</f>
        <v>35.5</v>
      </c>
      <c r="D928" s="1">
        <f>IFERROR(__xludf.DUMMYFUNCTION("""COMPUTED_VALUE"""),31.58)</f>
        <v>31.58</v>
      </c>
      <c r="E928" s="1">
        <f>IFERROR(__xludf.DUMMYFUNCTION("""COMPUTED_VALUE"""),31.98)</f>
        <v>31.98</v>
      </c>
      <c r="F928" s="1">
        <f>IFERROR(__xludf.DUMMYFUNCTION("""COMPUTED_VALUE"""),1.27664157E8)</f>
        <v>127664157</v>
      </c>
    </row>
    <row r="929">
      <c r="A929" s="2">
        <f>IFERROR(__xludf.DUMMYFUNCTION("""COMPUTED_VALUE"""),45660.66666666667)</f>
        <v>45660.66667</v>
      </c>
      <c r="B929" s="1">
        <f>IFERROR(__xludf.DUMMYFUNCTION("""COMPUTED_VALUE"""),31.28)</f>
        <v>31.28</v>
      </c>
      <c r="C929" s="1">
        <f>IFERROR(__xludf.DUMMYFUNCTION("""COMPUTED_VALUE"""),33.45)</f>
        <v>33.45</v>
      </c>
      <c r="D929" s="1">
        <f>IFERROR(__xludf.DUMMYFUNCTION("""COMPUTED_VALUE"""),29.9)</f>
        <v>29.9</v>
      </c>
      <c r="E929" s="1">
        <f>IFERROR(__xludf.DUMMYFUNCTION("""COMPUTED_VALUE"""),33.33)</f>
        <v>33.33</v>
      </c>
      <c r="F929" s="1">
        <f>IFERROR(__xludf.DUMMYFUNCTION("""COMPUTED_VALUE"""),1.17560084E8)</f>
        <v>117560084</v>
      </c>
    </row>
    <row r="930">
      <c r="A930" s="2">
        <f>IFERROR(__xludf.DUMMYFUNCTION("""COMPUTED_VALUE"""),45667.66666666667)</f>
        <v>45667.66667</v>
      </c>
      <c r="B930" s="1">
        <f>IFERROR(__xludf.DUMMYFUNCTION("""COMPUTED_VALUE"""),34.95)</f>
        <v>34.95</v>
      </c>
      <c r="C930" s="1">
        <f>IFERROR(__xludf.DUMMYFUNCTION("""COMPUTED_VALUE"""),38.5)</f>
        <v>38.5</v>
      </c>
      <c r="D930" s="1">
        <f>IFERROR(__xludf.DUMMYFUNCTION("""COMPUTED_VALUE"""),31.71)</f>
        <v>31.71</v>
      </c>
      <c r="E930" s="1">
        <f>IFERROR(__xludf.DUMMYFUNCTION("""COMPUTED_VALUE"""),32.6)</f>
        <v>32.6</v>
      </c>
      <c r="F930" s="1">
        <f>IFERROR(__xludf.DUMMYFUNCTION("""COMPUTED_VALUE"""),1.45414432E8)</f>
        <v>145414432</v>
      </c>
    </row>
    <row r="931">
      <c r="A931" s="2">
        <f>IFERROR(__xludf.DUMMYFUNCTION("""COMPUTED_VALUE"""),45674.66666666667)</f>
        <v>45674.66667</v>
      </c>
      <c r="B931" s="1">
        <f>IFERROR(__xludf.DUMMYFUNCTION("""COMPUTED_VALUE"""),30.84)</f>
        <v>30.84</v>
      </c>
      <c r="C931" s="1">
        <f>IFERROR(__xludf.DUMMYFUNCTION("""COMPUTED_VALUE"""),32.82)</f>
        <v>32.82</v>
      </c>
      <c r="D931" s="1">
        <f>IFERROR(__xludf.DUMMYFUNCTION("""COMPUTED_VALUE"""),29.01)</f>
        <v>29.01</v>
      </c>
      <c r="E931" s="1">
        <f>IFERROR(__xludf.DUMMYFUNCTION("""COMPUTED_VALUE"""),30.82)</f>
        <v>30.82</v>
      </c>
      <c r="F931" s="1">
        <f>IFERROR(__xludf.DUMMYFUNCTION("""COMPUTED_VALUE"""),1.34011002E8)</f>
        <v>134011002</v>
      </c>
    </row>
    <row r="932">
      <c r="A932" s="2">
        <f>IFERROR(__xludf.DUMMYFUNCTION("""COMPUTED_VALUE"""),45681.66666666667)</f>
        <v>45681.66667</v>
      </c>
      <c r="B932" s="1">
        <f>IFERROR(__xludf.DUMMYFUNCTION("""COMPUTED_VALUE"""),31.38)</f>
        <v>31.38</v>
      </c>
      <c r="C932" s="1">
        <f>IFERROR(__xludf.DUMMYFUNCTION("""COMPUTED_VALUE"""),34.98)</f>
        <v>34.98</v>
      </c>
      <c r="D932" s="1">
        <f>IFERROR(__xludf.DUMMYFUNCTION("""COMPUTED_VALUE"""),31.11)</f>
        <v>31.11</v>
      </c>
      <c r="E932" s="1">
        <f>IFERROR(__xludf.DUMMYFUNCTION("""COMPUTED_VALUE"""),33.27)</f>
        <v>33.27</v>
      </c>
      <c r="F932" s="1">
        <f>IFERROR(__xludf.DUMMYFUNCTION("""COMPUTED_VALUE"""),1.39826636E8)</f>
        <v>139826636</v>
      </c>
    </row>
    <row r="933">
      <c r="A933" s="2">
        <f>IFERROR(__xludf.DUMMYFUNCTION("""COMPUTED_VALUE"""),45688.66666666667)</f>
        <v>45688.66667</v>
      </c>
      <c r="B933" s="1">
        <f>IFERROR(__xludf.DUMMYFUNCTION("""COMPUTED_VALUE"""),30.31)</f>
        <v>30.31</v>
      </c>
      <c r="C933" s="1">
        <f>IFERROR(__xludf.DUMMYFUNCTION("""COMPUTED_VALUE"""),31.95)</f>
        <v>31.95</v>
      </c>
      <c r="D933" s="1">
        <f>IFERROR(__xludf.DUMMYFUNCTION("""COMPUTED_VALUE"""),27.22)</f>
        <v>27.22</v>
      </c>
      <c r="E933" s="1">
        <f>IFERROR(__xludf.DUMMYFUNCTION("""COMPUTED_VALUE"""),28.52)</f>
        <v>28.52</v>
      </c>
      <c r="F933" s="1">
        <f>IFERROR(__xludf.DUMMYFUNCTION("""COMPUTED_VALUE"""),1.82055315E8)</f>
        <v>182055315</v>
      </c>
    </row>
    <row r="934">
      <c r="A934" s="2">
        <f>IFERROR(__xludf.DUMMYFUNCTION("""COMPUTED_VALUE"""),45695.66666666667)</f>
        <v>45695.66667</v>
      </c>
      <c r="B934" s="1">
        <f>IFERROR(__xludf.DUMMYFUNCTION("""COMPUTED_VALUE"""),27.2)</f>
        <v>27.2</v>
      </c>
      <c r="C934" s="1">
        <f>IFERROR(__xludf.DUMMYFUNCTION("""COMPUTED_VALUE"""),36.96)</f>
        <v>36.96</v>
      </c>
      <c r="D934" s="1">
        <f>IFERROR(__xludf.DUMMYFUNCTION("""COMPUTED_VALUE"""),25.71)</f>
        <v>25.71</v>
      </c>
      <c r="E934" s="1">
        <f>IFERROR(__xludf.DUMMYFUNCTION("""COMPUTED_VALUE"""),36.28)</f>
        <v>36.28</v>
      </c>
      <c r="F934" s="1">
        <f>IFERROR(__xludf.DUMMYFUNCTION("""COMPUTED_VALUE"""),3.02807757E8)</f>
        <v>302807757</v>
      </c>
    </row>
    <row r="935">
      <c r="A935" s="2">
        <f>IFERROR(__xludf.DUMMYFUNCTION("""COMPUTED_VALUE"""),45702.66666666667)</f>
        <v>45702.66667</v>
      </c>
      <c r="B935" s="1">
        <f>IFERROR(__xludf.DUMMYFUNCTION("""COMPUTED_VALUE"""),38.0)</f>
        <v>38</v>
      </c>
      <c r="C935" s="1">
        <f>IFERROR(__xludf.DUMMYFUNCTION("""COMPUTED_VALUE"""),48.18)</f>
        <v>48.18</v>
      </c>
      <c r="D935" s="1">
        <f>IFERROR(__xludf.DUMMYFUNCTION("""COMPUTED_VALUE"""),37.36)</f>
        <v>37.36</v>
      </c>
      <c r="E935" s="1">
        <f>IFERROR(__xludf.DUMMYFUNCTION("""COMPUTED_VALUE"""),47.91)</f>
        <v>47.91</v>
      </c>
      <c r="F935" s="1">
        <f>IFERROR(__xludf.DUMMYFUNCTION("""COMPUTED_VALUE"""),6.93191198E8)</f>
        <v>693191198</v>
      </c>
    </row>
    <row r="936">
      <c r="A936" s="2">
        <f>IFERROR(__xludf.DUMMYFUNCTION("""COMPUTED_VALUE"""),45709.66666666667)</f>
        <v>45709.66667</v>
      </c>
      <c r="B936" s="1">
        <f>IFERROR(__xludf.DUMMYFUNCTION("""COMPUTED_VALUE"""),51.0)</f>
        <v>51</v>
      </c>
      <c r="C936" s="1">
        <f>IFERROR(__xludf.DUMMYFUNCTION("""COMPUTED_VALUE"""),66.44)</f>
        <v>66.44</v>
      </c>
      <c r="D936" s="1">
        <f>IFERROR(__xludf.DUMMYFUNCTION("""COMPUTED_VALUE"""),50.99)</f>
        <v>50.99</v>
      </c>
      <c r="E936" s="1">
        <f>IFERROR(__xludf.DUMMYFUNCTION("""COMPUTED_VALUE"""),56.07)</f>
        <v>56.07</v>
      </c>
      <c r="F936" s="1">
        <f>IFERROR(__xludf.DUMMYFUNCTION("""COMPUTED_VALUE"""),7.87438383E8)</f>
        <v>787438383</v>
      </c>
    </row>
    <row r="937">
      <c r="A937" s="2">
        <f>IFERROR(__xludf.DUMMYFUNCTION("""COMPUTED_VALUE"""),45716.66666666667)</f>
        <v>45716.66667</v>
      </c>
      <c r="B937" s="1">
        <f>IFERROR(__xludf.DUMMYFUNCTION("""COMPUTED_VALUE"""),53.88)</f>
        <v>53.88</v>
      </c>
      <c r="C937" s="1">
        <f>IFERROR(__xludf.DUMMYFUNCTION("""COMPUTED_VALUE"""),56.25)</f>
        <v>56.25</v>
      </c>
      <c r="D937" s="1">
        <f>IFERROR(__xludf.DUMMYFUNCTION("""COMPUTED_VALUE"""),38.88)</f>
        <v>38.88</v>
      </c>
      <c r="E937" s="1">
        <f>IFERROR(__xludf.DUMMYFUNCTION("""COMPUTED_VALUE"""),41.46)</f>
        <v>41.46</v>
      </c>
      <c r="F937" s="1">
        <f>IFERROR(__xludf.DUMMYFUNCTION("""COMPUTED_VALUE"""),5.92655675E8)</f>
        <v>592655675</v>
      </c>
    </row>
    <row r="938">
      <c r="A938" s="2">
        <f>IFERROR(__xludf.DUMMYFUNCTION("""COMPUTED_VALUE"""),45723.66666666667)</f>
        <v>45723.66667</v>
      </c>
      <c r="B938" s="1">
        <f>IFERROR(__xludf.DUMMYFUNCTION("""COMPUTED_VALUE"""),42.28)</f>
        <v>42.28</v>
      </c>
      <c r="C938" s="1">
        <f>IFERROR(__xludf.DUMMYFUNCTION("""COMPUTED_VALUE"""),42.38)</f>
        <v>42.38</v>
      </c>
      <c r="D938" s="1">
        <f>IFERROR(__xludf.DUMMYFUNCTION("""COMPUTED_VALUE"""),34.51)</f>
        <v>34.51</v>
      </c>
      <c r="E938" s="1">
        <f>IFERROR(__xludf.DUMMYFUNCTION("""COMPUTED_VALUE"""),38.24)</f>
        <v>38.24</v>
      </c>
      <c r="F938" s="1">
        <f>IFERROR(__xludf.DUMMYFUNCTION("""COMPUTED_VALUE"""),4.14672601E8)</f>
        <v>414672601</v>
      </c>
    </row>
    <row r="939">
      <c r="A939" s="2">
        <f>IFERROR(__xludf.DUMMYFUNCTION("""COMPUTED_VALUE"""),45730.66666666667)</f>
        <v>45730.66667</v>
      </c>
      <c r="B939" s="1">
        <f>IFERROR(__xludf.DUMMYFUNCTION("""COMPUTED_VALUE"""),37.8)</f>
        <v>37.8</v>
      </c>
      <c r="C939" s="1">
        <f>IFERROR(__xludf.DUMMYFUNCTION("""COMPUTED_VALUE"""),44.99)</f>
        <v>44.99</v>
      </c>
      <c r="D939" s="1">
        <f>IFERROR(__xludf.DUMMYFUNCTION("""COMPUTED_VALUE"""),35.99)</f>
        <v>35.99</v>
      </c>
      <c r="E939" s="1">
        <f>IFERROR(__xludf.DUMMYFUNCTION("""COMPUTED_VALUE"""),42.17)</f>
        <v>42.17</v>
      </c>
      <c r="F939" s="1">
        <f>IFERROR(__xludf.DUMMYFUNCTION("""COMPUTED_VALUE"""),3.74801312E8)</f>
        <v>374801312</v>
      </c>
    </row>
    <row r="940">
      <c r="A940" s="2">
        <f>IFERROR(__xludf.DUMMYFUNCTION("""COMPUTED_VALUE"""),45737.66666666667)</f>
        <v>45737.66667</v>
      </c>
      <c r="B940" s="1">
        <f>IFERROR(__xludf.DUMMYFUNCTION("""COMPUTED_VALUE"""),42.68)</f>
        <v>42.68</v>
      </c>
      <c r="C940" s="1">
        <f>IFERROR(__xludf.DUMMYFUNCTION("""COMPUTED_VALUE"""),43.17)</f>
        <v>43.17</v>
      </c>
      <c r="D940" s="1">
        <f>IFERROR(__xludf.DUMMYFUNCTION("""COMPUTED_VALUE"""),37.85)</f>
        <v>37.85</v>
      </c>
      <c r="E940" s="1">
        <f>IFERROR(__xludf.DUMMYFUNCTION("""COMPUTED_VALUE"""),42.15)</f>
        <v>42.15</v>
      </c>
      <c r="F940" s="1">
        <f>IFERROR(__xludf.DUMMYFUNCTION("""COMPUTED_VALUE"""),2.63327804E8)</f>
        <v>263327804</v>
      </c>
    </row>
    <row r="941">
      <c r="A941" s="2">
        <f>IFERROR(__xludf.DUMMYFUNCTION("""COMPUTED_VALUE"""),45744.66666666667)</f>
        <v>45744.66667</v>
      </c>
      <c r="B941" s="1">
        <f>IFERROR(__xludf.DUMMYFUNCTION("""COMPUTED_VALUE"""),40.81)</f>
        <v>40.81</v>
      </c>
      <c r="C941" s="1">
        <f>IFERROR(__xludf.DUMMYFUNCTION("""COMPUTED_VALUE"""),43.39)</f>
        <v>43.39</v>
      </c>
      <c r="D941" s="1">
        <f>IFERROR(__xludf.DUMMYFUNCTION("""COMPUTED_VALUE"""),33.89)</f>
        <v>33.89</v>
      </c>
      <c r="E941" s="1">
        <f>IFERROR(__xludf.DUMMYFUNCTION("""COMPUTED_VALUE"""),34.26)</f>
        <v>34.26</v>
      </c>
      <c r="F941" s="1">
        <f>IFERROR(__xludf.DUMMYFUNCTION("""COMPUTED_VALUE"""),2.96576715E8)</f>
        <v>296576715</v>
      </c>
    </row>
    <row r="942">
      <c r="A942" s="2">
        <f>IFERROR(__xludf.DUMMYFUNCTION("""COMPUTED_VALUE"""),45751.66666666667)</f>
        <v>45751.66667</v>
      </c>
      <c r="B942" s="1">
        <f>IFERROR(__xludf.DUMMYFUNCTION("""COMPUTED_VALUE"""),32.75)</f>
        <v>32.75</v>
      </c>
      <c r="C942" s="1">
        <f>IFERROR(__xludf.DUMMYFUNCTION("""COMPUTED_VALUE"""),36.05)</f>
        <v>36.05</v>
      </c>
      <c r="D942" s="1">
        <f>IFERROR(__xludf.DUMMYFUNCTION("""COMPUTED_VALUE"""),27.65)</f>
        <v>27.65</v>
      </c>
      <c r="E942" s="1">
        <f>IFERROR(__xludf.DUMMYFUNCTION("""COMPUTED_VALUE"""),29.82)</f>
        <v>29.82</v>
      </c>
      <c r="F942" s="1">
        <f>IFERROR(__xludf.DUMMYFUNCTION("""COMPUTED_VALUE"""),2.25041899E8)</f>
        <v>225041899</v>
      </c>
    </row>
    <row r="943">
      <c r="A943" s="2">
        <f>IFERROR(__xludf.DUMMYFUNCTION("""COMPUTED_VALUE"""),45758.66666666667)</f>
        <v>45758.66667</v>
      </c>
      <c r="B943" s="1">
        <f>IFERROR(__xludf.DUMMYFUNCTION("""COMPUTED_VALUE"""),27.91)</f>
        <v>27.91</v>
      </c>
      <c r="C943" s="1">
        <f>IFERROR(__xludf.DUMMYFUNCTION("""COMPUTED_VALUE"""),37.39)</f>
        <v>37.39</v>
      </c>
      <c r="D943" s="1">
        <f>IFERROR(__xludf.DUMMYFUNCTION("""COMPUTED_VALUE"""),27.6)</f>
        <v>27.6</v>
      </c>
      <c r="E943" s="1">
        <f>IFERROR(__xludf.DUMMYFUNCTION("""COMPUTED_VALUE"""),33.15)</f>
        <v>33.15</v>
      </c>
      <c r="F943" s="1">
        <f>IFERROR(__xludf.DUMMYFUNCTION("""COMPUTED_VALUE"""),2.70072126E8)</f>
        <v>270072126</v>
      </c>
    </row>
    <row r="944">
      <c r="A944" s="2">
        <f>IFERROR(__xludf.DUMMYFUNCTION("""COMPUTED_VALUE"""),45764.66666666667)</f>
        <v>45764.66667</v>
      </c>
      <c r="B944" s="1">
        <f>IFERROR(__xludf.DUMMYFUNCTION("""COMPUTED_VALUE"""),35.03)</f>
        <v>35.03</v>
      </c>
      <c r="C944" s="1">
        <f>IFERROR(__xludf.DUMMYFUNCTION("""COMPUTED_VALUE"""),35.12)</f>
        <v>35.12</v>
      </c>
      <c r="D944" s="1">
        <f>IFERROR(__xludf.DUMMYFUNCTION("""COMPUTED_VALUE"""),30.44)</f>
        <v>30.44</v>
      </c>
      <c r="E944" s="1">
        <f>IFERROR(__xludf.DUMMYFUNCTION("""COMPUTED_VALUE"""),31.51)</f>
        <v>31.51</v>
      </c>
      <c r="F944" s="1">
        <f>IFERROR(__xludf.DUMMYFUNCTION("""COMPUTED_VALUE"""),1.27028895E8)</f>
        <v>127028895</v>
      </c>
    </row>
    <row r="945">
      <c r="A945" s="2">
        <f>IFERROR(__xludf.DUMMYFUNCTION("""COMPUTED_VALUE"""),45772.66666666667)</f>
        <v>45772.66667</v>
      </c>
      <c r="B945" s="1">
        <f>IFERROR(__xludf.DUMMYFUNCTION("""COMPUTED_VALUE"""),30.75)</f>
        <v>30.75</v>
      </c>
      <c r="C945" s="1">
        <f>IFERROR(__xludf.DUMMYFUNCTION("""COMPUTED_VALUE"""),36.74)</f>
        <v>36.74</v>
      </c>
      <c r="D945" s="1">
        <f>IFERROR(__xludf.DUMMYFUNCTION("""COMPUTED_VALUE"""),28.9)</f>
        <v>28.9</v>
      </c>
      <c r="E945" s="1">
        <f>IFERROR(__xludf.DUMMYFUNCTION("""COMPUTED_VALUE"""),36.47)</f>
        <v>36.47</v>
      </c>
      <c r="F945" s="1">
        <f>IFERROR(__xludf.DUMMYFUNCTION("""COMPUTED_VALUE"""),2.12740555E8)</f>
        <v>212740555</v>
      </c>
    </row>
    <row r="946">
      <c r="A946" s="2">
        <f>IFERROR(__xludf.DUMMYFUNCTION("""COMPUTED_VALUE"""),45779.66666666667)</f>
        <v>45779.66667</v>
      </c>
      <c r="B946" s="1">
        <f>IFERROR(__xludf.DUMMYFUNCTION("""COMPUTED_VALUE"""),36.54)</f>
        <v>36.54</v>
      </c>
      <c r="C946" s="1">
        <f>IFERROR(__xludf.DUMMYFUNCTION("""COMPUTED_VALUE"""),37.82)</f>
        <v>37.82</v>
      </c>
      <c r="D946" s="1">
        <f>IFERROR(__xludf.DUMMYFUNCTION("""COMPUTED_VALUE"""),28.78)</f>
        <v>28.78</v>
      </c>
      <c r="E946" s="1">
        <f>IFERROR(__xludf.DUMMYFUNCTION("""COMPUTED_VALUE"""),33.71)</f>
        <v>33.71</v>
      </c>
      <c r="F946" s="1">
        <f>IFERROR(__xludf.DUMMYFUNCTION("""COMPUTED_VALUE"""),2.8444581E8)</f>
        <v>284445810</v>
      </c>
    </row>
    <row r="947">
      <c r="A947" s="2">
        <f>IFERROR(__xludf.DUMMYFUNCTION("""COMPUTED_VALUE"""),45786.66666666667)</f>
        <v>45786.66667</v>
      </c>
      <c r="B947" s="1">
        <f>IFERROR(__xludf.DUMMYFUNCTION("""COMPUTED_VALUE"""),33.1)</f>
        <v>33.1</v>
      </c>
      <c r="C947" s="1">
        <f>IFERROR(__xludf.DUMMYFUNCTION("""COMPUTED_VALUE"""),33.49)</f>
        <v>33.49</v>
      </c>
      <c r="D947" s="1">
        <f>IFERROR(__xludf.DUMMYFUNCTION("""COMPUTED_VALUE"""),30.54)</f>
        <v>30.54</v>
      </c>
      <c r="E947" s="1">
        <f>IFERROR(__xludf.DUMMYFUNCTION("""COMPUTED_VALUE"""),31.99)</f>
        <v>31.99</v>
      </c>
      <c r="F947" s="1">
        <f>IFERROR(__xludf.DUMMYFUNCTION("""COMPUTED_VALUE"""),2.10965948E8)</f>
        <v>210965948</v>
      </c>
    </row>
    <row r="948">
      <c r="A948" s="2">
        <f>IFERROR(__xludf.DUMMYFUNCTION("""COMPUTED_VALUE"""),45793.66666666667)</f>
        <v>45793.66667</v>
      </c>
      <c r="B948" s="1">
        <f>IFERROR(__xludf.DUMMYFUNCTION("""COMPUTED_VALUE"""),33.89)</f>
        <v>33.89</v>
      </c>
      <c r="C948" s="1">
        <f>IFERROR(__xludf.DUMMYFUNCTION("""COMPUTED_VALUE"""),47.8)</f>
        <v>47.8</v>
      </c>
      <c r="D948" s="1">
        <f>IFERROR(__xludf.DUMMYFUNCTION("""COMPUTED_VALUE"""),32.95)</f>
        <v>32.95</v>
      </c>
      <c r="E948" s="1">
        <f>IFERROR(__xludf.DUMMYFUNCTION("""COMPUTED_VALUE"""),46.15)</f>
        <v>46.15</v>
      </c>
      <c r="F948" s="1">
        <f>IFERROR(__xludf.DUMMYFUNCTION("""COMPUTED_VALUE"""),5.03633992E8)</f>
        <v>503633992</v>
      </c>
    </row>
    <row r="949">
      <c r="A949" s="2">
        <f>IFERROR(__xludf.DUMMYFUNCTION("""COMPUTED_VALUE"""),45800.66666666667)</f>
        <v>45800.66667</v>
      </c>
      <c r="B949" s="1">
        <f>IFERROR(__xludf.DUMMYFUNCTION("""COMPUTED_VALUE"""),44.23)</f>
        <v>44.23</v>
      </c>
      <c r="C949" s="1">
        <f>IFERROR(__xludf.DUMMYFUNCTION("""COMPUTED_VALUE"""),46.41)</f>
        <v>46.41</v>
      </c>
      <c r="D949" s="1">
        <f>IFERROR(__xludf.DUMMYFUNCTION("""COMPUTED_VALUE"""),39.11)</f>
        <v>39.11</v>
      </c>
      <c r="E949" s="1">
        <f>IFERROR(__xludf.DUMMYFUNCTION("""COMPUTED_VALUE"""),40.09)</f>
        <v>40.09</v>
      </c>
      <c r="F949" s="1">
        <f>IFERROR(__xludf.DUMMYFUNCTION("""COMPUTED_VALUE"""),1.83045986E8)</f>
        <v>183045986</v>
      </c>
    </row>
    <row r="950">
      <c r="A950" s="2">
        <f>IFERROR(__xludf.DUMMYFUNCTION("""COMPUTED_VALUE"""),45807.66666666667)</f>
        <v>45807.66667</v>
      </c>
      <c r="B950" s="1">
        <f>IFERROR(__xludf.DUMMYFUNCTION("""COMPUTED_VALUE"""),41.41)</f>
        <v>41.41</v>
      </c>
      <c r="C950" s="1">
        <f>IFERROR(__xludf.DUMMYFUNCTION("""COMPUTED_VALUE"""),43.97)</f>
        <v>43.97</v>
      </c>
      <c r="D950" s="1">
        <f>IFERROR(__xludf.DUMMYFUNCTION("""COMPUTED_VALUE"""),39.05)</f>
        <v>39.05</v>
      </c>
      <c r="E950" s="1">
        <f>IFERROR(__xludf.DUMMYFUNCTION("""COMPUTED_VALUE"""),40.02)</f>
        <v>40.02</v>
      </c>
      <c r="F950" s="1">
        <f>IFERROR(__xludf.DUMMYFUNCTION("""COMPUTED_VALUE"""),1.50338225E8)</f>
        <v>150338225</v>
      </c>
    </row>
    <row r="951">
      <c r="A951" s="2">
        <f>IFERROR(__xludf.DUMMYFUNCTION("""COMPUTED_VALUE"""),45814.66666666667)</f>
        <v>45814.66667</v>
      </c>
      <c r="B951" s="1">
        <f>IFERROR(__xludf.DUMMYFUNCTION("""COMPUTED_VALUE"""),39.65)</f>
        <v>39.65</v>
      </c>
      <c r="C951" s="1">
        <f>IFERROR(__xludf.DUMMYFUNCTION("""COMPUTED_VALUE"""),44.72)</f>
        <v>44.72</v>
      </c>
      <c r="D951" s="1">
        <f>IFERROR(__xludf.DUMMYFUNCTION("""COMPUTED_VALUE"""),39.51)</f>
        <v>39.51</v>
      </c>
      <c r="E951" s="1">
        <f>IFERROR(__xludf.DUMMYFUNCTION("""COMPUTED_VALUE"""),41.55)</f>
        <v>41.55</v>
      </c>
      <c r="F951" s="1">
        <f>IFERROR(__xludf.DUMMYFUNCTION("""COMPUTED_VALUE"""),1.65082128E8)</f>
        <v>165082128</v>
      </c>
    </row>
    <row r="952">
      <c r="A952" s="2">
        <f>IFERROR(__xludf.DUMMYFUNCTION("""COMPUTED_VALUE"""),45821.66666666667)</f>
        <v>45821.66667</v>
      </c>
      <c r="B952" s="1">
        <f>IFERROR(__xludf.DUMMYFUNCTION("""COMPUTED_VALUE"""),42.24)</f>
        <v>42.24</v>
      </c>
      <c r="C952" s="1">
        <f>IFERROR(__xludf.DUMMYFUNCTION("""COMPUTED_VALUE"""),44.55)</f>
        <v>44.55</v>
      </c>
      <c r="D952" s="1">
        <f>IFERROR(__xludf.DUMMYFUNCTION("""COMPUTED_VALUE"""),40.74)</f>
        <v>40.74</v>
      </c>
      <c r="E952" s="1">
        <f>IFERROR(__xludf.DUMMYFUNCTION("""COMPUTED_VALUE"""),41.56)</f>
        <v>41.56</v>
      </c>
      <c r="F952" s="1">
        <f>IFERROR(__xludf.DUMMYFUNCTION("""COMPUTED_VALUE"""),1.44075272E8)</f>
        <v>144075272</v>
      </c>
    </row>
    <row r="953">
      <c r="A953" s="2">
        <f>IFERROR(__xludf.DUMMYFUNCTION("""COMPUTED_VALUE"""),45828.66666666667)</f>
        <v>45828.66667</v>
      </c>
      <c r="B953" s="1">
        <f>IFERROR(__xludf.DUMMYFUNCTION("""COMPUTED_VALUE"""),42.28)</f>
        <v>42.28</v>
      </c>
      <c r="C953" s="1">
        <f>IFERROR(__xludf.DUMMYFUNCTION("""COMPUTED_VALUE"""),46.18)</f>
        <v>46.18</v>
      </c>
      <c r="D953" s="1">
        <f>IFERROR(__xludf.DUMMYFUNCTION("""COMPUTED_VALUE"""),42.07)</f>
        <v>42.07</v>
      </c>
      <c r="E953" s="1">
        <f>IFERROR(__xludf.DUMMYFUNCTION("""COMPUTED_VALUE"""),45.32)</f>
        <v>45.32</v>
      </c>
      <c r="F953" s="1">
        <f>IFERROR(__xludf.DUMMYFUNCTION("""COMPUTED_VALUE"""),1.46865071E8)</f>
        <v>146865071</v>
      </c>
    </row>
    <row r="954">
      <c r="A954" s="2">
        <f>IFERROR(__xludf.DUMMYFUNCTION("""COMPUTED_VALUE"""),45835.66666666667)</f>
        <v>45835.66667</v>
      </c>
      <c r="B954" s="1">
        <f>IFERROR(__xludf.DUMMYFUNCTION("""COMPUTED_VALUE"""),43.47)</f>
        <v>43.47</v>
      </c>
      <c r="C954" s="1">
        <f>IFERROR(__xludf.DUMMYFUNCTION("""COMPUTED_VALUE"""),49.97)</f>
        <v>49.97</v>
      </c>
      <c r="D954" s="1">
        <f>IFERROR(__xludf.DUMMYFUNCTION("""COMPUTED_VALUE"""),40.78)</f>
        <v>40.78</v>
      </c>
      <c r="E954" s="1">
        <f>IFERROR(__xludf.DUMMYFUNCTION("""COMPUTED_VALUE"""),47.58)</f>
        <v>47.58</v>
      </c>
      <c r="F954" s="1">
        <f>IFERROR(__xludf.DUMMYFUNCTION("""COMPUTED_VALUE"""),3.39933575E8)</f>
        <v>339933575</v>
      </c>
    </row>
    <row r="955">
      <c r="A955" s="2">
        <f>IFERROR(__xludf.DUMMYFUNCTION("""COMPUTED_VALUE"""),45841.54513888889)</f>
        <v>45841.54514</v>
      </c>
      <c r="B955" s="1">
        <f>IFERROR(__xludf.DUMMYFUNCTION("""COMPUTED_VALUE"""),48.7)</f>
        <v>48.7</v>
      </c>
      <c r="C955" s="1">
        <f>IFERROR(__xludf.DUMMYFUNCTION("""COMPUTED_VALUE"""),50.55)</f>
        <v>50.55</v>
      </c>
      <c r="D955" s="1">
        <f>IFERROR(__xludf.DUMMYFUNCTION("""COMPUTED_VALUE"""),46.37)</f>
        <v>46.37</v>
      </c>
      <c r="E955" s="1">
        <f>IFERROR(__xludf.DUMMYFUNCTION("""COMPUTED_VALUE"""),48.56)</f>
        <v>48.56</v>
      </c>
      <c r="F955" s="1">
        <f>IFERROR(__xludf.DUMMYFUNCTION("""COMPUTED_VALUE"""),1.37849861E8)</f>
        <v>137849861</v>
      </c>
    </row>
    <row r="956">
      <c r="A956" s="2">
        <f>IFERROR(__xludf.DUMMYFUNCTION("""COMPUTED_VALUE"""),45849.66666666667)</f>
        <v>45849.66667</v>
      </c>
      <c r="B956" s="1">
        <f>IFERROR(__xludf.DUMMYFUNCTION("""COMPUTED_VALUE"""),48.23)</f>
        <v>48.23</v>
      </c>
      <c r="C956" s="1">
        <f>IFERROR(__xludf.DUMMYFUNCTION("""COMPUTED_VALUE"""),51.7)</f>
        <v>51.7</v>
      </c>
      <c r="D956" s="1">
        <f>IFERROR(__xludf.DUMMYFUNCTION("""COMPUTED_VALUE"""),46.22)</f>
        <v>46.22</v>
      </c>
      <c r="E956" s="1">
        <f>IFERROR(__xludf.DUMMYFUNCTION("""COMPUTED_VALUE"""),49.24)</f>
        <v>49.24</v>
      </c>
      <c r="F956" s="1">
        <f>IFERROR(__xludf.DUMMYFUNCTION("""COMPUTED_VALUE"""),1.55198614E8)</f>
        <v>155198614</v>
      </c>
    </row>
    <row r="957">
      <c r="A957" s="2">
        <f>IFERROR(__xludf.DUMMYFUNCTION("""COMPUTED_VALUE"""),45856.66666666667)</f>
        <v>45856.66667</v>
      </c>
      <c r="B957" s="1">
        <f>IFERROR(__xludf.DUMMYFUNCTION("""COMPUTED_VALUE"""),49.24)</f>
        <v>49.24</v>
      </c>
      <c r="C957" s="1">
        <f>IFERROR(__xludf.DUMMYFUNCTION("""COMPUTED_VALUE"""),54.2)</f>
        <v>54.2</v>
      </c>
      <c r="D957" s="1">
        <f>IFERROR(__xludf.DUMMYFUNCTION("""COMPUTED_VALUE"""),48.78)</f>
        <v>48.78</v>
      </c>
      <c r="E957" s="1">
        <f>IFERROR(__xludf.DUMMYFUNCTION("""COMPUTED_VALUE"""),51.77)</f>
        <v>51.77</v>
      </c>
      <c r="F957" s="1">
        <f>IFERROR(__xludf.DUMMYFUNCTION("""COMPUTED_VALUE"""),1.81058792E8)</f>
        <v>181058792</v>
      </c>
    </row>
    <row r="958">
      <c r="A958" s="2">
        <f>IFERROR(__xludf.DUMMYFUNCTION("""COMPUTED_VALUE"""),45863.66666666667)</f>
        <v>45863.66667</v>
      </c>
      <c r="B958" s="1">
        <f>IFERROR(__xludf.DUMMYFUNCTION("""COMPUTED_VALUE"""),52.69)</f>
        <v>52.69</v>
      </c>
      <c r="C958" s="1">
        <f>IFERROR(__xludf.DUMMYFUNCTION("""COMPUTED_VALUE"""),54.52)</f>
        <v>54.52</v>
      </c>
      <c r="D958" s="1">
        <f>IFERROR(__xludf.DUMMYFUNCTION("""COMPUTED_VALUE"""),48.85)</f>
        <v>48.85</v>
      </c>
      <c r="E958" s="1">
        <f>IFERROR(__xludf.DUMMYFUNCTION("""COMPUTED_VALUE"""),54.47)</f>
        <v>54.47</v>
      </c>
      <c r="F958" s="1">
        <f>IFERROR(__xludf.DUMMYFUNCTION("""COMPUTED_VALUE"""),1.67206894E8)</f>
        <v>167206894</v>
      </c>
    </row>
    <row r="959">
      <c r="A959" s="2">
        <f>IFERROR(__xludf.DUMMYFUNCTION("""COMPUTED_VALUE"""),45870.66666666667)</f>
        <v>45870.66667</v>
      </c>
      <c r="B959" s="1">
        <f>IFERROR(__xludf.DUMMYFUNCTION("""COMPUTED_VALUE"""),55.81)</f>
        <v>55.81</v>
      </c>
      <c r="C959" s="1">
        <f>IFERROR(__xludf.DUMMYFUNCTION("""COMPUTED_VALUE"""),62.36)</f>
        <v>62.36</v>
      </c>
      <c r="D959" s="1">
        <f>IFERROR(__xludf.DUMMYFUNCTION("""COMPUTED_VALUE"""),55.07)</f>
        <v>55.07</v>
      </c>
      <c r="E959" s="1">
        <f>IFERROR(__xludf.DUMMYFUNCTION("""COMPUTED_VALUE"""),56.64)</f>
        <v>56.64</v>
      </c>
      <c r="F959" s="1">
        <f>IFERROR(__xludf.DUMMYFUNCTION("""COMPUTED_VALUE"""),2.70692224E8)</f>
        <v>270692224</v>
      </c>
    </row>
    <row r="960">
      <c r="A960" s="2">
        <f>IFERROR(__xludf.DUMMYFUNCTION("""COMPUTED_VALUE"""),45877.66666666667)</f>
        <v>45877.66667</v>
      </c>
      <c r="B960" s="1">
        <f>IFERROR(__xludf.DUMMYFUNCTION("""COMPUTED_VALUE"""),58.16)</f>
        <v>58.16</v>
      </c>
      <c r="C960" s="1">
        <f>IFERROR(__xludf.DUMMYFUNCTION("""COMPUTED_VALUE"""),59.4)</f>
        <v>59.4</v>
      </c>
      <c r="D960" s="1">
        <f>IFERROR(__xludf.DUMMYFUNCTION("""COMPUTED_VALUE"""),44.53)</f>
        <v>44.53</v>
      </c>
      <c r="E960" s="1">
        <f>IFERROR(__xludf.DUMMYFUNCTION("""COMPUTED_VALUE"""),44.6)</f>
        <v>44.6</v>
      </c>
      <c r="F960" s="1">
        <f>IFERROR(__xludf.DUMMYFUNCTION("""COMPUTED_VALUE"""),2.85671125E8)</f>
        <v>285671125</v>
      </c>
    </row>
    <row r="961">
      <c r="A961" s="2">
        <f>IFERROR(__xludf.DUMMYFUNCTION("""COMPUTED_VALUE"""),45884.66666666667)</f>
        <v>45884.66667</v>
      </c>
      <c r="B961" s="1">
        <f>IFERROR(__xludf.DUMMYFUNCTION("""COMPUTED_VALUE"""),45.08)</f>
        <v>45.08</v>
      </c>
      <c r="C961" s="1">
        <f>IFERROR(__xludf.DUMMYFUNCTION("""COMPUTED_VALUE"""),46.64)</f>
        <v>46.64</v>
      </c>
      <c r="D961" s="1">
        <f>IFERROR(__xludf.DUMMYFUNCTION("""COMPUTED_VALUE"""),44.16)</f>
        <v>44.16</v>
      </c>
      <c r="E961" s="1">
        <f>IFERROR(__xludf.DUMMYFUNCTION("""COMPUTED_VALUE"""),45.37)</f>
        <v>45.37</v>
      </c>
      <c r="F961" s="1">
        <f>IFERROR(__xludf.DUMMYFUNCTION("""COMPUTED_VALUE"""),1.38664308E8)</f>
        <v>138664308</v>
      </c>
    </row>
    <row r="962">
      <c r="A962" s="2">
        <f>IFERROR(__xludf.DUMMYFUNCTION("""COMPUTED_VALUE"""),45891.66666666667)</f>
        <v>45891.66667</v>
      </c>
      <c r="B962" s="1">
        <f>IFERROR(__xludf.DUMMYFUNCTION("""COMPUTED_VALUE"""),45.28)</f>
        <v>45.28</v>
      </c>
      <c r="C962" s="1">
        <f>IFERROR(__xludf.DUMMYFUNCTION("""COMPUTED_VALUE"""),46.64)</f>
        <v>46.64</v>
      </c>
      <c r="D962" s="1">
        <f>IFERROR(__xludf.DUMMYFUNCTION("""COMPUTED_VALUE"""),41.31)</f>
        <v>41.31</v>
      </c>
      <c r="E962" s="1">
        <f>IFERROR(__xludf.DUMMYFUNCTION("""COMPUTED_VALUE"""),43.88)</f>
        <v>43.88</v>
      </c>
      <c r="F962" s="1">
        <f>IFERROR(__xludf.DUMMYFUNCTION("""COMPUTED_VALUE"""),1.25043492E8)</f>
        <v>125043492</v>
      </c>
    </row>
    <row r="963">
      <c r="A963" s="2">
        <f>IFERROR(__xludf.DUMMYFUNCTION("""COMPUTED_VALUE"""),45898.66666666667)</f>
        <v>45898.66667</v>
      </c>
      <c r="B963" s="1">
        <f>IFERROR(__xludf.DUMMYFUNCTION("""COMPUTED_VALUE"""),43.6)</f>
        <v>43.6</v>
      </c>
      <c r="C963" s="1">
        <f>IFERROR(__xludf.DUMMYFUNCTION("""COMPUTED_VALUE"""),45.34)</f>
        <v>45.34</v>
      </c>
      <c r="D963" s="1">
        <f>IFERROR(__xludf.DUMMYFUNCTION("""COMPUTED_VALUE"""),41.44)</f>
        <v>41.44</v>
      </c>
      <c r="E963" s="1">
        <f>IFERROR(__xludf.DUMMYFUNCTION("""COMPUTED_VALUE"""),41.54)</f>
        <v>41.54</v>
      </c>
      <c r="F963" s="1">
        <f>IFERROR(__xludf.DUMMYFUNCTION("""COMPUTED_VALUE"""),1.14831334E8)</f>
        <v>114831334</v>
      </c>
    </row>
    <row r="964">
      <c r="A964" s="2">
        <f>IFERROR(__xludf.DUMMYFUNCTION("""COMPUTED_VALUE"""),45905.66666666667)</f>
        <v>45905.66667</v>
      </c>
      <c r="B964" s="1">
        <f>IFERROR(__xludf.DUMMYFUNCTION("""COMPUTED_VALUE"""),40.03)</f>
        <v>40.03</v>
      </c>
      <c r="C964" s="1">
        <f>IFERROR(__xludf.DUMMYFUNCTION("""COMPUTED_VALUE"""),41.18)</f>
        <v>41.18</v>
      </c>
      <c r="D964" s="1">
        <f>IFERROR(__xludf.DUMMYFUNCTION("""COMPUTED_VALUE"""),39.56)</f>
        <v>39.56</v>
      </c>
      <c r="E964" s="1">
        <f>IFERROR(__xludf.DUMMYFUNCTION("""COMPUTED_VALUE"""),40.41)</f>
        <v>40.41</v>
      </c>
      <c r="F964" s="1">
        <f>IFERROR(__xludf.DUMMYFUNCTION("""COMPUTED_VALUE"""),9.4648203E7)</f>
        <v>94648203</v>
      </c>
    </row>
    <row r="965">
      <c r="A965" s="2">
        <f>IFERROR(__xludf.DUMMYFUNCTION("""COMPUTED_VALUE"""),45912.66666666667)</f>
        <v>45912.66667</v>
      </c>
      <c r="B965" s="1">
        <f>IFERROR(__xludf.DUMMYFUNCTION("""COMPUTED_VALUE"""),40.9)</f>
        <v>40.9</v>
      </c>
      <c r="C965" s="1">
        <f>IFERROR(__xludf.DUMMYFUNCTION("""COMPUTED_VALUE"""),47.0)</f>
        <v>47</v>
      </c>
      <c r="D965" s="1">
        <f>IFERROR(__xludf.DUMMYFUNCTION("""COMPUTED_VALUE"""),39.89)</f>
        <v>39.89</v>
      </c>
      <c r="E965" s="1">
        <f>IFERROR(__xludf.DUMMYFUNCTION("""COMPUTED_VALUE"""),45.0)</f>
        <v>45</v>
      </c>
      <c r="F965" s="1">
        <f>IFERROR(__xludf.DUMMYFUNCTION("""COMPUTED_VALUE"""),1.59944283E8)</f>
        <v>159944283</v>
      </c>
    </row>
    <row r="966">
      <c r="A966" s="2">
        <f>IFERROR(__xludf.DUMMYFUNCTION("""COMPUTED_VALUE"""),45919.66666666667)</f>
        <v>45919.66667</v>
      </c>
      <c r="B966" s="1">
        <f>IFERROR(__xludf.DUMMYFUNCTION("""COMPUTED_VALUE"""),45.23)</f>
        <v>45.23</v>
      </c>
      <c r="C966" s="1">
        <f>IFERROR(__xludf.DUMMYFUNCTION("""COMPUTED_VALUE"""),46.52)</f>
        <v>46.52</v>
      </c>
      <c r="D966" s="1">
        <f>IFERROR(__xludf.DUMMYFUNCTION("""COMPUTED_VALUE"""),43.69)</f>
        <v>43.69</v>
      </c>
      <c r="E966" s="1">
        <f>IFERROR(__xludf.DUMMYFUNCTION("""COMPUTED_VALUE"""),45.81)</f>
        <v>45.81</v>
      </c>
      <c r="F966" s="1">
        <f>IFERROR(__xludf.DUMMYFUNCTION("""COMPUTED_VALUE"""),1.18174373E8)</f>
        <v>118174373</v>
      </c>
    </row>
    <row r="967">
      <c r="A967" s="2">
        <f>IFERROR(__xludf.DUMMYFUNCTION("""COMPUTED_VALUE"""),45926.66666666667)</f>
        <v>45926.66667</v>
      </c>
      <c r="B967" s="1">
        <f>IFERROR(__xludf.DUMMYFUNCTION("""COMPUTED_VALUE"""),45.4)</f>
        <v>45.4</v>
      </c>
      <c r="C967" s="1">
        <f>IFERROR(__xludf.DUMMYFUNCTION("""COMPUTED_VALUE"""),48.53)</f>
        <v>48.53</v>
      </c>
      <c r="D967" s="1">
        <f>IFERROR(__xludf.DUMMYFUNCTION("""COMPUTED_VALUE"""),44.2)</f>
        <v>44.2</v>
      </c>
      <c r="E967" s="1">
        <f>IFERROR(__xludf.DUMMYFUNCTION("""COMPUTED_VALUE"""),45.82)</f>
        <v>45.82</v>
      </c>
      <c r="F967" s="1">
        <f>IFERROR(__xludf.DUMMYFUNCTION("""COMPUTED_VALUE"""),1.14526496E8)</f>
        <v>114526496</v>
      </c>
    </row>
    <row r="968">
      <c r="A968" s="2">
        <f>IFERROR(__xludf.DUMMYFUNCTION("""COMPUTED_VALUE"""),45933.66666666667)</f>
        <v>45933.66667</v>
      </c>
      <c r="B968" s="1">
        <f>IFERROR(__xludf.DUMMYFUNCTION("""COMPUTED_VALUE"""),46.28)</f>
        <v>46.28</v>
      </c>
      <c r="C968" s="1">
        <f>IFERROR(__xludf.DUMMYFUNCTION("""COMPUTED_VALUE"""),53.51)</f>
        <v>53.51</v>
      </c>
      <c r="D968" s="1">
        <f>IFERROR(__xludf.DUMMYFUNCTION("""COMPUTED_VALUE"""),45.94)</f>
        <v>45.94</v>
      </c>
      <c r="E968" s="1">
        <f>IFERROR(__xludf.DUMMYFUNCTION("""COMPUTED_VALUE"""),51.96)</f>
        <v>51.96</v>
      </c>
      <c r="F968" s="1">
        <f>IFERROR(__xludf.DUMMYFUNCTION("""COMPUTED_VALUE"""),1.70503063E8)</f>
        <v>170503063</v>
      </c>
    </row>
    <row r="969">
      <c r="A969" s="2">
        <f>IFERROR(__xludf.DUMMYFUNCTION("""COMPUTED_VALUE"""),45940.66666666667)</f>
        <v>45940.66667</v>
      </c>
      <c r="B969" s="1">
        <f>IFERROR(__xludf.DUMMYFUNCTION("""COMPUTED_VALUE"""),54.08)</f>
        <v>54.08</v>
      </c>
      <c r="C969" s="1">
        <f>IFERROR(__xludf.DUMMYFUNCTION("""COMPUTED_VALUE"""),58.78)</f>
        <v>58.78</v>
      </c>
      <c r="D969" s="1">
        <f>IFERROR(__xludf.DUMMYFUNCTION("""COMPUTED_VALUE"""),52.56)</f>
        <v>52.56</v>
      </c>
      <c r="E969" s="1">
        <f>IFERROR(__xludf.DUMMYFUNCTION("""COMPUTED_VALUE"""),52.86)</f>
        <v>52.86</v>
      </c>
      <c r="F969" s="1">
        <f>IFERROR(__xludf.DUMMYFUNCTION("""COMPUTED_VALUE"""),1.98168183E8)</f>
        <v>198168183</v>
      </c>
    </row>
    <row r="970">
      <c r="A970" s="2">
        <f>IFERROR(__xludf.DUMMYFUNCTION("""COMPUTED_VALUE"""),45947.66666666667)</f>
        <v>45947.66667</v>
      </c>
      <c r="B970" s="1">
        <f>IFERROR(__xludf.DUMMYFUNCTION("""COMPUTED_VALUE"""),54.81)</f>
        <v>54.81</v>
      </c>
      <c r="C970" s="1">
        <f>IFERROR(__xludf.DUMMYFUNCTION("""COMPUTED_VALUE"""),56.23)</f>
        <v>56.23</v>
      </c>
      <c r="D970" s="1">
        <f>IFERROR(__xludf.DUMMYFUNCTION("""COMPUTED_VALUE"""),51.62)</f>
        <v>51.62</v>
      </c>
      <c r="E970" s="1">
        <f>IFERROR(__xludf.DUMMYFUNCTION("""COMPUTED_VALUE"""),52.18)</f>
        <v>52.18</v>
      </c>
      <c r="F970" s="1">
        <f>IFERROR(__xludf.DUMMYFUNCTION("""COMPUTED_VALUE"""),1.06362429E8)</f>
        <v>106362429</v>
      </c>
    </row>
    <row r="971">
      <c r="A971" s="2">
        <f>IFERROR(__xludf.DUMMYFUNCTION("""COMPUTED_VALUE"""),45954.66666666667)</f>
        <v>45954.66667</v>
      </c>
      <c r="B971" s="1">
        <f>IFERROR(__xludf.DUMMYFUNCTION("""COMPUTED_VALUE"""),55.04)</f>
        <v>55.04</v>
      </c>
      <c r="C971" s="1">
        <f>IFERROR(__xludf.DUMMYFUNCTION("""COMPUTED_VALUE"""),56.6)</f>
        <v>56.6</v>
      </c>
      <c r="D971" s="1">
        <f>IFERROR(__xludf.DUMMYFUNCTION("""COMPUTED_VALUE"""),47.38)</f>
        <v>47.38</v>
      </c>
      <c r="E971" s="1">
        <f>IFERROR(__xludf.DUMMYFUNCTION("""COMPUTED_VALUE"""),48.29)</f>
        <v>48.29</v>
      </c>
      <c r="F971" s="1">
        <f>IFERROR(__xludf.DUMMYFUNCTION("""COMPUTED_VALUE"""),1.91278298E8)</f>
        <v>191278298</v>
      </c>
    </row>
    <row r="972">
      <c r="A972" s="2">
        <f>IFERROR(__xludf.DUMMYFUNCTION("""COMPUTED_VALUE"""),45961.66666666667)</f>
        <v>45961.66667</v>
      </c>
      <c r="B972" s="1">
        <f>IFERROR(__xludf.DUMMYFUNCTION("""COMPUTED_VALUE"""),49.72)</f>
        <v>49.72</v>
      </c>
      <c r="C972" s="1">
        <f>IFERROR(__xludf.DUMMYFUNCTION("""COMPUTED_VALUE"""),54.08)</f>
        <v>54.08</v>
      </c>
      <c r="D972" s="1">
        <f>IFERROR(__xludf.DUMMYFUNCTION("""COMPUTED_VALUE"""),49.72)</f>
        <v>49.72</v>
      </c>
      <c r="E972" s="1">
        <f>IFERROR(__xludf.DUMMYFUNCTION("""COMPUTED_VALUE"""),51.96)</f>
        <v>51.96</v>
      </c>
      <c r="F972" s="1">
        <f>IFERROR(__xludf.DUMMYFUNCTION("""COMPUTED_VALUE"""),1.18086749E8)</f>
        <v>118086749</v>
      </c>
    </row>
    <row r="973">
      <c r="A973" s="2">
        <f>IFERROR(__xludf.DUMMYFUNCTION("""COMPUTED_VALUE"""),45968.66666666667)</f>
        <v>45968.66667</v>
      </c>
      <c r="B973" s="1">
        <f>IFERROR(__xludf.DUMMYFUNCTION("""COMPUTED_VALUE"""),52.87)</f>
        <v>52.87</v>
      </c>
      <c r="C973" s="1">
        <f>IFERROR(__xludf.DUMMYFUNCTION("""COMPUTED_VALUE"""),53.01)</f>
        <v>53.01</v>
      </c>
      <c r="D973" s="1">
        <f>IFERROR(__xludf.DUMMYFUNCTION("""COMPUTED_VALUE"""),38.14)</f>
        <v>38.14</v>
      </c>
      <c r="E973" s="1">
        <f>IFERROR(__xludf.DUMMYFUNCTION("""COMPUTED_VALUE"""),39.76)</f>
        <v>39.76</v>
      </c>
      <c r="F973" s="1">
        <f>IFERROR(__xludf.DUMMYFUNCTION("""COMPUTED_VALUE"""),1.88250702E8)</f>
        <v>188250702</v>
      </c>
    </row>
    <row r="974">
      <c r="A974" s="2">
        <f>IFERROR(__xludf.DUMMYFUNCTION("""COMPUTED_VALUE"""),45975.66666666667)</f>
        <v>45975.66667</v>
      </c>
      <c r="B974" s="1">
        <f>IFERROR(__xludf.DUMMYFUNCTION("""COMPUTED_VALUE"""),41.46)</f>
        <v>41.46</v>
      </c>
      <c r="C974" s="1">
        <f>IFERROR(__xludf.DUMMYFUNCTION("""COMPUTED_VALUE"""),41.63)</f>
        <v>41.63</v>
      </c>
      <c r="D974" s="1">
        <f>IFERROR(__xludf.DUMMYFUNCTION("""COMPUTED_VALUE"""),33.69)</f>
        <v>33.69</v>
      </c>
      <c r="E974" s="1">
        <f>IFERROR(__xludf.DUMMYFUNCTION("""COMPUTED_VALUE"""),36.42)</f>
        <v>36.42</v>
      </c>
      <c r="F974" s="1">
        <f>IFERROR(__xludf.DUMMYFUNCTION("""COMPUTED_VALUE"""),1.47650851E8)</f>
        <v>147650851</v>
      </c>
    </row>
    <row r="975">
      <c r="A975" s="2">
        <f>IFERROR(__xludf.DUMMYFUNCTION("""COMPUTED_VALUE"""),45982.66666666667)</f>
        <v>45982.66667</v>
      </c>
      <c r="B975" s="1">
        <f>IFERROR(__xludf.DUMMYFUNCTION("""COMPUTED_VALUE"""),35.58)</f>
        <v>35.58</v>
      </c>
      <c r="C975" s="1">
        <f>IFERROR(__xludf.DUMMYFUNCTION("""COMPUTED_VALUE"""),35.82)</f>
        <v>35.82</v>
      </c>
      <c r="D975" s="1">
        <f>IFERROR(__xludf.DUMMYFUNCTION("""COMPUTED_VALUE"""),31.03)</f>
        <v>31.03</v>
      </c>
      <c r="E975" s="1">
        <f>IFERROR(__xludf.DUMMYFUNCTION("""COMPUTED_VALUE"""),32.19)</f>
        <v>32.19</v>
      </c>
      <c r="F975" s="1">
        <f>IFERROR(__xludf.DUMMYFUNCTION("""COMPUTED_VALUE"""),1.55729865E8)</f>
        <v>155729865</v>
      </c>
    </row>
    <row r="976">
      <c r="A976" s="2">
        <f>IFERROR(__xludf.DUMMYFUNCTION("""COMPUTED_VALUE"""),45989.54513888889)</f>
        <v>45989.54514</v>
      </c>
      <c r="B976" s="1">
        <f>IFERROR(__xludf.DUMMYFUNCTION("""COMPUTED_VALUE"""),32.39)</f>
        <v>32.39</v>
      </c>
      <c r="C976" s="1">
        <f>IFERROR(__xludf.DUMMYFUNCTION("""COMPUTED_VALUE"""),33.86)</f>
        <v>33.86</v>
      </c>
      <c r="D976" s="1">
        <f>IFERROR(__xludf.DUMMYFUNCTION("""COMPUTED_VALUE"""),31.17)</f>
        <v>31.17</v>
      </c>
      <c r="E976" s="1">
        <f>IFERROR(__xludf.DUMMYFUNCTION("""COMPUTED_VALUE"""),33.85)</f>
        <v>33.85</v>
      </c>
      <c r="F976" s="1">
        <f>IFERROR(__xludf.DUMMYFUNCTION("""COMPUTED_VALUE"""),8.2483205E7)</f>
        <v>82483205</v>
      </c>
    </row>
    <row r="977">
      <c r="A977" s="2">
        <f>IFERROR(__xludf.DUMMYFUNCTION("""COMPUTED_VALUE"""),45996.66666666667)</f>
        <v>45996.66667</v>
      </c>
      <c r="B977" s="1">
        <f>IFERROR(__xludf.DUMMYFUNCTION("""COMPUTED_VALUE"""),33.37)</f>
        <v>33.37</v>
      </c>
      <c r="C977" s="1">
        <f>IFERROR(__xludf.DUMMYFUNCTION("""COMPUTED_VALUE"""),34.79)</f>
        <v>34.79</v>
      </c>
      <c r="D977" s="1">
        <f>IFERROR(__xludf.DUMMYFUNCTION("""COMPUTED_VALUE"""),32.57)</f>
        <v>32.57</v>
      </c>
      <c r="E977" s="1">
        <f>IFERROR(__xludf.DUMMYFUNCTION("""COMPUTED_VALUE"""),34.69)</f>
        <v>34.69</v>
      </c>
      <c r="F977" s="1">
        <f>IFERROR(__xludf.DUMMYFUNCTION("""COMPUTED_VALUE"""),9.3260567E7)</f>
        <v>93260567</v>
      </c>
    </row>
    <row r="978">
      <c r="A978" s="2">
        <f>IFERROR(__xludf.DUMMYFUNCTION("""COMPUTED_VALUE"""),46003.66666666667)</f>
        <v>46003.66667</v>
      </c>
      <c r="B978" s="1">
        <f>IFERROR(__xludf.DUMMYFUNCTION("""COMPUTED_VALUE"""),35.15)</f>
        <v>35.15</v>
      </c>
      <c r="C978" s="1">
        <f>IFERROR(__xludf.DUMMYFUNCTION("""COMPUTED_VALUE"""),35.88)</f>
        <v>35.88</v>
      </c>
      <c r="D978" s="1">
        <f>IFERROR(__xludf.DUMMYFUNCTION("""COMPUTED_VALUE"""),32.23)</f>
        <v>32.23</v>
      </c>
      <c r="E978" s="1">
        <f>IFERROR(__xludf.DUMMYFUNCTION("""COMPUTED_VALUE"""),32.33)</f>
        <v>32.33</v>
      </c>
      <c r="F978" s="1">
        <f>IFERROR(__xludf.DUMMYFUNCTION("""COMPUTED_VALUE"""),1.02032914E8)</f>
        <v>102032914</v>
      </c>
    </row>
    <row r="979">
      <c r="A979" s="2">
        <f>IFERROR(__xludf.DUMMYFUNCTION("""COMPUTED_VALUE"""),46010.66666666667)</f>
        <v>46010.66667</v>
      </c>
      <c r="B979" s="1">
        <f>IFERROR(__xludf.DUMMYFUNCTION("""COMPUTED_VALUE"""),32.8)</f>
        <v>32.8</v>
      </c>
      <c r="C979" s="1">
        <f>IFERROR(__xludf.DUMMYFUNCTION("""COMPUTED_VALUE"""),32.86)</f>
        <v>32.86</v>
      </c>
      <c r="D979" s="1">
        <f>IFERROR(__xludf.DUMMYFUNCTION("""COMPUTED_VALUE"""),29.1)</f>
        <v>29.1</v>
      </c>
      <c r="E979" s="1">
        <f>IFERROR(__xludf.DUMMYFUNCTION("""COMPUTED_VALUE"""),31.11)</f>
        <v>31.11</v>
      </c>
      <c r="F979" s="1">
        <f>IFERROR(__xludf.DUMMYFUNCTION("""COMPUTED_VALUE"""),1.29616428E8)</f>
        <v>129616428</v>
      </c>
    </row>
    <row r="980">
      <c r="A980" s="2">
        <f>IFERROR(__xludf.DUMMYFUNCTION("""COMPUTED_VALUE"""),46017.66666666667)</f>
        <v>46017.66667</v>
      </c>
      <c r="B980" s="1">
        <f>IFERROR(__xludf.DUMMYFUNCTION("""COMPUTED_VALUE"""),31.17)</f>
        <v>31.17</v>
      </c>
      <c r="C980" s="1">
        <f>IFERROR(__xludf.DUMMYFUNCTION("""COMPUTED_VALUE"""),31.69)</f>
        <v>31.69</v>
      </c>
      <c r="D980" s="1">
        <f>IFERROR(__xludf.DUMMYFUNCTION("""COMPUTED_VALUE"""),30.14)</f>
        <v>30.14</v>
      </c>
      <c r="E980" s="1">
        <f>IFERROR(__xludf.DUMMYFUNCTION("""COMPUTED_VALUE"""),30.64)</f>
        <v>30.64</v>
      </c>
      <c r="F980" s="1">
        <f>IFERROR(__xludf.DUMMYFUNCTION("""COMPUTED_VALUE"""),6.0685406E7)</f>
        <v>60685406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IFERROR(__xludf.DUMMYFUNCTION("GOOGLEFINANCE(""SMCI"", ""all"", DATE(2000, 1, 1), DATE(2025, 12, 31),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IFERROR(__xludf.DUMMYFUNCTION("""COMPUTED_VALUE"""),39170.666666666664)</f>
        <v>39170.66667</v>
      </c>
      <c r="B2" s="1">
        <f>IFERROR(__xludf.DUMMYFUNCTION("""COMPUTED_VALUE"""),0.89)</f>
        <v>0.89</v>
      </c>
      <c r="C2" s="1">
        <f>IFERROR(__xludf.DUMMYFUNCTION("""COMPUTED_VALUE"""),0.93)</f>
        <v>0.93</v>
      </c>
      <c r="D2" s="1">
        <f>IFERROR(__xludf.DUMMYFUNCTION("""COMPUTED_VALUE"""),0.87)</f>
        <v>0.87</v>
      </c>
      <c r="E2" s="1">
        <f>IFERROR(__xludf.DUMMYFUNCTION("""COMPUTED_VALUE"""),0.88)</f>
        <v>0.88</v>
      </c>
      <c r="F2" s="1">
        <f>IFERROR(__xludf.DUMMYFUNCTION("""COMPUTED_VALUE"""),6080602.0)</f>
        <v>6080602</v>
      </c>
    </row>
    <row r="3">
      <c r="A3" s="2">
        <f>IFERROR(__xludf.DUMMYFUNCTION("""COMPUTED_VALUE"""),39171.666666666664)</f>
        <v>39171.66667</v>
      </c>
      <c r="B3" s="1">
        <f>IFERROR(__xludf.DUMMYFUNCTION("""COMPUTED_VALUE"""),0.88)</f>
        <v>0.88</v>
      </c>
      <c r="C3" s="1">
        <f>IFERROR(__xludf.DUMMYFUNCTION("""COMPUTED_VALUE"""),0.9)</f>
        <v>0.9</v>
      </c>
      <c r="D3" s="1">
        <f>IFERROR(__xludf.DUMMYFUNCTION("""COMPUTED_VALUE"""),0.86)</f>
        <v>0.86</v>
      </c>
      <c r="E3" s="1">
        <f>IFERROR(__xludf.DUMMYFUNCTION("""COMPUTED_VALUE"""),0.9)</f>
        <v>0.9</v>
      </c>
      <c r="F3" s="1">
        <f>IFERROR(__xludf.DUMMYFUNCTION("""COMPUTED_VALUE"""),419477.0)</f>
        <v>419477</v>
      </c>
    </row>
    <row r="4">
      <c r="A4" s="2">
        <f>IFERROR(__xludf.DUMMYFUNCTION("""COMPUTED_VALUE"""),39174.666666666664)</f>
        <v>39174.66667</v>
      </c>
      <c r="B4" s="1">
        <f>IFERROR(__xludf.DUMMYFUNCTION("""COMPUTED_VALUE"""),0.9)</f>
        <v>0.9</v>
      </c>
      <c r="C4" s="1">
        <f>IFERROR(__xludf.DUMMYFUNCTION("""COMPUTED_VALUE"""),1.06)</f>
        <v>1.06</v>
      </c>
      <c r="D4" s="1">
        <f>IFERROR(__xludf.DUMMYFUNCTION("""COMPUTED_VALUE"""),0.9)</f>
        <v>0.9</v>
      </c>
      <c r="E4" s="1">
        <f>IFERROR(__xludf.DUMMYFUNCTION("""COMPUTED_VALUE"""),1.04)</f>
        <v>1.04</v>
      </c>
      <c r="F4" s="1">
        <f>IFERROR(__xludf.DUMMYFUNCTION("""COMPUTED_VALUE"""),751009.0)</f>
        <v>751009</v>
      </c>
    </row>
    <row r="5">
      <c r="A5" s="2">
        <f>IFERROR(__xludf.DUMMYFUNCTION("""COMPUTED_VALUE"""),39175.666666666664)</f>
        <v>39175.66667</v>
      </c>
      <c r="B5" s="1">
        <f>IFERROR(__xludf.DUMMYFUNCTION("""COMPUTED_VALUE"""),1.04)</f>
        <v>1.04</v>
      </c>
      <c r="C5" s="1">
        <f>IFERROR(__xludf.DUMMYFUNCTION("""COMPUTED_VALUE"""),1.17)</f>
        <v>1.17</v>
      </c>
      <c r="D5" s="1">
        <f>IFERROR(__xludf.DUMMYFUNCTION("""COMPUTED_VALUE"""),1.04)</f>
        <v>1.04</v>
      </c>
      <c r="E5" s="1">
        <f>IFERROR(__xludf.DUMMYFUNCTION("""COMPUTED_VALUE"""),1.06)</f>
        <v>1.06</v>
      </c>
      <c r="F5" s="1">
        <f>IFERROR(__xludf.DUMMYFUNCTION("""COMPUTED_VALUE"""),835653.0)</f>
        <v>835653</v>
      </c>
    </row>
    <row r="6">
      <c r="A6" s="2">
        <f>IFERROR(__xludf.DUMMYFUNCTION("""COMPUTED_VALUE"""),39176.666666666664)</f>
        <v>39176.66667</v>
      </c>
      <c r="B6" s="1">
        <f>IFERROR(__xludf.DUMMYFUNCTION("""COMPUTED_VALUE"""),1.05)</f>
        <v>1.05</v>
      </c>
      <c r="C6" s="1">
        <f>IFERROR(__xludf.DUMMYFUNCTION("""COMPUTED_VALUE"""),1.1)</f>
        <v>1.1</v>
      </c>
      <c r="D6" s="1">
        <f>IFERROR(__xludf.DUMMYFUNCTION("""COMPUTED_VALUE"""),1.0)</f>
        <v>1</v>
      </c>
      <c r="E6" s="1">
        <f>IFERROR(__xludf.DUMMYFUNCTION("""COMPUTED_VALUE"""),1.02)</f>
        <v>1.02</v>
      </c>
      <c r="F6" s="1">
        <f>IFERROR(__xludf.DUMMYFUNCTION("""COMPUTED_VALUE"""),309419.0)</f>
        <v>309419</v>
      </c>
    </row>
    <row r="7">
      <c r="A7" s="2">
        <f>IFERROR(__xludf.DUMMYFUNCTION("""COMPUTED_VALUE"""),39177.666666666664)</f>
        <v>39177.66667</v>
      </c>
      <c r="B7" s="1">
        <f>IFERROR(__xludf.DUMMYFUNCTION("""COMPUTED_VALUE"""),1.0)</f>
        <v>1</v>
      </c>
      <c r="C7" s="1">
        <f>IFERROR(__xludf.DUMMYFUNCTION("""COMPUTED_VALUE"""),1.02)</f>
        <v>1.02</v>
      </c>
      <c r="D7" s="1">
        <f>IFERROR(__xludf.DUMMYFUNCTION("""COMPUTED_VALUE"""),0.95)</f>
        <v>0.95</v>
      </c>
      <c r="E7" s="1">
        <f>IFERROR(__xludf.DUMMYFUNCTION("""COMPUTED_VALUE"""),0.98)</f>
        <v>0.98</v>
      </c>
      <c r="F7" s="1">
        <f>IFERROR(__xludf.DUMMYFUNCTION("""COMPUTED_VALUE"""),424892.0)</f>
        <v>424892</v>
      </c>
    </row>
    <row r="8">
      <c r="A8" s="2">
        <f>IFERROR(__xludf.DUMMYFUNCTION("""COMPUTED_VALUE"""),39181.666666666664)</f>
        <v>39181.66667</v>
      </c>
      <c r="B8" s="1">
        <f>IFERROR(__xludf.DUMMYFUNCTION("""COMPUTED_VALUE"""),1.0)</f>
        <v>1</v>
      </c>
      <c r="C8" s="1">
        <f>IFERROR(__xludf.DUMMYFUNCTION("""COMPUTED_VALUE"""),1.04)</f>
        <v>1.04</v>
      </c>
      <c r="D8" s="1">
        <f>IFERROR(__xludf.DUMMYFUNCTION("""COMPUTED_VALUE"""),0.99)</f>
        <v>0.99</v>
      </c>
      <c r="E8" s="1">
        <f>IFERROR(__xludf.DUMMYFUNCTION("""COMPUTED_VALUE"""),1.0)</f>
        <v>1</v>
      </c>
      <c r="F8" s="1">
        <f>IFERROR(__xludf.DUMMYFUNCTION("""COMPUTED_VALUE"""),174255.0)</f>
        <v>174255</v>
      </c>
    </row>
    <row r="9">
      <c r="A9" s="2">
        <f>IFERROR(__xludf.DUMMYFUNCTION("""COMPUTED_VALUE"""),39182.666666666664)</f>
        <v>39182.66667</v>
      </c>
      <c r="B9" s="1">
        <f>IFERROR(__xludf.DUMMYFUNCTION("""COMPUTED_VALUE"""),1.0)</f>
        <v>1</v>
      </c>
      <c r="C9" s="1">
        <f>IFERROR(__xludf.DUMMYFUNCTION("""COMPUTED_VALUE"""),1.01)</f>
        <v>1.01</v>
      </c>
      <c r="D9" s="1">
        <f>IFERROR(__xludf.DUMMYFUNCTION("""COMPUTED_VALUE"""),0.97)</f>
        <v>0.97</v>
      </c>
      <c r="E9" s="1">
        <f>IFERROR(__xludf.DUMMYFUNCTION("""COMPUTED_VALUE"""),0.98)</f>
        <v>0.98</v>
      </c>
      <c r="F9" s="1">
        <f>IFERROR(__xludf.DUMMYFUNCTION("""COMPUTED_VALUE"""),106795.0)</f>
        <v>106795</v>
      </c>
    </row>
    <row r="10">
      <c r="A10" s="2">
        <f>IFERROR(__xludf.DUMMYFUNCTION("""COMPUTED_VALUE"""),39183.666666666664)</f>
        <v>39183.66667</v>
      </c>
      <c r="B10" s="1">
        <f>IFERROR(__xludf.DUMMYFUNCTION("""COMPUTED_VALUE"""),0.97)</f>
        <v>0.97</v>
      </c>
      <c r="C10" s="1">
        <f>IFERROR(__xludf.DUMMYFUNCTION("""COMPUTED_VALUE"""),0.99)</f>
        <v>0.99</v>
      </c>
      <c r="D10" s="1">
        <f>IFERROR(__xludf.DUMMYFUNCTION("""COMPUTED_VALUE"""),0.95)</f>
        <v>0.95</v>
      </c>
      <c r="E10" s="1">
        <f>IFERROR(__xludf.DUMMYFUNCTION("""COMPUTED_VALUE"""),0.95)</f>
        <v>0.95</v>
      </c>
      <c r="F10" s="1">
        <f>IFERROR(__xludf.DUMMYFUNCTION("""COMPUTED_VALUE"""),106948.0)</f>
        <v>106948</v>
      </c>
    </row>
    <row r="11">
      <c r="A11" s="2">
        <f>IFERROR(__xludf.DUMMYFUNCTION("""COMPUTED_VALUE"""),39184.666666666664)</f>
        <v>39184.66667</v>
      </c>
      <c r="B11" s="1">
        <f>IFERROR(__xludf.DUMMYFUNCTION("""COMPUTED_VALUE"""),0.95)</f>
        <v>0.95</v>
      </c>
      <c r="C11" s="1">
        <f>IFERROR(__xludf.DUMMYFUNCTION("""COMPUTED_VALUE"""),1.0)</f>
        <v>1</v>
      </c>
      <c r="D11" s="1">
        <f>IFERROR(__xludf.DUMMYFUNCTION("""COMPUTED_VALUE"""),0.95)</f>
        <v>0.95</v>
      </c>
      <c r="E11" s="1">
        <f>IFERROR(__xludf.DUMMYFUNCTION("""COMPUTED_VALUE"""),0.99)</f>
        <v>0.99</v>
      </c>
      <c r="F11" s="1">
        <f>IFERROR(__xludf.DUMMYFUNCTION("""COMPUTED_VALUE"""),88780.0)</f>
        <v>88780</v>
      </c>
    </row>
    <row r="12">
      <c r="A12" s="2">
        <f>IFERROR(__xludf.DUMMYFUNCTION("""COMPUTED_VALUE"""),39185.666666666664)</f>
        <v>39185.66667</v>
      </c>
      <c r="B12" s="1">
        <f>IFERROR(__xludf.DUMMYFUNCTION("""COMPUTED_VALUE"""),1.0)</f>
        <v>1</v>
      </c>
      <c r="C12" s="1">
        <f>IFERROR(__xludf.DUMMYFUNCTION("""COMPUTED_VALUE"""),1.0)</f>
        <v>1</v>
      </c>
      <c r="D12" s="1">
        <f>IFERROR(__xludf.DUMMYFUNCTION("""COMPUTED_VALUE"""),0.97)</f>
        <v>0.97</v>
      </c>
      <c r="E12" s="1">
        <f>IFERROR(__xludf.DUMMYFUNCTION("""COMPUTED_VALUE"""),0.97)</f>
        <v>0.97</v>
      </c>
      <c r="F12" s="1">
        <f>IFERROR(__xludf.DUMMYFUNCTION("""COMPUTED_VALUE"""),60197.0)</f>
        <v>60197</v>
      </c>
    </row>
    <row r="13">
      <c r="A13" s="2">
        <f>IFERROR(__xludf.DUMMYFUNCTION("""COMPUTED_VALUE"""),39188.666666666664)</f>
        <v>39188.66667</v>
      </c>
      <c r="B13" s="1">
        <f>IFERROR(__xludf.DUMMYFUNCTION("""COMPUTED_VALUE"""),0.97)</f>
        <v>0.97</v>
      </c>
      <c r="C13" s="1">
        <f>IFERROR(__xludf.DUMMYFUNCTION("""COMPUTED_VALUE"""),1.02)</f>
        <v>1.02</v>
      </c>
      <c r="D13" s="1">
        <f>IFERROR(__xludf.DUMMYFUNCTION("""COMPUTED_VALUE"""),0.96)</f>
        <v>0.96</v>
      </c>
      <c r="E13" s="1">
        <f>IFERROR(__xludf.DUMMYFUNCTION("""COMPUTED_VALUE"""),1.01)</f>
        <v>1.01</v>
      </c>
      <c r="F13" s="1">
        <f>IFERROR(__xludf.DUMMYFUNCTION("""COMPUTED_VALUE"""),135363.0)</f>
        <v>135363</v>
      </c>
    </row>
    <row r="14">
      <c r="A14" s="2">
        <f>IFERROR(__xludf.DUMMYFUNCTION("""COMPUTED_VALUE"""),39189.666666666664)</f>
        <v>39189.66667</v>
      </c>
      <c r="B14" s="1">
        <f>IFERROR(__xludf.DUMMYFUNCTION("""COMPUTED_VALUE"""),1.02)</f>
        <v>1.02</v>
      </c>
      <c r="C14" s="1">
        <f>IFERROR(__xludf.DUMMYFUNCTION("""COMPUTED_VALUE"""),1.04)</f>
        <v>1.04</v>
      </c>
      <c r="D14" s="1">
        <f>IFERROR(__xludf.DUMMYFUNCTION("""COMPUTED_VALUE"""),1.01)</f>
        <v>1.01</v>
      </c>
      <c r="E14" s="1">
        <f>IFERROR(__xludf.DUMMYFUNCTION("""COMPUTED_VALUE"""),1.02)</f>
        <v>1.02</v>
      </c>
      <c r="F14" s="1">
        <f>IFERROR(__xludf.DUMMYFUNCTION("""COMPUTED_VALUE"""),90134.0)</f>
        <v>90134</v>
      </c>
    </row>
    <row r="15">
      <c r="A15" s="2">
        <f>IFERROR(__xludf.DUMMYFUNCTION("""COMPUTED_VALUE"""),39190.666666666664)</f>
        <v>39190.66667</v>
      </c>
      <c r="B15" s="1">
        <f>IFERROR(__xludf.DUMMYFUNCTION("""COMPUTED_VALUE"""),1.08)</f>
        <v>1.08</v>
      </c>
      <c r="C15" s="1">
        <f>IFERROR(__xludf.DUMMYFUNCTION("""COMPUTED_VALUE"""),1.08)</f>
        <v>1.08</v>
      </c>
      <c r="D15" s="1">
        <f>IFERROR(__xludf.DUMMYFUNCTION("""COMPUTED_VALUE"""),1.0)</f>
        <v>1</v>
      </c>
      <c r="E15" s="1">
        <f>IFERROR(__xludf.DUMMYFUNCTION("""COMPUTED_VALUE"""),1.04)</f>
        <v>1.04</v>
      </c>
      <c r="F15" s="1">
        <f>IFERROR(__xludf.DUMMYFUNCTION("""COMPUTED_VALUE"""),100702.0)</f>
        <v>100702</v>
      </c>
    </row>
    <row r="16">
      <c r="A16" s="2">
        <f>IFERROR(__xludf.DUMMYFUNCTION("""COMPUTED_VALUE"""),39191.666666666664)</f>
        <v>39191.66667</v>
      </c>
      <c r="B16" s="1">
        <f>IFERROR(__xludf.DUMMYFUNCTION("""COMPUTED_VALUE"""),1.02)</f>
        <v>1.02</v>
      </c>
      <c r="C16" s="1">
        <f>IFERROR(__xludf.DUMMYFUNCTION("""COMPUTED_VALUE"""),1.03)</f>
        <v>1.03</v>
      </c>
      <c r="D16" s="1">
        <f>IFERROR(__xludf.DUMMYFUNCTION("""COMPUTED_VALUE"""),0.98)</f>
        <v>0.98</v>
      </c>
      <c r="E16" s="1">
        <f>IFERROR(__xludf.DUMMYFUNCTION("""COMPUTED_VALUE"""),0.99)</f>
        <v>0.99</v>
      </c>
      <c r="F16" s="1">
        <f>IFERROR(__xludf.DUMMYFUNCTION("""COMPUTED_VALUE"""),71900.0)</f>
        <v>71900</v>
      </c>
    </row>
    <row r="17">
      <c r="A17" s="2">
        <f>IFERROR(__xludf.DUMMYFUNCTION("""COMPUTED_VALUE"""),39192.666666666664)</f>
        <v>39192.66667</v>
      </c>
      <c r="B17" s="1">
        <f>IFERROR(__xludf.DUMMYFUNCTION("""COMPUTED_VALUE"""),1.01)</f>
        <v>1.01</v>
      </c>
      <c r="C17" s="1">
        <f>IFERROR(__xludf.DUMMYFUNCTION("""COMPUTED_VALUE"""),1.01)</f>
        <v>1.01</v>
      </c>
      <c r="D17" s="1">
        <f>IFERROR(__xludf.DUMMYFUNCTION("""COMPUTED_VALUE"""),0.98)</f>
        <v>0.98</v>
      </c>
      <c r="E17" s="1">
        <f>IFERROR(__xludf.DUMMYFUNCTION("""COMPUTED_VALUE"""),0.99)</f>
        <v>0.99</v>
      </c>
      <c r="F17" s="1">
        <f>IFERROR(__xludf.DUMMYFUNCTION("""COMPUTED_VALUE"""),139688.0)</f>
        <v>139688</v>
      </c>
    </row>
    <row r="18">
      <c r="A18" s="2">
        <f>IFERROR(__xludf.DUMMYFUNCTION("""COMPUTED_VALUE"""),39195.666666666664)</f>
        <v>39195.66667</v>
      </c>
      <c r="B18" s="1">
        <f>IFERROR(__xludf.DUMMYFUNCTION("""COMPUTED_VALUE"""),0.98)</f>
        <v>0.98</v>
      </c>
      <c r="C18" s="1">
        <f>IFERROR(__xludf.DUMMYFUNCTION("""COMPUTED_VALUE"""),1.01)</f>
        <v>1.01</v>
      </c>
      <c r="D18" s="1">
        <f>IFERROR(__xludf.DUMMYFUNCTION("""COMPUTED_VALUE"""),0.98)</f>
        <v>0.98</v>
      </c>
      <c r="E18" s="1">
        <f>IFERROR(__xludf.DUMMYFUNCTION("""COMPUTED_VALUE"""),0.99)</f>
        <v>0.99</v>
      </c>
      <c r="F18" s="1">
        <f>IFERROR(__xludf.DUMMYFUNCTION("""COMPUTED_VALUE"""),77317.0)</f>
        <v>77317</v>
      </c>
    </row>
    <row r="19">
      <c r="A19" s="2">
        <f>IFERROR(__xludf.DUMMYFUNCTION("""COMPUTED_VALUE"""),39196.666666666664)</f>
        <v>39196.66667</v>
      </c>
      <c r="B19" s="1">
        <f>IFERROR(__xludf.DUMMYFUNCTION("""COMPUTED_VALUE"""),0.99)</f>
        <v>0.99</v>
      </c>
      <c r="C19" s="1">
        <f>IFERROR(__xludf.DUMMYFUNCTION("""COMPUTED_VALUE"""),1.0)</f>
        <v>1</v>
      </c>
      <c r="D19" s="1">
        <f>IFERROR(__xludf.DUMMYFUNCTION("""COMPUTED_VALUE"""),0.97)</f>
        <v>0.97</v>
      </c>
      <c r="E19" s="1">
        <f>IFERROR(__xludf.DUMMYFUNCTION("""COMPUTED_VALUE"""),0.98)</f>
        <v>0.98</v>
      </c>
      <c r="F19" s="1">
        <f>IFERROR(__xludf.DUMMYFUNCTION("""COMPUTED_VALUE"""),70784.0)</f>
        <v>70784</v>
      </c>
    </row>
    <row r="20">
      <c r="A20" s="2">
        <f>IFERROR(__xludf.DUMMYFUNCTION("""COMPUTED_VALUE"""),39197.666666666664)</f>
        <v>39197.66667</v>
      </c>
      <c r="B20" s="1">
        <f>IFERROR(__xludf.DUMMYFUNCTION("""COMPUTED_VALUE"""),0.98)</f>
        <v>0.98</v>
      </c>
      <c r="C20" s="1">
        <f>IFERROR(__xludf.DUMMYFUNCTION("""COMPUTED_VALUE"""),1.05)</f>
        <v>1.05</v>
      </c>
      <c r="D20" s="1">
        <f>IFERROR(__xludf.DUMMYFUNCTION("""COMPUTED_VALUE"""),0.98)</f>
        <v>0.98</v>
      </c>
      <c r="E20" s="1">
        <f>IFERROR(__xludf.DUMMYFUNCTION("""COMPUTED_VALUE"""),1.03)</f>
        <v>1.03</v>
      </c>
      <c r="F20" s="1">
        <f>IFERROR(__xludf.DUMMYFUNCTION("""COMPUTED_VALUE"""),161410.0)</f>
        <v>161410</v>
      </c>
    </row>
    <row r="21">
      <c r="A21" s="2">
        <f>IFERROR(__xludf.DUMMYFUNCTION("""COMPUTED_VALUE"""),39198.666666666664)</f>
        <v>39198.66667</v>
      </c>
      <c r="B21" s="1">
        <f>IFERROR(__xludf.DUMMYFUNCTION("""COMPUTED_VALUE"""),1.05)</f>
        <v>1.05</v>
      </c>
      <c r="C21" s="1">
        <f>IFERROR(__xludf.DUMMYFUNCTION("""COMPUTED_VALUE"""),1.05)</f>
        <v>1.05</v>
      </c>
      <c r="D21" s="1">
        <f>IFERROR(__xludf.DUMMYFUNCTION("""COMPUTED_VALUE"""),1.01)</f>
        <v>1.01</v>
      </c>
      <c r="E21" s="1">
        <f>IFERROR(__xludf.DUMMYFUNCTION("""COMPUTED_VALUE"""),1.02)</f>
        <v>1.02</v>
      </c>
      <c r="F21" s="1">
        <f>IFERROR(__xludf.DUMMYFUNCTION("""COMPUTED_VALUE"""),73375.0)</f>
        <v>73375</v>
      </c>
    </row>
    <row r="22">
      <c r="A22" s="2">
        <f>IFERROR(__xludf.DUMMYFUNCTION("""COMPUTED_VALUE"""),39199.666666666664)</f>
        <v>39199.66667</v>
      </c>
      <c r="B22" s="1">
        <f>IFERROR(__xludf.DUMMYFUNCTION("""COMPUTED_VALUE"""),1.02)</f>
        <v>1.02</v>
      </c>
      <c r="C22" s="1">
        <f>IFERROR(__xludf.DUMMYFUNCTION("""COMPUTED_VALUE"""),1.04)</f>
        <v>1.04</v>
      </c>
      <c r="D22" s="1">
        <f>IFERROR(__xludf.DUMMYFUNCTION("""COMPUTED_VALUE"""),1.0)</f>
        <v>1</v>
      </c>
      <c r="E22" s="1">
        <f>IFERROR(__xludf.DUMMYFUNCTION("""COMPUTED_VALUE"""),1.02)</f>
        <v>1.02</v>
      </c>
      <c r="F22" s="1">
        <f>IFERROR(__xludf.DUMMYFUNCTION("""COMPUTED_VALUE"""),112117.0)</f>
        <v>112117</v>
      </c>
    </row>
    <row r="23">
      <c r="A23" s="2">
        <f>IFERROR(__xludf.DUMMYFUNCTION("""COMPUTED_VALUE"""),39202.666666666664)</f>
        <v>39202.66667</v>
      </c>
      <c r="B23" s="1">
        <f>IFERROR(__xludf.DUMMYFUNCTION("""COMPUTED_VALUE"""),1.02)</f>
        <v>1.02</v>
      </c>
      <c r="C23" s="1">
        <f>IFERROR(__xludf.DUMMYFUNCTION("""COMPUTED_VALUE"""),1.11)</f>
        <v>1.11</v>
      </c>
      <c r="D23" s="1">
        <f>IFERROR(__xludf.DUMMYFUNCTION("""COMPUTED_VALUE"""),1.02)</f>
        <v>1.02</v>
      </c>
      <c r="E23" s="1">
        <f>IFERROR(__xludf.DUMMYFUNCTION("""COMPUTED_VALUE"""),1.04)</f>
        <v>1.04</v>
      </c>
      <c r="F23" s="1">
        <f>IFERROR(__xludf.DUMMYFUNCTION("""COMPUTED_VALUE"""),271868.0)</f>
        <v>271868</v>
      </c>
    </row>
    <row r="24">
      <c r="A24" s="2">
        <f>IFERROR(__xludf.DUMMYFUNCTION("""COMPUTED_VALUE"""),39203.666666666664)</f>
        <v>39203.66667</v>
      </c>
      <c r="B24" s="1">
        <f>IFERROR(__xludf.DUMMYFUNCTION("""COMPUTED_VALUE"""),1.05)</f>
        <v>1.05</v>
      </c>
      <c r="C24" s="1">
        <f>IFERROR(__xludf.DUMMYFUNCTION("""COMPUTED_VALUE"""),1.09)</f>
        <v>1.09</v>
      </c>
      <c r="D24" s="1">
        <f>IFERROR(__xludf.DUMMYFUNCTION("""COMPUTED_VALUE"""),1.01)</f>
        <v>1.01</v>
      </c>
      <c r="E24" s="1">
        <f>IFERROR(__xludf.DUMMYFUNCTION("""COMPUTED_VALUE"""),1.05)</f>
        <v>1.05</v>
      </c>
      <c r="F24" s="1">
        <f>IFERROR(__xludf.DUMMYFUNCTION("""COMPUTED_VALUE"""),123994.0)</f>
        <v>123994</v>
      </c>
    </row>
    <row r="25">
      <c r="A25" s="2">
        <f>IFERROR(__xludf.DUMMYFUNCTION("""COMPUTED_VALUE"""),39204.666666666664)</f>
        <v>39204.66667</v>
      </c>
      <c r="B25" s="1">
        <f>IFERROR(__xludf.DUMMYFUNCTION("""COMPUTED_VALUE"""),1.05)</f>
        <v>1.05</v>
      </c>
      <c r="C25" s="1">
        <f>IFERROR(__xludf.DUMMYFUNCTION("""COMPUTED_VALUE"""),1.06)</f>
        <v>1.06</v>
      </c>
      <c r="D25" s="1">
        <f>IFERROR(__xludf.DUMMYFUNCTION("""COMPUTED_VALUE"""),1.04)</f>
        <v>1.04</v>
      </c>
      <c r="E25" s="1">
        <f>IFERROR(__xludf.DUMMYFUNCTION("""COMPUTED_VALUE"""),1.04)</f>
        <v>1.04</v>
      </c>
      <c r="F25" s="1">
        <f>IFERROR(__xludf.DUMMYFUNCTION("""COMPUTED_VALUE"""),60828.0)</f>
        <v>60828</v>
      </c>
    </row>
    <row r="26">
      <c r="A26" s="2">
        <f>IFERROR(__xludf.DUMMYFUNCTION("""COMPUTED_VALUE"""),39205.666666666664)</f>
        <v>39205.66667</v>
      </c>
      <c r="B26" s="1">
        <f>IFERROR(__xludf.DUMMYFUNCTION("""COMPUTED_VALUE"""),1.04)</f>
        <v>1.04</v>
      </c>
      <c r="C26" s="1">
        <f>IFERROR(__xludf.DUMMYFUNCTION("""COMPUTED_VALUE"""),1.05)</f>
        <v>1.05</v>
      </c>
      <c r="D26" s="1">
        <f>IFERROR(__xludf.DUMMYFUNCTION("""COMPUTED_VALUE"""),1.03)</f>
        <v>1.03</v>
      </c>
      <c r="E26" s="1">
        <f>IFERROR(__xludf.DUMMYFUNCTION("""COMPUTED_VALUE"""),1.04)</f>
        <v>1.04</v>
      </c>
      <c r="F26" s="1">
        <f>IFERROR(__xludf.DUMMYFUNCTION("""COMPUTED_VALUE"""),84238.0)</f>
        <v>84238</v>
      </c>
    </row>
    <row r="27">
      <c r="A27" s="2">
        <f>IFERROR(__xludf.DUMMYFUNCTION("""COMPUTED_VALUE"""),39206.666666666664)</f>
        <v>39206.66667</v>
      </c>
      <c r="B27" s="1">
        <f>IFERROR(__xludf.DUMMYFUNCTION("""COMPUTED_VALUE"""),1.04)</f>
        <v>1.04</v>
      </c>
      <c r="C27" s="1">
        <f>IFERROR(__xludf.DUMMYFUNCTION("""COMPUTED_VALUE"""),1.06)</f>
        <v>1.06</v>
      </c>
      <c r="D27" s="1">
        <f>IFERROR(__xludf.DUMMYFUNCTION("""COMPUTED_VALUE"""),1.04)</f>
        <v>1.04</v>
      </c>
      <c r="E27" s="1">
        <f>IFERROR(__xludf.DUMMYFUNCTION("""COMPUTED_VALUE"""),1.06)</f>
        <v>1.06</v>
      </c>
      <c r="F27" s="1">
        <f>IFERROR(__xludf.DUMMYFUNCTION("""COMPUTED_VALUE"""),72188.0)</f>
        <v>72188</v>
      </c>
    </row>
    <row r="28">
      <c r="A28" s="2">
        <f>IFERROR(__xludf.DUMMYFUNCTION("""COMPUTED_VALUE"""),39209.666666666664)</f>
        <v>39209.66667</v>
      </c>
      <c r="B28" s="1">
        <f>IFERROR(__xludf.DUMMYFUNCTION("""COMPUTED_VALUE"""),1.08)</f>
        <v>1.08</v>
      </c>
      <c r="C28" s="1">
        <f>IFERROR(__xludf.DUMMYFUNCTION("""COMPUTED_VALUE"""),1.11)</f>
        <v>1.11</v>
      </c>
      <c r="D28" s="1">
        <f>IFERROR(__xludf.DUMMYFUNCTION("""COMPUTED_VALUE"""),1.04)</f>
        <v>1.04</v>
      </c>
      <c r="E28" s="1">
        <f>IFERROR(__xludf.DUMMYFUNCTION("""COMPUTED_VALUE"""),1.06)</f>
        <v>1.06</v>
      </c>
      <c r="F28" s="1">
        <f>IFERROR(__xludf.DUMMYFUNCTION("""COMPUTED_VALUE"""),174063.0)</f>
        <v>174063</v>
      </c>
    </row>
    <row r="29">
      <c r="A29" s="2">
        <f>IFERROR(__xludf.DUMMYFUNCTION("""COMPUTED_VALUE"""),39210.666666666664)</f>
        <v>39210.66667</v>
      </c>
      <c r="B29" s="1">
        <f>IFERROR(__xludf.DUMMYFUNCTION("""COMPUTED_VALUE"""),1.05)</f>
        <v>1.05</v>
      </c>
      <c r="C29" s="1">
        <f>IFERROR(__xludf.DUMMYFUNCTION("""COMPUTED_VALUE"""),1.06)</f>
        <v>1.06</v>
      </c>
      <c r="D29" s="1">
        <f>IFERROR(__xludf.DUMMYFUNCTION("""COMPUTED_VALUE"""),1.05)</f>
        <v>1.05</v>
      </c>
      <c r="E29" s="1">
        <f>IFERROR(__xludf.DUMMYFUNCTION("""COMPUTED_VALUE"""),1.05)</f>
        <v>1.05</v>
      </c>
      <c r="F29" s="1">
        <f>IFERROR(__xludf.DUMMYFUNCTION("""COMPUTED_VALUE"""),146809.0)</f>
        <v>146809</v>
      </c>
    </row>
    <row r="30">
      <c r="A30" s="2">
        <f>IFERROR(__xludf.DUMMYFUNCTION("""COMPUTED_VALUE"""),39211.666666666664)</f>
        <v>39211.66667</v>
      </c>
      <c r="B30" s="1">
        <f>IFERROR(__xludf.DUMMYFUNCTION("""COMPUTED_VALUE"""),1.09)</f>
        <v>1.09</v>
      </c>
      <c r="C30" s="1">
        <f>IFERROR(__xludf.DUMMYFUNCTION("""COMPUTED_VALUE"""),1.14)</f>
        <v>1.14</v>
      </c>
      <c r="D30" s="1">
        <f>IFERROR(__xludf.DUMMYFUNCTION("""COMPUTED_VALUE"""),1.05)</f>
        <v>1.05</v>
      </c>
      <c r="E30" s="1">
        <f>IFERROR(__xludf.DUMMYFUNCTION("""COMPUTED_VALUE"""),1.12)</f>
        <v>1.12</v>
      </c>
      <c r="F30" s="1">
        <f>IFERROR(__xludf.DUMMYFUNCTION("""COMPUTED_VALUE"""),412037.0)</f>
        <v>412037</v>
      </c>
    </row>
    <row r="31">
      <c r="A31" s="2">
        <f>IFERROR(__xludf.DUMMYFUNCTION("""COMPUTED_VALUE"""),39212.666666666664)</f>
        <v>39212.66667</v>
      </c>
      <c r="B31" s="1">
        <f>IFERROR(__xludf.DUMMYFUNCTION("""COMPUTED_VALUE"""),1.08)</f>
        <v>1.08</v>
      </c>
      <c r="C31" s="1">
        <f>IFERROR(__xludf.DUMMYFUNCTION("""COMPUTED_VALUE"""),1.09)</f>
        <v>1.09</v>
      </c>
      <c r="D31" s="1">
        <f>IFERROR(__xludf.DUMMYFUNCTION("""COMPUTED_VALUE"""),1.0)</f>
        <v>1</v>
      </c>
      <c r="E31" s="1">
        <f>IFERROR(__xludf.DUMMYFUNCTION("""COMPUTED_VALUE"""),1.01)</f>
        <v>1.01</v>
      </c>
      <c r="F31" s="1">
        <f>IFERROR(__xludf.DUMMYFUNCTION("""COMPUTED_VALUE"""),490961.0)</f>
        <v>490961</v>
      </c>
    </row>
    <row r="32">
      <c r="A32" s="2">
        <f>IFERROR(__xludf.DUMMYFUNCTION("""COMPUTED_VALUE"""),39213.666666666664)</f>
        <v>39213.66667</v>
      </c>
      <c r="B32" s="1">
        <f>IFERROR(__xludf.DUMMYFUNCTION("""COMPUTED_VALUE"""),1.02)</f>
        <v>1.02</v>
      </c>
      <c r="C32" s="1">
        <f>IFERROR(__xludf.DUMMYFUNCTION("""COMPUTED_VALUE"""),1.05)</f>
        <v>1.05</v>
      </c>
      <c r="D32" s="1">
        <f>IFERROR(__xludf.DUMMYFUNCTION("""COMPUTED_VALUE"""),1.0)</f>
        <v>1</v>
      </c>
      <c r="E32" s="1">
        <f>IFERROR(__xludf.DUMMYFUNCTION("""COMPUTED_VALUE"""),1.04)</f>
        <v>1.04</v>
      </c>
      <c r="F32" s="1">
        <f>IFERROR(__xludf.DUMMYFUNCTION("""COMPUTED_VALUE"""),271747.0)</f>
        <v>271747</v>
      </c>
    </row>
    <row r="33">
      <c r="A33" s="2">
        <f>IFERROR(__xludf.DUMMYFUNCTION("""COMPUTED_VALUE"""),39216.666666666664)</f>
        <v>39216.66667</v>
      </c>
      <c r="B33" s="1">
        <f>IFERROR(__xludf.DUMMYFUNCTION("""COMPUTED_VALUE"""),1.04)</f>
        <v>1.04</v>
      </c>
      <c r="C33" s="1">
        <f>IFERROR(__xludf.DUMMYFUNCTION("""COMPUTED_VALUE"""),1.05)</f>
        <v>1.05</v>
      </c>
      <c r="D33" s="1">
        <f>IFERROR(__xludf.DUMMYFUNCTION("""COMPUTED_VALUE"""),1.02)</f>
        <v>1.02</v>
      </c>
      <c r="E33" s="1">
        <f>IFERROR(__xludf.DUMMYFUNCTION("""COMPUTED_VALUE"""),1.04)</f>
        <v>1.04</v>
      </c>
      <c r="F33" s="1">
        <f>IFERROR(__xludf.DUMMYFUNCTION("""COMPUTED_VALUE"""),209788.0)</f>
        <v>209788</v>
      </c>
    </row>
    <row r="34">
      <c r="A34" s="2">
        <f>IFERROR(__xludf.DUMMYFUNCTION("""COMPUTED_VALUE"""),39217.666666666664)</f>
        <v>39217.66667</v>
      </c>
      <c r="B34" s="1">
        <f>IFERROR(__xludf.DUMMYFUNCTION("""COMPUTED_VALUE"""),1.02)</f>
        <v>1.02</v>
      </c>
      <c r="C34" s="1">
        <f>IFERROR(__xludf.DUMMYFUNCTION("""COMPUTED_VALUE"""),1.04)</f>
        <v>1.04</v>
      </c>
      <c r="D34" s="1">
        <f>IFERROR(__xludf.DUMMYFUNCTION("""COMPUTED_VALUE"""),1.02)</f>
        <v>1.02</v>
      </c>
      <c r="E34" s="1">
        <f>IFERROR(__xludf.DUMMYFUNCTION("""COMPUTED_VALUE"""),1.02)</f>
        <v>1.02</v>
      </c>
      <c r="F34" s="1">
        <f>IFERROR(__xludf.DUMMYFUNCTION("""COMPUTED_VALUE"""),133576.0)</f>
        <v>133576</v>
      </c>
    </row>
    <row r="35">
      <c r="A35" s="2">
        <f>IFERROR(__xludf.DUMMYFUNCTION("""COMPUTED_VALUE"""),39218.666666666664)</f>
        <v>39218.66667</v>
      </c>
      <c r="B35" s="1">
        <f>IFERROR(__xludf.DUMMYFUNCTION("""COMPUTED_VALUE"""),1.02)</f>
        <v>1.02</v>
      </c>
      <c r="C35" s="1">
        <f>IFERROR(__xludf.DUMMYFUNCTION("""COMPUTED_VALUE"""),1.04)</f>
        <v>1.04</v>
      </c>
      <c r="D35" s="1">
        <f>IFERROR(__xludf.DUMMYFUNCTION("""COMPUTED_VALUE"""),1.0)</f>
        <v>1</v>
      </c>
      <c r="E35" s="1">
        <f>IFERROR(__xludf.DUMMYFUNCTION("""COMPUTED_VALUE"""),1.01)</f>
        <v>1.01</v>
      </c>
      <c r="F35" s="1">
        <f>IFERROR(__xludf.DUMMYFUNCTION("""COMPUTED_VALUE"""),86014.0)</f>
        <v>86014</v>
      </c>
    </row>
    <row r="36">
      <c r="A36" s="2">
        <f>IFERROR(__xludf.DUMMYFUNCTION("""COMPUTED_VALUE"""),39219.666666666664)</f>
        <v>39219.66667</v>
      </c>
      <c r="B36" s="1">
        <f>IFERROR(__xludf.DUMMYFUNCTION("""COMPUTED_VALUE"""),1.0)</f>
        <v>1</v>
      </c>
      <c r="C36" s="1">
        <f>IFERROR(__xludf.DUMMYFUNCTION("""COMPUTED_VALUE"""),1.01)</f>
        <v>1.01</v>
      </c>
      <c r="D36" s="1">
        <f>IFERROR(__xludf.DUMMYFUNCTION("""COMPUTED_VALUE"""),1.0)</f>
        <v>1</v>
      </c>
      <c r="E36" s="1">
        <f>IFERROR(__xludf.DUMMYFUNCTION("""COMPUTED_VALUE"""),1.0)</f>
        <v>1</v>
      </c>
      <c r="F36" s="1">
        <f>IFERROR(__xludf.DUMMYFUNCTION("""COMPUTED_VALUE"""),110920.0)</f>
        <v>110920</v>
      </c>
    </row>
    <row r="37">
      <c r="A37" s="2">
        <f>IFERROR(__xludf.DUMMYFUNCTION("""COMPUTED_VALUE"""),39220.666666666664)</f>
        <v>39220.66667</v>
      </c>
      <c r="B37" s="1">
        <f>IFERROR(__xludf.DUMMYFUNCTION("""COMPUTED_VALUE"""),1.0)</f>
        <v>1</v>
      </c>
      <c r="C37" s="1">
        <f>IFERROR(__xludf.DUMMYFUNCTION("""COMPUTED_VALUE"""),1.01)</f>
        <v>1.01</v>
      </c>
      <c r="D37" s="1">
        <f>IFERROR(__xludf.DUMMYFUNCTION("""COMPUTED_VALUE"""),0.97)</f>
        <v>0.97</v>
      </c>
      <c r="E37" s="1">
        <f>IFERROR(__xludf.DUMMYFUNCTION("""COMPUTED_VALUE"""),1.0)</f>
        <v>1</v>
      </c>
      <c r="F37" s="1">
        <f>IFERROR(__xludf.DUMMYFUNCTION("""COMPUTED_VALUE"""),187057.0)</f>
        <v>187057</v>
      </c>
    </row>
    <row r="38">
      <c r="A38" s="2">
        <f>IFERROR(__xludf.DUMMYFUNCTION("""COMPUTED_VALUE"""),39223.666666666664)</f>
        <v>39223.66667</v>
      </c>
      <c r="B38" s="1">
        <f>IFERROR(__xludf.DUMMYFUNCTION("""COMPUTED_VALUE"""),1.0)</f>
        <v>1</v>
      </c>
      <c r="C38" s="1">
        <f>IFERROR(__xludf.DUMMYFUNCTION("""COMPUTED_VALUE"""),1.01)</f>
        <v>1.01</v>
      </c>
      <c r="D38" s="1">
        <f>IFERROR(__xludf.DUMMYFUNCTION("""COMPUTED_VALUE"""),0.99)</f>
        <v>0.99</v>
      </c>
      <c r="E38" s="1">
        <f>IFERROR(__xludf.DUMMYFUNCTION("""COMPUTED_VALUE"""),1.0)</f>
        <v>1</v>
      </c>
      <c r="F38" s="1">
        <f>IFERROR(__xludf.DUMMYFUNCTION("""COMPUTED_VALUE"""),215545.0)</f>
        <v>215545</v>
      </c>
    </row>
    <row r="39">
      <c r="A39" s="2">
        <f>IFERROR(__xludf.DUMMYFUNCTION("""COMPUTED_VALUE"""),39224.666666666664)</f>
        <v>39224.66667</v>
      </c>
      <c r="B39" s="1">
        <f>IFERROR(__xludf.DUMMYFUNCTION("""COMPUTED_VALUE"""),0.91)</f>
        <v>0.91</v>
      </c>
      <c r="C39" s="1">
        <f>IFERROR(__xludf.DUMMYFUNCTION("""COMPUTED_VALUE"""),1.01)</f>
        <v>1.01</v>
      </c>
      <c r="D39" s="1">
        <f>IFERROR(__xludf.DUMMYFUNCTION("""COMPUTED_VALUE"""),0.91)</f>
        <v>0.91</v>
      </c>
      <c r="E39" s="1">
        <f>IFERROR(__xludf.DUMMYFUNCTION("""COMPUTED_VALUE"""),1.0)</f>
        <v>1</v>
      </c>
      <c r="F39" s="1">
        <f>IFERROR(__xludf.DUMMYFUNCTION("""COMPUTED_VALUE"""),82464.0)</f>
        <v>82464</v>
      </c>
    </row>
    <row r="40">
      <c r="A40" s="2">
        <f>IFERROR(__xludf.DUMMYFUNCTION("""COMPUTED_VALUE"""),39225.666666666664)</f>
        <v>39225.66667</v>
      </c>
      <c r="B40" s="1">
        <f>IFERROR(__xludf.DUMMYFUNCTION("""COMPUTED_VALUE"""),1.0)</f>
        <v>1</v>
      </c>
      <c r="C40" s="1">
        <f>IFERROR(__xludf.DUMMYFUNCTION("""COMPUTED_VALUE"""),1.01)</f>
        <v>1.01</v>
      </c>
      <c r="D40" s="1">
        <f>IFERROR(__xludf.DUMMYFUNCTION("""COMPUTED_VALUE"""),1.0)</f>
        <v>1</v>
      </c>
      <c r="E40" s="1">
        <f>IFERROR(__xludf.DUMMYFUNCTION("""COMPUTED_VALUE"""),1.0)</f>
        <v>1</v>
      </c>
      <c r="F40" s="1">
        <f>IFERROR(__xludf.DUMMYFUNCTION("""COMPUTED_VALUE"""),76234.0)</f>
        <v>76234</v>
      </c>
    </row>
    <row r="41">
      <c r="A41" s="2">
        <f>IFERROR(__xludf.DUMMYFUNCTION("""COMPUTED_VALUE"""),39226.666666666664)</f>
        <v>39226.66667</v>
      </c>
      <c r="B41" s="1">
        <f>IFERROR(__xludf.DUMMYFUNCTION("""COMPUTED_VALUE"""),1.0)</f>
        <v>1</v>
      </c>
      <c r="C41" s="1">
        <f>IFERROR(__xludf.DUMMYFUNCTION("""COMPUTED_VALUE"""),1.01)</f>
        <v>1.01</v>
      </c>
      <c r="D41" s="1">
        <f>IFERROR(__xludf.DUMMYFUNCTION("""COMPUTED_VALUE"""),0.99)</f>
        <v>0.99</v>
      </c>
      <c r="E41" s="1">
        <f>IFERROR(__xludf.DUMMYFUNCTION("""COMPUTED_VALUE"""),1.0)</f>
        <v>1</v>
      </c>
      <c r="F41" s="1">
        <f>IFERROR(__xludf.DUMMYFUNCTION("""COMPUTED_VALUE"""),60568.0)</f>
        <v>60568</v>
      </c>
    </row>
    <row r="42">
      <c r="A42" s="2">
        <f>IFERROR(__xludf.DUMMYFUNCTION("""COMPUTED_VALUE"""),39227.666666666664)</f>
        <v>39227.66667</v>
      </c>
      <c r="B42" s="1">
        <f>IFERROR(__xludf.DUMMYFUNCTION("""COMPUTED_VALUE"""),0.99)</f>
        <v>0.99</v>
      </c>
      <c r="C42" s="1">
        <f>IFERROR(__xludf.DUMMYFUNCTION("""COMPUTED_VALUE"""),1.0)</f>
        <v>1</v>
      </c>
      <c r="D42" s="1">
        <f>IFERROR(__xludf.DUMMYFUNCTION("""COMPUTED_VALUE"""),0.99)</f>
        <v>0.99</v>
      </c>
      <c r="E42" s="1">
        <f>IFERROR(__xludf.DUMMYFUNCTION("""COMPUTED_VALUE"""),1.0)</f>
        <v>1</v>
      </c>
      <c r="F42" s="1">
        <f>IFERROR(__xludf.DUMMYFUNCTION("""COMPUTED_VALUE"""),61663.0)</f>
        <v>61663</v>
      </c>
    </row>
    <row r="43">
      <c r="A43" s="2">
        <f>IFERROR(__xludf.DUMMYFUNCTION("""COMPUTED_VALUE"""),39231.666666666664)</f>
        <v>39231.66667</v>
      </c>
      <c r="B43" s="1">
        <f>IFERROR(__xludf.DUMMYFUNCTION("""COMPUTED_VALUE"""),1.0)</f>
        <v>1</v>
      </c>
      <c r="C43" s="1">
        <f>IFERROR(__xludf.DUMMYFUNCTION("""COMPUTED_VALUE"""),1.01)</f>
        <v>1.01</v>
      </c>
      <c r="D43" s="1">
        <f>IFERROR(__xludf.DUMMYFUNCTION("""COMPUTED_VALUE"""),0.99)</f>
        <v>0.99</v>
      </c>
      <c r="E43" s="1">
        <f>IFERROR(__xludf.DUMMYFUNCTION("""COMPUTED_VALUE"""),1.0)</f>
        <v>1</v>
      </c>
      <c r="F43" s="1">
        <f>IFERROR(__xludf.DUMMYFUNCTION("""COMPUTED_VALUE"""),65892.0)</f>
        <v>65892</v>
      </c>
    </row>
    <row r="44">
      <c r="A44" s="2">
        <f>IFERROR(__xludf.DUMMYFUNCTION("""COMPUTED_VALUE"""),39232.666666666664)</f>
        <v>39232.66667</v>
      </c>
      <c r="B44" s="1">
        <f>IFERROR(__xludf.DUMMYFUNCTION("""COMPUTED_VALUE"""),1.0)</f>
        <v>1</v>
      </c>
      <c r="C44" s="1">
        <f>IFERROR(__xludf.DUMMYFUNCTION("""COMPUTED_VALUE"""),1.0)</f>
        <v>1</v>
      </c>
      <c r="D44" s="1">
        <f>IFERROR(__xludf.DUMMYFUNCTION("""COMPUTED_VALUE"""),1.0)</f>
        <v>1</v>
      </c>
      <c r="E44" s="1">
        <f>IFERROR(__xludf.DUMMYFUNCTION("""COMPUTED_VALUE"""),1.0)</f>
        <v>1</v>
      </c>
      <c r="F44" s="1">
        <f>IFERROR(__xludf.DUMMYFUNCTION("""COMPUTED_VALUE"""),79978.0)</f>
        <v>79978</v>
      </c>
    </row>
    <row r="45">
      <c r="A45" s="2">
        <f>IFERROR(__xludf.DUMMYFUNCTION("""COMPUTED_VALUE"""),39233.666666666664)</f>
        <v>39233.66667</v>
      </c>
      <c r="B45" s="1">
        <f>IFERROR(__xludf.DUMMYFUNCTION("""COMPUTED_VALUE"""),1.0)</f>
        <v>1</v>
      </c>
      <c r="C45" s="1">
        <f>IFERROR(__xludf.DUMMYFUNCTION("""COMPUTED_VALUE"""),1.01)</f>
        <v>1.01</v>
      </c>
      <c r="D45" s="1">
        <f>IFERROR(__xludf.DUMMYFUNCTION("""COMPUTED_VALUE"""),1.0)</f>
        <v>1</v>
      </c>
      <c r="E45" s="1">
        <f>IFERROR(__xludf.DUMMYFUNCTION("""COMPUTED_VALUE"""),1.01)</f>
        <v>1.01</v>
      </c>
      <c r="F45" s="1">
        <f>IFERROR(__xludf.DUMMYFUNCTION("""COMPUTED_VALUE"""),112171.0)</f>
        <v>112171</v>
      </c>
    </row>
    <row r="46">
      <c r="A46" s="2">
        <f>IFERROR(__xludf.DUMMYFUNCTION("""COMPUTED_VALUE"""),39234.666666666664)</f>
        <v>39234.66667</v>
      </c>
      <c r="B46" s="1">
        <f>IFERROR(__xludf.DUMMYFUNCTION("""COMPUTED_VALUE"""),1.01)</f>
        <v>1.01</v>
      </c>
      <c r="C46" s="1">
        <f>IFERROR(__xludf.DUMMYFUNCTION("""COMPUTED_VALUE"""),1.01)</f>
        <v>1.01</v>
      </c>
      <c r="D46" s="1">
        <f>IFERROR(__xludf.DUMMYFUNCTION("""COMPUTED_VALUE"""),1.0)</f>
        <v>1</v>
      </c>
      <c r="E46" s="1">
        <f>IFERROR(__xludf.DUMMYFUNCTION("""COMPUTED_VALUE"""),1.0)</f>
        <v>1</v>
      </c>
      <c r="F46" s="1">
        <f>IFERROR(__xludf.DUMMYFUNCTION("""COMPUTED_VALUE"""),85247.0)</f>
        <v>85247</v>
      </c>
    </row>
    <row r="47">
      <c r="A47" s="2">
        <f>IFERROR(__xludf.DUMMYFUNCTION("""COMPUTED_VALUE"""),39237.666666666664)</f>
        <v>39237.66667</v>
      </c>
      <c r="B47" s="1">
        <f>IFERROR(__xludf.DUMMYFUNCTION("""COMPUTED_VALUE"""),1.0)</f>
        <v>1</v>
      </c>
      <c r="C47" s="1">
        <f>IFERROR(__xludf.DUMMYFUNCTION("""COMPUTED_VALUE"""),1.07)</f>
        <v>1.07</v>
      </c>
      <c r="D47" s="1">
        <f>IFERROR(__xludf.DUMMYFUNCTION("""COMPUTED_VALUE"""),1.0)</f>
        <v>1</v>
      </c>
      <c r="E47" s="1">
        <f>IFERROR(__xludf.DUMMYFUNCTION("""COMPUTED_VALUE"""),1.06)</f>
        <v>1.06</v>
      </c>
      <c r="F47" s="1">
        <f>IFERROR(__xludf.DUMMYFUNCTION("""COMPUTED_VALUE"""),222268.0)</f>
        <v>222268</v>
      </c>
    </row>
    <row r="48">
      <c r="A48" s="2">
        <f>IFERROR(__xludf.DUMMYFUNCTION("""COMPUTED_VALUE"""),39238.666666666664)</f>
        <v>39238.66667</v>
      </c>
      <c r="B48" s="1">
        <f>IFERROR(__xludf.DUMMYFUNCTION("""COMPUTED_VALUE"""),1.1)</f>
        <v>1.1</v>
      </c>
      <c r="C48" s="1">
        <f>IFERROR(__xludf.DUMMYFUNCTION("""COMPUTED_VALUE"""),1.19)</f>
        <v>1.19</v>
      </c>
      <c r="D48" s="1">
        <f>IFERROR(__xludf.DUMMYFUNCTION("""COMPUTED_VALUE"""),1.1)</f>
        <v>1.1</v>
      </c>
      <c r="E48" s="1">
        <f>IFERROR(__xludf.DUMMYFUNCTION("""COMPUTED_VALUE"""),1.14)</f>
        <v>1.14</v>
      </c>
      <c r="F48" s="1">
        <f>IFERROR(__xludf.DUMMYFUNCTION("""COMPUTED_VALUE"""),920176.0)</f>
        <v>920176</v>
      </c>
    </row>
    <row r="49">
      <c r="A49" s="2">
        <f>IFERROR(__xludf.DUMMYFUNCTION("""COMPUTED_VALUE"""),39239.666666666664)</f>
        <v>39239.66667</v>
      </c>
      <c r="B49" s="1">
        <f>IFERROR(__xludf.DUMMYFUNCTION("""COMPUTED_VALUE"""),1.16)</f>
        <v>1.16</v>
      </c>
      <c r="C49" s="1">
        <f>IFERROR(__xludf.DUMMYFUNCTION("""COMPUTED_VALUE"""),1.16)</f>
        <v>1.16</v>
      </c>
      <c r="D49" s="1">
        <f>IFERROR(__xludf.DUMMYFUNCTION("""COMPUTED_VALUE"""),1.1)</f>
        <v>1.1</v>
      </c>
      <c r="E49" s="1">
        <f>IFERROR(__xludf.DUMMYFUNCTION("""COMPUTED_VALUE"""),1.12)</f>
        <v>1.12</v>
      </c>
      <c r="F49" s="1">
        <f>IFERROR(__xludf.DUMMYFUNCTION("""COMPUTED_VALUE"""),350668.0)</f>
        <v>350668</v>
      </c>
    </row>
    <row r="50">
      <c r="A50" s="2">
        <f>IFERROR(__xludf.DUMMYFUNCTION("""COMPUTED_VALUE"""),39240.666666666664)</f>
        <v>39240.66667</v>
      </c>
      <c r="B50" s="1">
        <f>IFERROR(__xludf.DUMMYFUNCTION("""COMPUTED_VALUE"""),1.13)</f>
        <v>1.13</v>
      </c>
      <c r="C50" s="1">
        <f>IFERROR(__xludf.DUMMYFUNCTION("""COMPUTED_VALUE"""),1.13)</f>
        <v>1.13</v>
      </c>
      <c r="D50" s="1">
        <f>IFERROR(__xludf.DUMMYFUNCTION("""COMPUTED_VALUE"""),1.11)</f>
        <v>1.11</v>
      </c>
      <c r="E50" s="1">
        <f>IFERROR(__xludf.DUMMYFUNCTION("""COMPUTED_VALUE"""),1.12)</f>
        <v>1.12</v>
      </c>
      <c r="F50" s="1">
        <f>IFERROR(__xludf.DUMMYFUNCTION("""COMPUTED_VALUE"""),186888.0)</f>
        <v>186888</v>
      </c>
    </row>
    <row r="51">
      <c r="A51" s="2">
        <f>IFERROR(__xludf.DUMMYFUNCTION("""COMPUTED_VALUE"""),39241.666666666664)</f>
        <v>39241.66667</v>
      </c>
      <c r="B51" s="1">
        <f>IFERROR(__xludf.DUMMYFUNCTION("""COMPUTED_VALUE"""),1.13)</f>
        <v>1.13</v>
      </c>
      <c r="C51" s="1">
        <f>IFERROR(__xludf.DUMMYFUNCTION("""COMPUTED_VALUE"""),1.13)</f>
        <v>1.13</v>
      </c>
      <c r="D51" s="1">
        <f>IFERROR(__xludf.DUMMYFUNCTION("""COMPUTED_VALUE"""),1.02)</f>
        <v>1.02</v>
      </c>
      <c r="E51" s="1">
        <f>IFERROR(__xludf.DUMMYFUNCTION("""COMPUTED_VALUE"""),1.07)</f>
        <v>1.07</v>
      </c>
      <c r="F51" s="1">
        <f>IFERROR(__xludf.DUMMYFUNCTION("""COMPUTED_VALUE"""),365502.0)</f>
        <v>365502</v>
      </c>
    </row>
    <row r="52">
      <c r="A52" s="2">
        <f>IFERROR(__xludf.DUMMYFUNCTION("""COMPUTED_VALUE"""),39244.666666666664)</f>
        <v>39244.66667</v>
      </c>
      <c r="B52" s="1">
        <f>IFERROR(__xludf.DUMMYFUNCTION("""COMPUTED_VALUE"""),1.08)</f>
        <v>1.08</v>
      </c>
      <c r="C52" s="1">
        <f>IFERROR(__xludf.DUMMYFUNCTION("""COMPUTED_VALUE"""),1.08)</f>
        <v>1.08</v>
      </c>
      <c r="D52" s="1">
        <f>IFERROR(__xludf.DUMMYFUNCTION("""COMPUTED_VALUE"""),1.02)</f>
        <v>1.02</v>
      </c>
      <c r="E52" s="1">
        <f>IFERROR(__xludf.DUMMYFUNCTION("""COMPUTED_VALUE"""),1.05)</f>
        <v>1.05</v>
      </c>
      <c r="F52" s="1">
        <f>IFERROR(__xludf.DUMMYFUNCTION("""COMPUTED_VALUE"""),134668.0)</f>
        <v>134668</v>
      </c>
    </row>
    <row r="53">
      <c r="A53" s="2">
        <f>IFERROR(__xludf.DUMMYFUNCTION("""COMPUTED_VALUE"""),39245.666666666664)</f>
        <v>39245.66667</v>
      </c>
      <c r="B53" s="1">
        <f>IFERROR(__xludf.DUMMYFUNCTION("""COMPUTED_VALUE"""),1.04)</f>
        <v>1.04</v>
      </c>
      <c r="C53" s="1">
        <f>IFERROR(__xludf.DUMMYFUNCTION("""COMPUTED_VALUE"""),1.11)</f>
        <v>1.11</v>
      </c>
      <c r="D53" s="1">
        <f>IFERROR(__xludf.DUMMYFUNCTION("""COMPUTED_VALUE"""),1.04)</f>
        <v>1.04</v>
      </c>
      <c r="E53" s="1">
        <f>IFERROR(__xludf.DUMMYFUNCTION("""COMPUTED_VALUE"""),1.07)</f>
        <v>1.07</v>
      </c>
      <c r="F53" s="1">
        <f>IFERROR(__xludf.DUMMYFUNCTION("""COMPUTED_VALUE"""),145884.0)</f>
        <v>145884</v>
      </c>
    </row>
    <row r="54">
      <c r="A54" s="2">
        <f>IFERROR(__xludf.DUMMYFUNCTION("""COMPUTED_VALUE"""),39246.666666666664)</f>
        <v>39246.66667</v>
      </c>
      <c r="B54" s="1">
        <f>IFERROR(__xludf.DUMMYFUNCTION("""COMPUTED_VALUE"""),1.1)</f>
        <v>1.1</v>
      </c>
      <c r="C54" s="1">
        <f>IFERROR(__xludf.DUMMYFUNCTION("""COMPUTED_VALUE"""),1.1)</f>
        <v>1.1</v>
      </c>
      <c r="D54" s="1">
        <f>IFERROR(__xludf.DUMMYFUNCTION("""COMPUTED_VALUE"""),1.06)</f>
        <v>1.06</v>
      </c>
      <c r="E54" s="1">
        <f>IFERROR(__xludf.DUMMYFUNCTION("""COMPUTED_VALUE"""),1.07)</f>
        <v>1.07</v>
      </c>
      <c r="F54" s="1">
        <f>IFERROR(__xludf.DUMMYFUNCTION("""COMPUTED_VALUE"""),81680.0)</f>
        <v>81680</v>
      </c>
    </row>
    <row r="55">
      <c r="A55" s="2">
        <f>IFERROR(__xludf.DUMMYFUNCTION("""COMPUTED_VALUE"""),39247.666666666664)</f>
        <v>39247.66667</v>
      </c>
      <c r="B55" s="1">
        <f>IFERROR(__xludf.DUMMYFUNCTION("""COMPUTED_VALUE"""),1.08)</f>
        <v>1.08</v>
      </c>
      <c r="C55" s="1">
        <f>IFERROR(__xludf.DUMMYFUNCTION("""COMPUTED_VALUE"""),1.09)</f>
        <v>1.09</v>
      </c>
      <c r="D55" s="1">
        <f>IFERROR(__xludf.DUMMYFUNCTION("""COMPUTED_VALUE"""),1.07)</f>
        <v>1.07</v>
      </c>
      <c r="E55" s="1">
        <f>IFERROR(__xludf.DUMMYFUNCTION("""COMPUTED_VALUE"""),1.08)</f>
        <v>1.08</v>
      </c>
      <c r="F55" s="1">
        <f>IFERROR(__xludf.DUMMYFUNCTION("""COMPUTED_VALUE"""),154154.0)</f>
        <v>154154</v>
      </c>
    </row>
    <row r="56">
      <c r="A56" s="2">
        <f>IFERROR(__xludf.DUMMYFUNCTION("""COMPUTED_VALUE"""),39248.666666666664)</f>
        <v>39248.66667</v>
      </c>
      <c r="B56" s="1">
        <f>IFERROR(__xludf.DUMMYFUNCTION("""COMPUTED_VALUE"""),1.1)</f>
        <v>1.1</v>
      </c>
      <c r="C56" s="1">
        <f>IFERROR(__xludf.DUMMYFUNCTION("""COMPUTED_VALUE"""),1.1)</f>
        <v>1.1</v>
      </c>
      <c r="D56" s="1">
        <f>IFERROR(__xludf.DUMMYFUNCTION("""COMPUTED_VALUE"""),1.07)</f>
        <v>1.07</v>
      </c>
      <c r="E56" s="1">
        <f>IFERROR(__xludf.DUMMYFUNCTION("""COMPUTED_VALUE"""),1.07)</f>
        <v>1.07</v>
      </c>
      <c r="F56" s="1">
        <f>IFERROR(__xludf.DUMMYFUNCTION("""COMPUTED_VALUE"""),95332.0)</f>
        <v>95332</v>
      </c>
    </row>
    <row r="57">
      <c r="A57" s="2">
        <f>IFERROR(__xludf.DUMMYFUNCTION("""COMPUTED_VALUE"""),39251.666666666664)</f>
        <v>39251.66667</v>
      </c>
      <c r="B57" s="1">
        <f>IFERROR(__xludf.DUMMYFUNCTION("""COMPUTED_VALUE"""),1.08)</f>
        <v>1.08</v>
      </c>
      <c r="C57" s="1">
        <f>IFERROR(__xludf.DUMMYFUNCTION("""COMPUTED_VALUE"""),1.09)</f>
        <v>1.09</v>
      </c>
      <c r="D57" s="1">
        <f>IFERROR(__xludf.DUMMYFUNCTION("""COMPUTED_VALUE"""),1.05)</f>
        <v>1.05</v>
      </c>
      <c r="E57" s="1">
        <f>IFERROR(__xludf.DUMMYFUNCTION("""COMPUTED_VALUE"""),1.08)</f>
        <v>1.08</v>
      </c>
      <c r="F57" s="1">
        <f>IFERROR(__xludf.DUMMYFUNCTION("""COMPUTED_VALUE"""),162418.0)</f>
        <v>162418</v>
      </c>
    </row>
    <row r="58">
      <c r="A58" s="2">
        <f>IFERROR(__xludf.DUMMYFUNCTION("""COMPUTED_VALUE"""),39252.666666666664)</f>
        <v>39252.66667</v>
      </c>
      <c r="B58" s="1">
        <f>IFERROR(__xludf.DUMMYFUNCTION("""COMPUTED_VALUE"""),1.09)</f>
        <v>1.09</v>
      </c>
      <c r="C58" s="1">
        <f>IFERROR(__xludf.DUMMYFUNCTION("""COMPUTED_VALUE"""),1.14)</f>
        <v>1.14</v>
      </c>
      <c r="D58" s="1">
        <f>IFERROR(__xludf.DUMMYFUNCTION("""COMPUTED_VALUE"""),1.07)</f>
        <v>1.07</v>
      </c>
      <c r="E58" s="1">
        <f>IFERROR(__xludf.DUMMYFUNCTION("""COMPUTED_VALUE"""),1.09)</f>
        <v>1.09</v>
      </c>
      <c r="F58" s="1">
        <f>IFERROR(__xludf.DUMMYFUNCTION("""COMPUTED_VALUE"""),164432.0)</f>
        <v>164432</v>
      </c>
    </row>
    <row r="59">
      <c r="A59" s="2">
        <f>IFERROR(__xludf.DUMMYFUNCTION("""COMPUTED_VALUE"""),39253.666666666664)</f>
        <v>39253.66667</v>
      </c>
      <c r="B59" s="1">
        <f>IFERROR(__xludf.DUMMYFUNCTION("""COMPUTED_VALUE"""),1.1)</f>
        <v>1.1</v>
      </c>
      <c r="C59" s="1">
        <f>IFERROR(__xludf.DUMMYFUNCTION("""COMPUTED_VALUE"""),1.13)</f>
        <v>1.13</v>
      </c>
      <c r="D59" s="1">
        <f>IFERROR(__xludf.DUMMYFUNCTION("""COMPUTED_VALUE"""),1.09)</f>
        <v>1.09</v>
      </c>
      <c r="E59" s="1">
        <f>IFERROR(__xludf.DUMMYFUNCTION("""COMPUTED_VALUE"""),1.1)</f>
        <v>1.1</v>
      </c>
      <c r="F59" s="1">
        <f>IFERROR(__xludf.DUMMYFUNCTION("""COMPUTED_VALUE"""),230000.0)</f>
        <v>230000</v>
      </c>
    </row>
    <row r="60">
      <c r="A60" s="2">
        <f>IFERROR(__xludf.DUMMYFUNCTION("""COMPUTED_VALUE"""),39254.666666666664)</f>
        <v>39254.66667</v>
      </c>
      <c r="B60" s="1">
        <f>IFERROR(__xludf.DUMMYFUNCTION("""COMPUTED_VALUE"""),1.11)</f>
        <v>1.11</v>
      </c>
      <c r="C60" s="1">
        <f>IFERROR(__xludf.DUMMYFUNCTION("""COMPUTED_VALUE"""),1.11)</f>
        <v>1.11</v>
      </c>
      <c r="D60" s="1">
        <f>IFERROR(__xludf.DUMMYFUNCTION("""COMPUTED_VALUE"""),1.09)</f>
        <v>1.09</v>
      </c>
      <c r="E60" s="1">
        <f>IFERROR(__xludf.DUMMYFUNCTION("""COMPUTED_VALUE"""),1.1)</f>
        <v>1.1</v>
      </c>
      <c r="F60" s="1">
        <f>IFERROR(__xludf.DUMMYFUNCTION("""COMPUTED_VALUE"""),147972.0)</f>
        <v>147972</v>
      </c>
    </row>
    <row r="61">
      <c r="A61" s="2">
        <f>IFERROR(__xludf.DUMMYFUNCTION("""COMPUTED_VALUE"""),39255.666666666664)</f>
        <v>39255.66667</v>
      </c>
      <c r="B61" s="1">
        <f>IFERROR(__xludf.DUMMYFUNCTION("""COMPUTED_VALUE"""),1.1)</f>
        <v>1.1</v>
      </c>
      <c r="C61" s="1">
        <f>IFERROR(__xludf.DUMMYFUNCTION("""COMPUTED_VALUE"""),1.11)</f>
        <v>1.11</v>
      </c>
      <c r="D61" s="1">
        <f>IFERROR(__xludf.DUMMYFUNCTION("""COMPUTED_VALUE"""),1.05)</f>
        <v>1.05</v>
      </c>
      <c r="E61" s="1">
        <f>IFERROR(__xludf.DUMMYFUNCTION("""COMPUTED_VALUE"""),1.05)</f>
        <v>1.05</v>
      </c>
      <c r="F61" s="1">
        <f>IFERROR(__xludf.DUMMYFUNCTION("""COMPUTED_VALUE"""),921700.0)</f>
        <v>921700</v>
      </c>
    </row>
    <row r="62">
      <c r="A62" s="2">
        <f>IFERROR(__xludf.DUMMYFUNCTION("""COMPUTED_VALUE"""),39258.666666666664)</f>
        <v>39258.66667</v>
      </c>
      <c r="B62" s="1">
        <f>IFERROR(__xludf.DUMMYFUNCTION("""COMPUTED_VALUE"""),1.06)</f>
        <v>1.06</v>
      </c>
      <c r="C62" s="1">
        <f>IFERROR(__xludf.DUMMYFUNCTION("""COMPUTED_VALUE"""),1.08)</f>
        <v>1.08</v>
      </c>
      <c r="D62" s="1">
        <f>IFERROR(__xludf.DUMMYFUNCTION("""COMPUTED_VALUE"""),1.03)</f>
        <v>1.03</v>
      </c>
      <c r="E62" s="1">
        <f>IFERROR(__xludf.DUMMYFUNCTION("""COMPUTED_VALUE"""),1.05)</f>
        <v>1.05</v>
      </c>
      <c r="F62" s="1">
        <f>IFERROR(__xludf.DUMMYFUNCTION("""COMPUTED_VALUE"""),215041.0)</f>
        <v>215041</v>
      </c>
    </row>
    <row r="63">
      <c r="A63" s="2">
        <f>IFERROR(__xludf.DUMMYFUNCTION("""COMPUTED_VALUE"""),39259.666666666664)</f>
        <v>39259.66667</v>
      </c>
      <c r="B63" s="1">
        <f>IFERROR(__xludf.DUMMYFUNCTION("""COMPUTED_VALUE"""),1.05)</f>
        <v>1.05</v>
      </c>
      <c r="C63" s="1">
        <f>IFERROR(__xludf.DUMMYFUNCTION("""COMPUTED_VALUE"""),1.05)</f>
        <v>1.05</v>
      </c>
      <c r="D63" s="1">
        <f>IFERROR(__xludf.DUMMYFUNCTION("""COMPUTED_VALUE"""),1.02)</f>
        <v>1.02</v>
      </c>
      <c r="E63" s="1">
        <f>IFERROR(__xludf.DUMMYFUNCTION("""COMPUTED_VALUE"""),1.02)</f>
        <v>1.02</v>
      </c>
      <c r="F63" s="1">
        <f>IFERROR(__xludf.DUMMYFUNCTION("""COMPUTED_VALUE"""),106964.0)</f>
        <v>106964</v>
      </c>
    </row>
    <row r="64">
      <c r="A64" s="2">
        <f>IFERROR(__xludf.DUMMYFUNCTION("""COMPUTED_VALUE"""),39260.666666666664)</f>
        <v>39260.66667</v>
      </c>
      <c r="B64" s="1">
        <f>IFERROR(__xludf.DUMMYFUNCTION("""COMPUTED_VALUE"""),1.02)</f>
        <v>1.02</v>
      </c>
      <c r="C64" s="1">
        <f>IFERROR(__xludf.DUMMYFUNCTION("""COMPUTED_VALUE"""),1.05)</f>
        <v>1.05</v>
      </c>
      <c r="D64" s="1">
        <f>IFERROR(__xludf.DUMMYFUNCTION("""COMPUTED_VALUE"""),1.02)</f>
        <v>1.02</v>
      </c>
      <c r="E64" s="1">
        <f>IFERROR(__xludf.DUMMYFUNCTION("""COMPUTED_VALUE"""),1.04)</f>
        <v>1.04</v>
      </c>
      <c r="F64" s="1">
        <f>IFERROR(__xludf.DUMMYFUNCTION("""COMPUTED_VALUE"""),105694.0)</f>
        <v>105694</v>
      </c>
    </row>
    <row r="65">
      <c r="A65" s="2">
        <f>IFERROR(__xludf.DUMMYFUNCTION("""COMPUTED_VALUE"""),39261.666666666664)</f>
        <v>39261.66667</v>
      </c>
      <c r="B65" s="1">
        <f>IFERROR(__xludf.DUMMYFUNCTION("""COMPUTED_VALUE"""),1.04)</f>
        <v>1.04</v>
      </c>
      <c r="C65" s="1">
        <f>IFERROR(__xludf.DUMMYFUNCTION("""COMPUTED_VALUE"""),1.04)</f>
        <v>1.04</v>
      </c>
      <c r="D65" s="1">
        <f>IFERROR(__xludf.DUMMYFUNCTION("""COMPUTED_VALUE"""),0.99)</f>
        <v>0.99</v>
      </c>
      <c r="E65" s="1">
        <f>IFERROR(__xludf.DUMMYFUNCTION("""COMPUTED_VALUE"""),1.01)</f>
        <v>1.01</v>
      </c>
      <c r="F65" s="1">
        <f>IFERROR(__xludf.DUMMYFUNCTION("""COMPUTED_VALUE"""),218081.0)</f>
        <v>218081</v>
      </c>
    </row>
    <row r="66">
      <c r="A66" s="2">
        <f>IFERROR(__xludf.DUMMYFUNCTION("""COMPUTED_VALUE"""),39262.666666666664)</f>
        <v>39262.66667</v>
      </c>
      <c r="B66" s="1">
        <f>IFERROR(__xludf.DUMMYFUNCTION("""COMPUTED_VALUE"""),1.01)</f>
        <v>1.01</v>
      </c>
      <c r="C66" s="1">
        <f>IFERROR(__xludf.DUMMYFUNCTION("""COMPUTED_VALUE"""),1.03)</f>
        <v>1.03</v>
      </c>
      <c r="D66" s="1">
        <f>IFERROR(__xludf.DUMMYFUNCTION("""COMPUTED_VALUE"""),1.0)</f>
        <v>1</v>
      </c>
      <c r="E66" s="1">
        <f>IFERROR(__xludf.DUMMYFUNCTION("""COMPUTED_VALUE"""),1.0)</f>
        <v>1</v>
      </c>
      <c r="F66" s="1">
        <f>IFERROR(__xludf.DUMMYFUNCTION("""COMPUTED_VALUE"""),93033.0)</f>
        <v>93033</v>
      </c>
    </row>
    <row r="67">
      <c r="A67" s="2">
        <f>IFERROR(__xludf.DUMMYFUNCTION("""COMPUTED_VALUE"""),39265.666666666664)</f>
        <v>39265.66667</v>
      </c>
      <c r="B67" s="1">
        <f>IFERROR(__xludf.DUMMYFUNCTION("""COMPUTED_VALUE"""),1.01)</f>
        <v>1.01</v>
      </c>
      <c r="C67" s="1">
        <f>IFERROR(__xludf.DUMMYFUNCTION("""COMPUTED_VALUE"""),1.02)</f>
        <v>1.02</v>
      </c>
      <c r="D67" s="1">
        <f>IFERROR(__xludf.DUMMYFUNCTION("""COMPUTED_VALUE"""),1.0)</f>
        <v>1</v>
      </c>
      <c r="E67" s="1">
        <f>IFERROR(__xludf.DUMMYFUNCTION("""COMPUTED_VALUE"""),1.0)</f>
        <v>1</v>
      </c>
      <c r="F67" s="1">
        <f>IFERROR(__xludf.DUMMYFUNCTION("""COMPUTED_VALUE"""),129621.0)</f>
        <v>129621</v>
      </c>
    </row>
    <row r="68">
      <c r="A68" s="2">
        <f>IFERROR(__xludf.DUMMYFUNCTION("""COMPUTED_VALUE"""),39266.666666666664)</f>
        <v>39266.66667</v>
      </c>
      <c r="B68" s="1">
        <f>IFERROR(__xludf.DUMMYFUNCTION("""COMPUTED_VALUE"""),1.0)</f>
        <v>1</v>
      </c>
      <c r="C68" s="1">
        <f>IFERROR(__xludf.DUMMYFUNCTION("""COMPUTED_VALUE"""),1.05)</f>
        <v>1.05</v>
      </c>
      <c r="D68" s="1">
        <f>IFERROR(__xludf.DUMMYFUNCTION("""COMPUTED_VALUE"""),1.0)</f>
        <v>1</v>
      </c>
      <c r="E68" s="1">
        <f>IFERROR(__xludf.DUMMYFUNCTION("""COMPUTED_VALUE"""),1.04)</f>
        <v>1.04</v>
      </c>
      <c r="F68" s="1">
        <f>IFERROR(__xludf.DUMMYFUNCTION("""COMPUTED_VALUE"""),154928.0)</f>
        <v>154928</v>
      </c>
    </row>
    <row r="69">
      <c r="A69" s="2">
        <f>IFERROR(__xludf.DUMMYFUNCTION("""COMPUTED_VALUE"""),39268.666666666664)</f>
        <v>39268.66667</v>
      </c>
      <c r="B69" s="1">
        <f>IFERROR(__xludf.DUMMYFUNCTION("""COMPUTED_VALUE"""),1.04)</f>
        <v>1.04</v>
      </c>
      <c r="C69" s="1">
        <f>IFERROR(__xludf.DUMMYFUNCTION("""COMPUTED_VALUE"""),1.05)</f>
        <v>1.05</v>
      </c>
      <c r="D69" s="1">
        <f>IFERROR(__xludf.DUMMYFUNCTION("""COMPUTED_VALUE"""),1.02)</f>
        <v>1.02</v>
      </c>
      <c r="E69" s="1">
        <f>IFERROR(__xludf.DUMMYFUNCTION("""COMPUTED_VALUE"""),1.03)</f>
        <v>1.03</v>
      </c>
      <c r="F69" s="1">
        <f>IFERROR(__xludf.DUMMYFUNCTION("""COMPUTED_VALUE"""),100786.0)</f>
        <v>100786</v>
      </c>
    </row>
    <row r="70">
      <c r="A70" s="2">
        <f>IFERROR(__xludf.DUMMYFUNCTION("""COMPUTED_VALUE"""),39269.666666666664)</f>
        <v>39269.66667</v>
      </c>
      <c r="B70" s="1">
        <f>IFERROR(__xludf.DUMMYFUNCTION("""COMPUTED_VALUE"""),1.04)</f>
        <v>1.04</v>
      </c>
      <c r="C70" s="1">
        <f>IFERROR(__xludf.DUMMYFUNCTION("""COMPUTED_VALUE"""),1.04)</f>
        <v>1.04</v>
      </c>
      <c r="D70" s="1">
        <f>IFERROR(__xludf.DUMMYFUNCTION("""COMPUTED_VALUE"""),1.01)</f>
        <v>1.01</v>
      </c>
      <c r="E70" s="1">
        <f>IFERROR(__xludf.DUMMYFUNCTION("""COMPUTED_VALUE"""),1.02)</f>
        <v>1.02</v>
      </c>
      <c r="F70" s="1">
        <f>IFERROR(__xludf.DUMMYFUNCTION("""COMPUTED_VALUE"""),85188.0)</f>
        <v>85188</v>
      </c>
    </row>
    <row r="71">
      <c r="A71" s="2">
        <f>IFERROR(__xludf.DUMMYFUNCTION("""COMPUTED_VALUE"""),39272.666666666664)</f>
        <v>39272.66667</v>
      </c>
      <c r="B71" s="1">
        <f>IFERROR(__xludf.DUMMYFUNCTION("""COMPUTED_VALUE"""),1.01)</f>
        <v>1.01</v>
      </c>
      <c r="C71" s="1">
        <f>IFERROR(__xludf.DUMMYFUNCTION("""COMPUTED_VALUE"""),1.03)</f>
        <v>1.03</v>
      </c>
      <c r="D71" s="1">
        <f>IFERROR(__xludf.DUMMYFUNCTION("""COMPUTED_VALUE"""),1.0)</f>
        <v>1</v>
      </c>
      <c r="E71" s="1">
        <f>IFERROR(__xludf.DUMMYFUNCTION("""COMPUTED_VALUE"""),1.02)</f>
        <v>1.02</v>
      </c>
      <c r="F71" s="1">
        <f>IFERROR(__xludf.DUMMYFUNCTION("""COMPUTED_VALUE"""),81510.0)</f>
        <v>81510</v>
      </c>
    </row>
    <row r="72">
      <c r="A72" s="2">
        <f>IFERROR(__xludf.DUMMYFUNCTION("""COMPUTED_VALUE"""),39273.666666666664)</f>
        <v>39273.66667</v>
      </c>
      <c r="B72" s="1">
        <f>IFERROR(__xludf.DUMMYFUNCTION("""COMPUTED_VALUE"""),1.02)</f>
        <v>1.02</v>
      </c>
      <c r="C72" s="1">
        <f>IFERROR(__xludf.DUMMYFUNCTION("""COMPUTED_VALUE"""),1.02)</f>
        <v>1.02</v>
      </c>
      <c r="D72" s="1">
        <f>IFERROR(__xludf.DUMMYFUNCTION("""COMPUTED_VALUE"""),1.0)</f>
        <v>1</v>
      </c>
      <c r="E72" s="1">
        <f>IFERROR(__xludf.DUMMYFUNCTION("""COMPUTED_VALUE"""),1.0)</f>
        <v>1</v>
      </c>
      <c r="F72" s="1">
        <f>IFERROR(__xludf.DUMMYFUNCTION("""COMPUTED_VALUE"""),390630.0)</f>
        <v>390630</v>
      </c>
    </row>
    <row r="73">
      <c r="A73" s="2">
        <f>IFERROR(__xludf.DUMMYFUNCTION("""COMPUTED_VALUE"""),39274.666666666664)</f>
        <v>39274.66667</v>
      </c>
      <c r="B73" s="1">
        <f>IFERROR(__xludf.DUMMYFUNCTION("""COMPUTED_VALUE"""),1.01)</f>
        <v>1.01</v>
      </c>
      <c r="C73" s="1">
        <f>IFERROR(__xludf.DUMMYFUNCTION("""COMPUTED_VALUE"""),1.02)</f>
        <v>1.02</v>
      </c>
      <c r="D73" s="1">
        <f>IFERROR(__xludf.DUMMYFUNCTION("""COMPUTED_VALUE"""),1.0)</f>
        <v>1</v>
      </c>
      <c r="E73" s="1">
        <f>IFERROR(__xludf.DUMMYFUNCTION("""COMPUTED_VALUE"""),1.0)</f>
        <v>1</v>
      </c>
      <c r="F73" s="1">
        <f>IFERROR(__xludf.DUMMYFUNCTION("""COMPUTED_VALUE"""),270986.0)</f>
        <v>270986</v>
      </c>
    </row>
    <row r="74">
      <c r="A74" s="2">
        <f>IFERROR(__xludf.DUMMYFUNCTION("""COMPUTED_VALUE"""),39275.666666666664)</f>
        <v>39275.66667</v>
      </c>
      <c r="B74" s="1">
        <f>IFERROR(__xludf.DUMMYFUNCTION("""COMPUTED_VALUE"""),1.0)</f>
        <v>1</v>
      </c>
      <c r="C74" s="1">
        <f>IFERROR(__xludf.DUMMYFUNCTION("""COMPUTED_VALUE"""),1.0)</f>
        <v>1</v>
      </c>
      <c r="D74" s="1">
        <f>IFERROR(__xludf.DUMMYFUNCTION("""COMPUTED_VALUE"""),0.98)</f>
        <v>0.98</v>
      </c>
      <c r="E74" s="1">
        <f>IFERROR(__xludf.DUMMYFUNCTION("""COMPUTED_VALUE"""),0.99)</f>
        <v>0.99</v>
      </c>
      <c r="F74" s="1">
        <f>IFERROR(__xludf.DUMMYFUNCTION("""COMPUTED_VALUE"""),330386.0)</f>
        <v>330386</v>
      </c>
    </row>
    <row r="75">
      <c r="A75" s="2">
        <f>IFERROR(__xludf.DUMMYFUNCTION("""COMPUTED_VALUE"""),39276.666666666664)</f>
        <v>39276.66667</v>
      </c>
      <c r="B75" s="1">
        <f>IFERROR(__xludf.DUMMYFUNCTION("""COMPUTED_VALUE"""),0.99)</f>
        <v>0.99</v>
      </c>
      <c r="C75" s="1">
        <f>IFERROR(__xludf.DUMMYFUNCTION("""COMPUTED_VALUE"""),0.99)</f>
        <v>0.99</v>
      </c>
      <c r="D75" s="1">
        <f>IFERROR(__xludf.DUMMYFUNCTION("""COMPUTED_VALUE"""),0.93)</f>
        <v>0.93</v>
      </c>
      <c r="E75" s="1">
        <f>IFERROR(__xludf.DUMMYFUNCTION("""COMPUTED_VALUE"""),0.94)</f>
        <v>0.94</v>
      </c>
      <c r="F75" s="1">
        <f>IFERROR(__xludf.DUMMYFUNCTION("""COMPUTED_VALUE"""),322431.0)</f>
        <v>322431</v>
      </c>
    </row>
    <row r="76">
      <c r="A76" s="2">
        <f>IFERROR(__xludf.DUMMYFUNCTION("""COMPUTED_VALUE"""),39279.666666666664)</f>
        <v>39279.66667</v>
      </c>
      <c r="B76" s="1">
        <f>IFERROR(__xludf.DUMMYFUNCTION("""COMPUTED_VALUE"""),0.94)</f>
        <v>0.94</v>
      </c>
      <c r="C76" s="1">
        <f>IFERROR(__xludf.DUMMYFUNCTION("""COMPUTED_VALUE"""),0.99)</f>
        <v>0.99</v>
      </c>
      <c r="D76" s="1">
        <f>IFERROR(__xludf.DUMMYFUNCTION("""COMPUTED_VALUE"""),0.94)</f>
        <v>0.94</v>
      </c>
      <c r="E76" s="1">
        <f>IFERROR(__xludf.DUMMYFUNCTION("""COMPUTED_VALUE"""),0.98)</f>
        <v>0.98</v>
      </c>
      <c r="F76" s="1">
        <f>IFERROR(__xludf.DUMMYFUNCTION("""COMPUTED_VALUE"""),135406.0)</f>
        <v>135406</v>
      </c>
    </row>
    <row r="77">
      <c r="A77" s="2">
        <f>IFERROR(__xludf.DUMMYFUNCTION("""COMPUTED_VALUE"""),39280.666666666664)</f>
        <v>39280.66667</v>
      </c>
      <c r="B77" s="1">
        <f>IFERROR(__xludf.DUMMYFUNCTION("""COMPUTED_VALUE"""),0.97)</f>
        <v>0.97</v>
      </c>
      <c r="C77" s="1">
        <f>IFERROR(__xludf.DUMMYFUNCTION("""COMPUTED_VALUE"""),0.99)</f>
        <v>0.99</v>
      </c>
      <c r="D77" s="1">
        <f>IFERROR(__xludf.DUMMYFUNCTION("""COMPUTED_VALUE"""),0.97)</f>
        <v>0.97</v>
      </c>
      <c r="E77" s="1">
        <f>IFERROR(__xludf.DUMMYFUNCTION("""COMPUTED_VALUE"""),0.99)</f>
        <v>0.99</v>
      </c>
      <c r="F77" s="1">
        <f>IFERROR(__xludf.DUMMYFUNCTION("""COMPUTED_VALUE"""),73643.0)</f>
        <v>73643</v>
      </c>
    </row>
    <row r="78">
      <c r="A78" s="2">
        <f>IFERROR(__xludf.DUMMYFUNCTION("""COMPUTED_VALUE"""),39281.666666666664)</f>
        <v>39281.66667</v>
      </c>
      <c r="B78" s="1">
        <f>IFERROR(__xludf.DUMMYFUNCTION("""COMPUTED_VALUE"""),0.99)</f>
        <v>0.99</v>
      </c>
      <c r="C78" s="1">
        <f>IFERROR(__xludf.DUMMYFUNCTION("""COMPUTED_VALUE"""),0.99)</f>
        <v>0.99</v>
      </c>
      <c r="D78" s="1">
        <f>IFERROR(__xludf.DUMMYFUNCTION("""COMPUTED_VALUE"""),0.98)</f>
        <v>0.98</v>
      </c>
      <c r="E78" s="1">
        <f>IFERROR(__xludf.DUMMYFUNCTION("""COMPUTED_VALUE"""),0.99)</f>
        <v>0.99</v>
      </c>
      <c r="F78" s="1">
        <f>IFERROR(__xludf.DUMMYFUNCTION("""COMPUTED_VALUE"""),190781.0)</f>
        <v>190781</v>
      </c>
    </row>
    <row r="79">
      <c r="A79" s="2">
        <f>IFERROR(__xludf.DUMMYFUNCTION("""COMPUTED_VALUE"""),39282.666666666664)</f>
        <v>39282.66667</v>
      </c>
      <c r="B79" s="1">
        <f>IFERROR(__xludf.DUMMYFUNCTION("""COMPUTED_VALUE"""),1.0)</f>
        <v>1</v>
      </c>
      <c r="C79" s="1">
        <f>IFERROR(__xludf.DUMMYFUNCTION("""COMPUTED_VALUE"""),1.0)</f>
        <v>1</v>
      </c>
      <c r="D79" s="1">
        <f>IFERROR(__xludf.DUMMYFUNCTION("""COMPUTED_VALUE"""),0.99)</f>
        <v>0.99</v>
      </c>
      <c r="E79" s="1">
        <f>IFERROR(__xludf.DUMMYFUNCTION("""COMPUTED_VALUE"""),1.0)</f>
        <v>1</v>
      </c>
      <c r="F79" s="1">
        <f>IFERROR(__xludf.DUMMYFUNCTION("""COMPUTED_VALUE"""),52652.0)</f>
        <v>52652</v>
      </c>
    </row>
    <row r="80">
      <c r="A80" s="2">
        <f>IFERROR(__xludf.DUMMYFUNCTION("""COMPUTED_VALUE"""),39283.666666666664)</f>
        <v>39283.66667</v>
      </c>
      <c r="B80" s="1">
        <f>IFERROR(__xludf.DUMMYFUNCTION("""COMPUTED_VALUE"""),1.0)</f>
        <v>1</v>
      </c>
      <c r="C80" s="1">
        <f>IFERROR(__xludf.DUMMYFUNCTION("""COMPUTED_VALUE"""),1.0)</f>
        <v>1</v>
      </c>
      <c r="D80" s="1">
        <f>IFERROR(__xludf.DUMMYFUNCTION("""COMPUTED_VALUE"""),0.96)</f>
        <v>0.96</v>
      </c>
      <c r="E80" s="1">
        <f>IFERROR(__xludf.DUMMYFUNCTION("""COMPUTED_VALUE"""),1.0)</f>
        <v>1</v>
      </c>
      <c r="F80" s="1">
        <f>IFERROR(__xludf.DUMMYFUNCTION("""COMPUTED_VALUE"""),80735.0)</f>
        <v>80735</v>
      </c>
    </row>
    <row r="81">
      <c r="A81" s="2">
        <f>IFERROR(__xludf.DUMMYFUNCTION("""COMPUTED_VALUE"""),39286.666666666664)</f>
        <v>39286.66667</v>
      </c>
      <c r="B81" s="1">
        <f>IFERROR(__xludf.DUMMYFUNCTION("""COMPUTED_VALUE"""),1.0)</f>
        <v>1</v>
      </c>
      <c r="C81" s="1">
        <f>IFERROR(__xludf.DUMMYFUNCTION("""COMPUTED_VALUE"""),1.01)</f>
        <v>1.01</v>
      </c>
      <c r="D81" s="1">
        <f>IFERROR(__xludf.DUMMYFUNCTION("""COMPUTED_VALUE"""),0.99)</f>
        <v>0.99</v>
      </c>
      <c r="E81" s="1">
        <f>IFERROR(__xludf.DUMMYFUNCTION("""COMPUTED_VALUE"""),1.0)</f>
        <v>1</v>
      </c>
      <c r="F81" s="1">
        <f>IFERROR(__xludf.DUMMYFUNCTION("""COMPUTED_VALUE"""),48424.0)</f>
        <v>48424</v>
      </c>
    </row>
    <row r="82">
      <c r="A82" s="2">
        <f>IFERROR(__xludf.DUMMYFUNCTION("""COMPUTED_VALUE"""),39287.666666666664)</f>
        <v>39287.66667</v>
      </c>
      <c r="B82" s="1">
        <f>IFERROR(__xludf.DUMMYFUNCTION("""COMPUTED_VALUE"""),1.0)</f>
        <v>1</v>
      </c>
      <c r="C82" s="1">
        <f>IFERROR(__xludf.DUMMYFUNCTION("""COMPUTED_VALUE"""),1.0)</f>
        <v>1</v>
      </c>
      <c r="D82" s="1">
        <f>IFERROR(__xludf.DUMMYFUNCTION("""COMPUTED_VALUE"""),0.99)</f>
        <v>0.99</v>
      </c>
      <c r="E82" s="1">
        <f>IFERROR(__xludf.DUMMYFUNCTION("""COMPUTED_VALUE"""),1.0)</f>
        <v>1</v>
      </c>
      <c r="F82" s="1">
        <f>IFERROR(__xludf.DUMMYFUNCTION("""COMPUTED_VALUE"""),96035.0)</f>
        <v>96035</v>
      </c>
    </row>
    <row r="83">
      <c r="A83" s="2">
        <f>IFERROR(__xludf.DUMMYFUNCTION("""COMPUTED_VALUE"""),39288.666666666664)</f>
        <v>39288.66667</v>
      </c>
      <c r="B83" s="1">
        <f>IFERROR(__xludf.DUMMYFUNCTION("""COMPUTED_VALUE"""),1.0)</f>
        <v>1</v>
      </c>
      <c r="C83" s="1">
        <f>IFERROR(__xludf.DUMMYFUNCTION("""COMPUTED_VALUE"""),1.0)</f>
        <v>1</v>
      </c>
      <c r="D83" s="1">
        <f>IFERROR(__xludf.DUMMYFUNCTION("""COMPUTED_VALUE"""),0.99)</f>
        <v>0.99</v>
      </c>
      <c r="E83" s="1">
        <f>IFERROR(__xludf.DUMMYFUNCTION("""COMPUTED_VALUE"""),1.0)</f>
        <v>1</v>
      </c>
      <c r="F83" s="1">
        <f>IFERROR(__xludf.DUMMYFUNCTION("""COMPUTED_VALUE"""),87647.0)</f>
        <v>87647</v>
      </c>
    </row>
    <row r="84">
      <c r="A84" s="2">
        <f>IFERROR(__xludf.DUMMYFUNCTION("""COMPUTED_VALUE"""),39289.666666666664)</f>
        <v>39289.66667</v>
      </c>
      <c r="B84" s="1">
        <f>IFERROR(__xludf.DUMMYFUNCTION("""COMPUTED_VALUE"""),0.99)</f>
        <v>0.99</v>
      </c>
      <c r="C84" s="1">
        <f>IFERROR(__xludf.DUMMYFUNCTION("""COMPUTED_VALUE"""),1.0)</f>
        <v>1</v>
      </c>
      <c r="D84" s="1">
        <f>IFERROR(__xludf.DUMMYFUNCTION("""COMPUTED_VALUE"""),0.95)</f>
        <v>0.95</v>
      </c>
      <c r="E84" s="1">
        <f>IFERROR(__xludf.DUMMYFUNCTION("""COMPUTED_VALUE"""),0.97)</f>
        <v>0.97</v>
      </c>
      <c r="F84" s="1">
        <f>IFERROR(__xludf.DUMMYFUNCTION("""COMPUTED_VALUE"""),124528.0)</f>
        <v>124528</v>
      </c>
    </row>
    <row r="85">
      <c r="A85" s="2">
        <f>IFERROR(__xludf.DUMMYFUNCTION("""COMPUTED_VALUE"""),39290.666666666664)</f>
        <v>39290.66667</v>
      </c>
      <c r="B85" s="1">
        <f>IFERROR(__xludf.DUMMYFUNCTION("""COMPUTED_VALUE"""),0.97)</f>
        <v>0.97</v>
      </c>
      <c r="C85" s="1">
        <f>IFERROR(__xludf.DUMMYFUNCTION("""COMPUTED_VALUE"""),0.97)</f>
        <v>0.97</v>
      </c>
      <c r="D85" s="1">
        <f>IFERROR(__xludf.DUMMYFUNCTION("""COMPUTED_VALUE"""),0.93)</f>
        <v>0.93</v>
      </c>
      <c r="E85" s="1">
        <f>IFERROR(__xludf.DUMMYFUNCTION("""COMPUTED_VALUE"""),0.93)</f>
        <v>0.93</v>
      </c>
      <c r="F85" s="1">
        <f>IFERROR(__xludf.DUMMYFUNCTION("""COMPUTED_VALUE"""),82947.0)</f>
        <v>82947</v>
      </c>
    </row>
    <row r="86">
      <c r="A86" s="2">
        <f>IFERROR(__xludf.DUMMYFUNCTION("""COMPUTED_VALUE"""),39293.666666666664)</f>
        <v>39293.66667</v>
      </c>
      <c r="B86" s="1">
        <f>IFERROR(__xludf.DUMMYFUNCTION("""COMPUTED_VALUE"""),0.93)</f>
        <v>0.93</v>
      </c>
      <c r="C86" s="1">
        <f>IFERROR(__xludf.DUMMYFUNCTION("""COMPUTED_VALUE"""),0.93)</f>
        <v>0.93</v>
      </c>
      <c r="D86" s="1">
        <f>IFERROR(__xludf.DUMMYFUNCTION("""COMPUTED_VALUE"""),0.86)</f>
        <v>0.86</v>
      </c>
      <c r="E86" s="1">
        <f>IFERROR(__xludf.DUMMYFUNCTION("""COMPUTED_VALUE"""),0.89)</f>
        <v>0.89</v>
      </c>
      <c r="F86" s="1">
        <f>IFERROR(__xludf.DUMMYFUNCTION("""COMPUTED_VALUE"""),179625.0)</f>
        <v>179625</v>
      </c>
    </row>
    <row r="87">
      <c r="A87" s="2">
        <f>IFERROR(__xludf.DUMMYFUNCTION("""COMPUTED_VALUE"""),39294.666666666664)</f>
        <v>39294.66667</v>
      </c>
      <c r="B87" s="1">
        <f>IFERROR(__xludf.DUMMYFUNCTION("""COMPUTED_VALUE"""),0.9)</f>
        <v>0.9</v>
      </c>
      <c r="C87" s="1">
        <f>IFERROR(__xludf.DUMMYFUNCTION("""COMPUTED_VALUE"""),0.92)</f>
        <v>0.92</v>
      </c>
      <c r="D87" s="1">
        <f>IFERROR(__xludf.DUMMYFUNCTION("""COMPUTED_VALUE"""),0.9)</f>
        <v>0.9</v>
      </c>
      <c r="E87" s="1">
        <f>IFERROR(__xludf.DUMMYFUNCTION("""COMPUTED_VALUE"""),0.9)</f>
        <v>0.9</v>
      </c>
      <c r="F87" s="1">
        <f>IFERROR(__xludf.DUMMYFUNCTION("""COMPUTED_VALUE"""),63509.0)</f>
        <v>63509</v>
      </c>
    </row>
    <row r="88">
      <c r="A88" s="2">
        <f>IFERROR(__xludf.DUMMYFUNCTION("""COMPUTED_VALUE"""),39295.666666666664)</f>
        <v>39295.66667</v>
      </c>
      <c r="B88" s="1">
        <f>IFERROR(__xludf.DUMMYFUNCTION("""COMPUTED_VALUE"""),0.89)</f>
        <v>0.89</v>
      </c>
      <c r="C88" s="1">
        <f>IFERROR(__xludf.DUMMYFUNCTION("""COMPUTED_VALUE"""),0.93)</f>
        <v>0.93</v>
      </c>
      <c r="D88" s="1">
        <f>IFERROR(__xludf.DUMMYFUNCTION("""COMPUTED_VALUE"""),0.89)</f>
        <v>0.89</v>
      </c>
      <c r="E88" s="1">
        <f>IFERROR(__xludf.DUMMYFUNCTION("""COMPUTED_VALUE"""),0.92)</f>
        <v>0.92</v>
      </c>
      <c r="F88" s="1">
        <f>IFERROR(__xludf.DUMMYFUNCTION("""COMPUTED_VALUE"""),79830.0)</f>
        <v>79830</v>
      </c>
    </row>
    <row r="89">
      <c r="A89" s="2">
        <f>IFERROR(__xludf.DUMMYFUNCTION("""COMPUTED_VALUE"""),39296.666666666664)</f>
        <v>39296.66667</v>
      </c>
      <c r="B89" s="1">
        <f>IFERROR(__xludf.DUMMYFUNCTION("""COMPUTED_VALUE"""),0.91)</f>
        <v>0.91</v>
      </c>
      <c r="C89" s="1">
        <f>IFERROR(__xludf.DUMMYFUNCTION("""COMPUTED_VALUE"""),0.94)</f>
        <v>0.94</v>
      </c>
      <c r="D89" s="1">
        <f>IFERROR(__xludf.DUMMYFUNCTION("""COMPUTED_VALUE"""),0.9)</f>
        <v>0.9</v>
      </c>
      <c r="E89" s="1">
        <f>IFERROR(__xludf.DUMMYFUNCTION("""COMPUTED_VALUE"""),0.92)</f>
        <v>0.92</v>
      </c>
      <c r="F89" s="1">
        <f>IFERROR(__xludf.DUMMYFUNCTION("""COMPUTED_VALUE"""),179922.0)</f>
        <v>179922</v>
      </c>
    </row>
    <row r="90">
      <c r="A90" s="2">
        <f>IFERROR(__xludf.DUMMYFUNCTION("""COMPUTED_VALUE"""),39297.666666666664)</f>
        <v>39297.66667</v>
      </c>
      <c r="B90" s="1">
        <f>IFERROR(__xludf.DUMMYFUNCTION("""COMPUTED_VALUE"""),0.93)</f>
        <v>0.93</v>
      </c>
      <c r="C90" s="1">
        <f>IFERROR(__xludf.DUMMYFUNCTION("""COMPUTED_VALUE"""),0.93)</f>
        <v>0.93</v>
      </c>
      <c r="D90" s="1">
        <f>IFERROR(__xludf.DUMMYFUNCTION("""COMPUTED_VALUE"""),0.89)</f>
        <v>0.89</v>
      </c>
      <c r="E90" s="1">
        <f>IFERROR(__xludf.DUMMYFUNCTION("""COMPUTED_VALUE"""),0.89)</f>
        <v>0.89</v>
      </c>
      <c r="F90" s="1">
        <f>IFERROR(__xludf.DUMMYFUNCTION("""COMPUTED_VALUE"""),83552.0)</f>
        <v>83552</v>
      </c>
    </row>
    <row r="91">
      <c r="A91" s="2">
        <f>IFERROR(__xludf.DUMMYFUNCTION("""COMPUTED_VALUE"""),39300.666666666664)</f>
        <v>39300.66667</v>
      </c>
      <c r="B91" s="1">
        <f>IFERROR(__xludf.DUMMYFUNCTION("""COMPUTED_VALUE"""),0.9)</f>
        <v>0.9</v>
      </c>
      <c r="C91" s="1">
        <f>IFERROR(__xludf.DUMMYFUNCTION("""COMPUTED_VALUE"""),0.9)</f>
        <v>0.9</v>
      </c>
      <c r="D91" s="1">
        <f>IFERROR(__xludf.DUMMYFUNCTION("""COMPUTED_VALUE"""),0.86)</f>
        <v>0.86</v>
      </c>
      <c r="E91" s="1">
        <f>IFERROR(__xludf.DUMMYFUNCTION("""COMPUTED_VALUE"""),0.86)</f>
        <v>0.86</v>
      </c>
      <c r="F91" s="1">
        <f>IFERROR(__xludf.DUMMYFUNCTION("""COMPUTED_VALUE"""),130663.0)</f>
        <v>130663</v>
      </c>
    </row>
    <row r="92">
      <c r="A92" s="2">
        <f>IFERROR(__xludf.DUMMYFUNCTION("""COMPUTED_VALUE"""),39301.666666666664)</f>
        <v>39301.66667</v>
      </c>
      <c r="B92" s="1">
        <f>IFERROR(__xludf.DUMMYFUNCTION("""COMPUTED_VALUE"""),0.87)</f>
        <v>0.87</v>
      </c>
      <c r="C92" s="1">
        <f>IFERROR(__xludf.DUMMYFUNCTION("""COMPUTED_VALUE"""),0.88)</f>
        <v>0.88</v>
      </c>
      <c r="D92" s="1">
        <f>IFERROR(__xludf.DUMMYFUNCTION("""COMPUTED_VALUE"""),0.86)</f>
        <v>0.86</v>
      </c>
      <c r="E92" s="1">
        <f>IFERROR(__xludf.DUMMYFUNCTION("""COMPUTED_VALUE"""),0.86)</f>
        <v>0.86</v>
      </c>
      <c r="F92" s="1">
        <f>IFERROR(__xludf.DUMMYFUNCTION("""COMPUTED_VALUE"""),109260.0)</f>
        <v>109260</v>
      </c>
    </row>
    <row r="93">
      <c r="A93" s="2">
        <f>IFERROR(__xludf.DUMMYFUNCTION("""COMPUTED_VALUE"""),39302.666666666664)</f>
        <v>39302.66667</v>
      </c>
      <c r="B93" s="1">
        <f>IFERROR(__xludf.DUMMYFUNCTION("""COMPUTED_VALUE"""),0.88)</f>
        <v>0.88</v>
      </c>
      <c r="C93" s="1">
        <f>IFERROR(__xludf.DUMMYFUNCTION("""COMPUTED_VALUE"""),0.9)</f>
        <v>0.9</v>
      </c>
      <c r="D93" s="1">
        <f>IFERROR(__xludf.DUMMYFUNCTION("""COMPUTED_VALUE"""),0.86)</f>
        <v>0.86</v>
      </c>
      <c r="E93" s="1">
        <f>IFERROR(__xludf.DUMMYFUNCTION("""COMPUTED_VALUE"""),0.88)</f>
        <v>0.88</v>
      </c>
      <c r="F93" s="1">
        <f>IFERROR(__xludf.DUMMYFUNCTION("""COMPUTED_VALUE"""),412982.0)</f>
        <v>412982</v>
      </c>
    </row>
    <row r="94">
      <c r="A94" s="2">
        <f>IFERROR(__xludf.DUMMYFUNCTION("""COMPUTED_VALUE"""),39303.666666666664)</f>
        <v>39303.66667</v>
      </c>
      <c r="B94" s="1">
        <f>IFERROR(__xludf.DUMMYFUNCTION("""COMPUTED_VALUE"""),0.86)</f>
        <v>0.86</v>
      </c>
      <c r="C94" s="1">
        <f>IFERROR(__xludf.DUMMYFUNCTION("""COMPUTED_VALUE"""),0.93)</f>
        <v>0.93</v>
      </c>
      <c r="D94" s="1">
        <f>IFERROR(__xludf.DUMMYFUNCTION("""COMPUTED_VALUE"""),0.86)</f>
        <v>0.86</v>
      </c>
      <c r="E94" s="1">
        <f>IFERROR(__xludf.DUMMYFUNCTION("""COMPUTED_VALUE"""),0.9)</f>
        <v>0.9</v>
      </c>
      <c r="F94" s="1">
        <f>IFERROR(__xludf.DUMMYFUNCTION("""COMPUTED_VALUE"""),174974.0)</f>
        <v>174974</v>
      </c>
    </row>
    <row r="95">
      <c r="A95" s="2">
        <f>IFERROR(__xludf.DUMMYFUNCTION("""COMPUTED_VALUE"""),39304.666666666664)</f>
        <v>39304.66667</v>
      </c>
      <c r="B95" s="1">
        <f>IFERROR(__xludf.DUMMYFUNCTION("""COMPUTED_VALUE"""),0.88)</f>
        <v>0.88</v>
      </c>
      <c r="C95" s="1">
        <f>IFERROR(__xludf.DUMMYFUNCTION("""COMPUTED_VALUE"""),0.9)</f>
        <v>0.9</v>
      </c>
      <c r="D95" s="1">
        <f>IFERROR(__xludf.DUMMYFUNCTION("""COMPUTED_VALUE"""),0.85)</f>
        <v>0.85</v>
      </c>
      <c r="E95" s="1">
        <f>IFERROR(__xludf.DUMMYFUNCTION("""COMPUTED_VALUE"""),0.88)</f>
        <v>0.88</v>
      </c>
      <c r="F95" s="1">
        <f>IFERROR(__xludf.DUMMYFUNCTION("""COMPUTED_VALUE"""),101118.0)</f>
        <v>101118</v>
      </c>
    </row>
    <row r="96">
      <c r="A96" s="2">
        <f>IFERROR(__xludf.DUMMYFUNCTION("""COMPUTED_VALUE"""),39307.666666666664)</f>
        <v>39307.66667</v>
      </c>
      <c r="B96" s="1">
        <f>IFERROR(__xludf.DUMMYFUNCTION("""COMPUTED_VALUE"""),0.88)</f>
        <v>0.88</v>
      </c>
      <c r="C96" s="1">
        <f>IFERROR(__xludf.DUMMYFUNCTION("""COMPUTED_VALUE"""),0.88)</f>
        <v>0.88</v>
      </c>
      <c r="D96" s="1">
        <f>IFERROR(__xludf.DUMMYFUNCTION("""COMPUTED_VALUE"""),0.86)</f>
        <v>0.86</v>
      </c>
      <c r="E96" s="1">
        <f>IFERROR(__xludf.DUMMYFUNCTION("""COMPUTED_VALUE"""),0.87)</f>
        <v>0.87</v>
      </c>
      <c r="F96" s="1">
        <f>IFERROR(__xludf.DUMMYFUNCTION("""COMPUTED_VALUE"""),74962.0)</f>
        <v>74962</v>
      </c>
    </row>
    <row r="97">
      <c r="A97" s="2">
        <f>IFERROR(__xludf.DUMMYFUNCTION("""COMPUTED_VALUE"""),39308.666666666664)</f>
        <v>39308.66667</v>
      </c>
      <c r="B97" s="1">
        <f>IFERROR(__xludf.DUMMYFUNCTION("""COMPUTED_VALUE"""),0.87)</f>
        <v>0.87</v>
      </c>
      <c r="C97" s="1">
        <f>IFERROR(__xludf.DUMMYFUNCTION("""COMPUTED_VALUE"""),0.88)</f>
        <v>0.88</v>
      </c>
      <c r="D97" s="1">
        <f>IFERROR(__xludf.DUMMYFUNCTION("""COMPUTED_VALUE"""),0.87)</f>
        <v>0.87</v>
      </c>
      <c r="E97" s="1">
        <f>IFERROR(__xludf.DUMMYFUNCTION("""COMPUTED_VALUE"""),0.87)</f>
        <v>0.87</v>
      </c>
      <c r="F97" s="1">
        <f>IFERROR(__xludf.DUMMYFUNCTION("""COMPUTED_VALUE"""),43009.0)</f>
        <v>43009</v>
      </c>
    </row>
    <row r="98">
      <c r="A98" s="2">
        <f>IFERROR(__xludf.DUMMYFUNCTION("""COMPUTED_VALUE"""),39309.666666666664)</f>
        <v>39309.66667</v>
      </c>
      <c r="B98" s="1">
        <f>IFERROR(__xludf.DUMMYFUNCTION("""COMPUTED_VALUE"""),0.87)</f>
        <v>0.87</v>
      </c>
      <c r="C98" s="1">
        <f>IFERROR(__xludf.DUMMYFUNCTION("""COMPUTED_VALUE"""),0.89)</f>
        <v>0.89</v>
      </c>
      <c r="D98" s="1">
        <f>IFERROR(__xludf.DUMMYFUNCTION("""COMPUTED_VALUE"""),0.87)</f>
        <v>0.87</v>
      </c>
      <c r="E98" s="1">
        <f>IFERROR(__xludf.DUMMYFUNCTION("""COMPUTED_VALUE"""),0.87)</f>
        <v>0.87</v>
      </c>
      <c r="F98" s="1">
        <f>IFERROR(__xludf.DUMMYFUNCTION("""COMPUTED_VALUE"""),40568.0)</f>
        <v>40568</v>
      </c>
    </row>
    <row r="99">
      <c r="A99" s="2">
        <f>IFERROR(__xludf.DUMMYFUNCTION("""COMPUTED_VALUE"""),39310.666666666664)</f>
        <v>39310.66667</v>
      </c>
      <c r="B99" s="1">
        <f>IFERROR(__xludf.DUMMYFUNCTION("""COMPUTED_VALUE"""),0.87)</f>
        <v>0.87</v>
      </c>
      <c r="C99" s="1">
        <f>IFERROR(__xludf.DUMMYFUNCTION("""COMPUTED_VALUE"""),0.88)</f>
        <v>0.88</v>
      </c>
      <c r="D99" s="1">
        <f>IFERROR(__xludf.DUMMYFUNCTION("""COMPUTED_VALUE"""),0.82)</f>
        <v>0.82</v>
      </c>
      <c r="E99" s="1">
        <f>IFERROR(__xludf.DUMMYFUNCTION("""COMPUTED_VALUE"""),0.84)</f>
        <v>0.84</v>
      </c>
      <c r="F99" s="1">
        <f>IFERROR(__xludf.DUMMYFUNCTION("""COMPUTED_VALUE"""),109754.0)</f>
        <v>109754</v>
      </c>
    </row>
    <row r="100">
      <c r="A100" s="2">
        <f>IFERROR(__xludf.DUMMYFUNCTION("""COMPUTED_VALUE"""),39311.666666666664)</f>
        <v>39311.66667</v>
      </c>
      <c r="B100" s="1">
        <f>IFERROR(__xludf.DUMMYFUNCTION("""COMPUTED_VALUE"""),0.85)</f>
        <v>0.85</v>
      </c>
      <c r="C100" s="1">
        <f>IFERROR(__xludf.DUMMYFUNCTION("""COMPUTED_VALUE"""),0.87)</f>
        <v>0.87</v>
      </c>
      <c r="D100" s="1">
        <f>IFERROR(__xludf.DUMMYFUNCTION("""COMPUTED_VALUE"""),0.82)</f>
        <v>0.82</v>
      </c>
      <c r="E100" s="1">
        <f>IFERROR(__xludf.DUMMYFUNCTION("""COMPUTED_VALUE"""),0.85)</f>
        <v>0.85</v>
      </c>
      <c r="F100" s="1">
        <f>IFERROR(__xludf.DUMMYFUNCTION("""COMPUTED_VALUE"""),281779.0)</f>
        <v>281779</v>
      </c>
    </row>
    <row r="101">
      <c r="A101" s="2">
        <f>IFERROR(__xludf.DUMMYFUNCTION("""COMPUTED_VALUE"""),39314.666666666664)</f>
        <v>39314.66667</v>
      </c>
      <c r="B101" s="1">
        <f>IFERROR(__xludf.DUMMYFUNCTION("""COMPUTED_VALUE"""),0.86)</f>
        <v>0.86</v>
      </c>
      <c r="C101" s="1">
        <f>IFERROR(__xludf.DUMMYFUNCTION("""COMPUTED_VALUE"""),0.86)</f>
        <v>0.86</v>
      </c>
      <c r="D101" s="1">
        <f>IFERROR(__xludf.DUMMYFUNCTION("""COMPUTED_VALUE"""),0.85)</f>
        <v>0.85</v>
      </c>
      <c r="E101" s="1">
        <f>IFERROR(__xludf.DUMMYFUNCTION("""COMPUTED_VALUE"""),0.86)</f>
        <v>0.86</v>
      </c>
      <c r="F101" s="1">
        <f>IFERROR(__xludf.DUMMYFUNCTION("""COMPUTED_VALUE"""),22304.0)</f>
        <v>22304</v>
      </c>
    </row>
    <row r="102">
      <c r="A102" s="2">
        <f>IFERROR(__xludf.DUMMYFUNCTION("""COMPUTED_VALUE"""),39315.666666666664)</f>
        <v>39315.66667</v>
      </c>
      <c r="B102" s="1">
        <f>IFERROR(__xludf.DUMMYFUNCTION("""COMPUTED_VALUE"""),0.85)</f>
        <v>0.85</v>
      </c>
      <c r="C102" s="1">
        <f>IFERROR(__xludf.DUMMYFUNCTION("""COMPUTED_VALUE"""),0.86)</f>
        <v>0.86</v>
      </c>
      <c r="D102" s="1">
        <f>IFERROR(__xludf.DUMMYFUNCTION("""COMPUTED_VALUE"""),0.84)</f>
        <v>0.84</v>
      </c>
      <c r="E102" s="1">
        <f>IFERROR(__xludf.DUMMYFUNCTION("""COMPUTED_VALUE"""),0.85)</f>
        <v>0.85</v>
      </c>
      <c r="F102" s="1">
        <f>IFERROR(__xludf.DUMMYFUNCTION("""COMPUTED_VALUE"""),22669.0)</f>
        <v>22669</v>
      </c>
    </row>
    <row r="103">
      <c r="A103" s="2">
        <f>IFERROR(__xludf.DUMMYFUNCTION("""COMPUTED_VALUE"""),39316.666666666664)</f>
        <v>39316.66667</v>
      </c>
      <c r="B103" s="1">
        <f>IFERROR(__xludf.DUMMYFUNCTION("""COMPUTED_VALUE"""),0.86)</f>
        <v>0.86</v>
      </c>
      <c r="C103" s="1">
        <f>IFERROR(__xludf.DUMMYFUNCTION("""COMPUTED_VALUE"""),0.86)</f>
        <v>0.86</v>
      </c>
      <c r="D103" s="1">
        <f>IFERROR(__xludf.DUMMYFUNCTION("""COMPUTED_VALUE"""),0.84)</f>
        <v>0.84</v>
      </c>
      <c r="E103" s="1">
        <f>IFERROR(__xludf.DUMMYFUNCTION("""COMPUTED_VALUE"""),0.84)</f>
        <v>0.84</v>
      </c>
      <c r="F103" s="1">
        <f>IFERROR(__xludf.DUMMYFUNCTION("""COMPUTED_VALUE"""),32195.0)</f>
        <v>32195</v>
      </c>
    </row>
    <row r="104">
      <c r="A104" s="2">
        <f>IFERROR(__xludf.DUMMYFUNCTION("""COMPUTED_VALUE"""),39317.666666666664)</f>
        <v>39317.66667</v>
      </c>
      <c r="B104" s="1">
        <f>IFERROR(__xludf.DUMMYFUNCTION("""COMPUTED_VALUE"""),0.85)</f>
        <v>0.85</v>
      </c>
      <c r="C104" s="1">
        <f>IFERROR(__xludf.DUMMYFUNCTION("""COMPUTED_VALUE"""),0.85)</f>
        <v>0.85</v>
      </c>
      <c r="D104" s="1">
        <f>IFERROR(__xludf.DUMMYFUNCTION("""COMPUTED_VALUE"""),0.84)</f>
        <v>0.84</v>
      </c>
      <c r="E104" s="1">
        <f>IFERROR(__xludf.DUMMYFUNCTION("""COMPUTED_VALUE"""),0.84)</f>
        <v>0.84</v>
      </c>
      <c r="F104" s="1">
        <f>IFERROR(__xludf.DUMMYFUNCTION("""COMPUTED_VALUE"""),52737.0)</f>
        <v>52737</v>
      </c>
    </row>
    <row r="105">
      <c r="A105" s="2">
        <f>IFERROR(__xludf.DUMMYFUNCTION("""COMPUTED_VALUE"""),39318.666666666664)</f>
        <v>39318.66667</v>
      </c>
      <c r="B105" s="1">
        <f>IFERROR(__xludf.DUMMYFUNCTION("""COMPUTED_VALUE"""),0.82)</f>
        <v>0.82</v>
      </c>
      <c r="C105" s="1">
        <f>IFERROR(__xludf.DUMMYFUNCTION("""COMPUTED_VALUE"""),0.85)</f>
        <v>0.85</v>
      </c>
      <c r="D105" s="1">
        <f>IFERROR(__xludf.DUMMYFUNCTION("""COMPUTED_VALUE"""),0.82)</f>
        <v>0.82</v>
      </c>
      <c r="E105" s="1">
        <f>IFERROR(__xludf.DUMMYFUNCTION("""COMPUTED_VALUE"""),0.84)</f>
        <v>0.84</v>
      </c>
      <c r="F105" s="1">
        <f>IFERROR(__xludf.DUMMYFUNCTION("""COMPUTED_VALUE"""),99337.0)</f>
        <v>99337</v>
      </c>
    </row>
    <row r="106">
      <c r="A106" s="2">
        <f>IFERROR(__xludf.DUMMYFUNCTION("""COMPUTED_VALUE"""),39321.666666666664)</f>
        <v>39321.66667</v>
      </c>
      <c r="B106" s="1">
        <f>IFERROR(__xludf.DUMMYFUNCTION("""COMPUTED_VALUE"""),0.84)</f>
        <v>0.84</v>
      </c>
      <c r="C106" s="1">
        <f>IFERROR(__xludf.DUMMYFUNCTION("""COMPUTED_VALUE"""),0.85)</f>
        <v>0.85</v>
      </c>
      <c r="D106" s="1">
        <f>IFERROR(__xludf.DUMMYFUNCTION("""COMPUTED_VALUE"""),0.84)</f>
        <v>0.84</v>
      </c>
      <c r="E106" s="1">
        <f>IFERROR(__xludf.DUMMYFUNCTION("""COMPUTED_VALUE"""),0.84)</f>
        <v>0.84</v>
      </c>
      <c r="F106" s="1">
        <f>IFERROR(__xludf.DUMMYFUNCTION("""COMPUTED_VALUE"""),189769.0)</f>
        <v>189769</v>
      </c>
    </row>
    <row r="107">
      <c r="A107" s="2">
        <f>IFERROR(__xludf.DUMMYFUNCTION("""COMPUTED_VALUE"""),39322.666666666664)</f>
        <v>39322.66667</v>
      </c>
      <c r="B107" s="1">
        <f>IFERROR(__xludf.DUMMYFUNCTION("""COMPUTED_VALUE"""),0.84)</f>
        <v>0.84</v>
      </c>
      <c r="C107" s="1">
        <f>IFERROR(__xludf.DUMMYFUNCTION("""COMPUTED_VALUE"""),0.84)</f>
        <v>0.84</v>
      </c>
      <c r="D107" s="1">
        <f>IFERROR(__xludf.DUMMYFUNCTION("""COMPUTED_VALUE"""),0.84)</f>
        <v>0.84</v>
      </c>
      <c r="E107" s="1">
        <f>IFERROR(__xludf.DUMMYFUNCTION("""COMPUTED_VALUE"""),0.84)</f>
        <v>0.84</v>
      </c>
      <c r="F107" s="1">
        <f>IFERROR(__xludf.DUMMYFUNCTION("""COMPUTED_VALUE"""),104456.0)</f>
        <v>104456</v>
      </c>
    </row>
    <row r="108">
      <c r="A108" s="2">
        <f>IFERROR(__xludf.DUMMYFUNCTION("""COMPUTED_VALUE"""),39323.666666666664)</f>
        <v>39323.66667</v>
      </c>
      <c r="B108" s="1">
        <f>IFERROR(__xludf.DUMMYFUNCTION("""COMPUTED_VALUE"""),0.85)</f>
        <v>0.85</v>
      </c>
      <c r="C108" s="1">
        <f>IFERROR(__xludf.DUMMYFUNCTION("""COMPUTED_VALUE"""),0.85)</f>
        <v>0.85</v>
      </c>
      <c r="D108" s="1">
        <f>IFERROR(__xludf.DUMMYFUNCTION("""COMPUTED_VALUE"""),0.84)</f>
        <v>0.84</v>
      </c>
      <c r="E108" s="1">
        <f>IFERROR(__xludf.DUMMYFUNCTION("""COMPUTED_VALUE"""),0.84)</f>
        <v>0.84</v>
      </c>
      <c r="F108" s="1">
        <f>IFERROR(__xludf.DUMMYFUNCTION("""COMPUTED_VALUE"""),81797.0)</f>
        <v>81797</v>
      </c>
    </row>
    <row r="109">
      <c r="A109" s="2">
        <f>IFERROR(__xludf.DUMMYFUNCTION("""COMPUTED_VALUE"""),39324.666666666664)</f>
        <v>39324.66667</v>
      </c>
      <c r="B109" s="1">
        <f>IFERROR(__xludf.DUMMYFUNCTION("""COMPUTED_VALUE"""),0.84)</f>
        <v>0.84</v>
      </c>
      <c r="C109" s="1">
        <f>IFERROR(__xludf.DUMMYFUNCTION("""COMPUTED_VALUE"""),0.84)</f>
        <v>0.84</v>
      </c>
      <c r="D109" s="1">
        <f>IFERROR(__xludf.DUMMYFUNCTION("""COMPUTED_VALUE"""),0.83)</f>
        <v>0.83</v>
      </c>
      <c r="E109" s="1">
        <f>IFERROR(__xludf.DUMMYFUNCTION("""COMPUTED_VALUE"""),0.84)</f>
        <v>0.84</v>
      </c>
      <c r="F109" s="1">
        <f>IFERROR(__xludf.DUMMYFUNCTION("""COMPUTED_VALUE"""),119222.0)</f>
        <v>119222</v>
      </c>
    </row>
    <row r="110">
      <c r="A110" s="2">
        <f>IFERROR(__xludf.DUMMYFUNCTION("""COMPUTED_VALUE"""),39325.666666666664)</f>
        <v>39325.66667</v>
      </c>
      <c r="B110" s="1">
        <f>IFERROR(__xludf.DUMMYFUNCTION("""COMPUTED_VALUE"""),0.84)</f>
        <v>0.84</v>
      </c>
      <c r="C110" s="1">
        <f>IFERROR(__xludf.DUMMYFUNCTION("""COMPUTED_VALUE"""),0.84)</f>
        <v>0.84</v>
      </c>
      <c r="D110" s="1">
        <f>IFERROR(__xludf.DUMMYFUNCTION("""COMPUTED_VALUE"""),0.83)</f>
        <v>0.83</v>
      </c>
      <c r="E110" s="1">
        <f>IFERROR(__xludf.DUMMYFUNCTION("""COMPUTED_VALUE"""),0.83)</f>
        <v>0.83</v>
      </c>
      <c r="F110" s="1">
        <f>IFERROR(__xludf.DUMMYFUNCTION("""COMPUTED_VALUE"""),72359.0)</f>
        <v>72359</v>
      </c>
    </row>
    <row r="111">
      <c r="A111" s="2">
        <f>IFERROR(__xludf.DUMMYFUNCTION("""COMPUTED_VALUE"""),39329.666666666664)</f>
        <v>39329.66667</v>
      </c>
      <c r="B111" s="1">
        <f>IFERROR(__xludf.DUMMYFUNCTION("""COMPUTED_VALUE"""),0.84)</f>
        <v>0.84</v>
      </c>
      <c r="C111" s="1">
        <f>IFERROR(__xludf.DUMMYFUNCTION("""COMPUTED_VALUE"""),0.85)</f>
        <v>0.85</v>
      </c>
      <c r="D111" s="1">
        <f>IFERROR(__xludf.DUMMYFUNCTION("""COMPUTED_VALUE"""),0.83)</f>
        <v>0.83</v>
      </c>
      <c r="E111" s="1">
        <f>IFERROR(__xludf.DUMMYFUNCTION("""COMPUTED_VALUE"""),0.84)</f>
        <v>0.84</v>
      </c>
      <c r="F111" s="1">
        <f>IFERROR(__xludf.DUMMYFUNCTION("""COMPUTED_VALUE"""),315279.0)</f>
        <v>315279</v>
      </c>
    </row>
    <row r="112">
      <c r="A112" s="2">
        <f>IFERROR(__xludf.DUMMYFUNCTION("""COMPUTED_VALUE"""),39330.666666666664)</f>
        <v>39330.66667</v>
      </c>
      <c r="B112" s="1">
        <f>IFERROR(__xludf.DUMMYFUNCTION("""COMPUTED_VALUE"""),0.83)</f>
        <v>0.83</v>
      </c>
      <c r="C112" s="1">
        <f>IFERROR(__xludf.DUMMYFUNCTION("""COMPUTED_VALUE"""),0.84)</f>
        <v>0.84</v>
      </c>
      <c r="D112" s="1">
        <f>IFERROR(__xludf.DUMMYFUNCTION("""COMPUTED_VALUE"""),0.83)</f>
        <v>0.83</v>
      </c>
      <c r="E112" s="1">
        <f>IFERROR(__xludf.DUMMYFUNCTION("""COMPUTED_VALUE"""),0.83)</f>
        <v>0.83</v>
      </c>
      <c r="F112" s="1">
        <f>IFERROR(__xludf.DUMMYFUNCTION("""COMPUTED_VALUE"""),144355.0)</f>
        <v>144355</v>
      </c>
    </row>
    <row r="113">
      <c r="A113" s="2">
        <f>IFERROR(__xludf.DUMMYFUNCTION("""COMPUTED_VALUE"""),39331.666666666664)</f>
        <v>39331.66667</v>
      </c>
      <c r="B113" s="1">
        <f>IFERROR(__xludf.DUMMYFUNCTION("""COMPUTED_VALUE"""),0.84)</f>
        <v>0.84</v>
      </c>
      <c r="C113" s="1">
        <f>IFERROR(__xludf.DUMMYFUNCTION("""COMPUTED_VALUE"""),0.86)</f>
        <v>0.86</v>
      </c>
      <c r="D113" s="1">
        <f>IFERROR(__xludf.DUMMYFUNCTION("""COMPUTED_VALUE"""),0.84)</f>
        <v>0.84</v>
      </c>
      <c r="E113" s="1">
        <f>IFERROR(__xludf.DUMMYFUNCTION("""COMPUTED_VALUE"""),0.84)</f>
        <v>0.84</v>
      </c>
      <c r="F113" s="1">
        <f>IFERROR(__xludf.DUMMYFUNCTION("""COMPUTED_VALUE"""),382199.0)</f>
        <v>382199</v>
      </c>
    </row>
    <row r="114">
      <c r="A114" s="2">
        <f>IFERROR(__xludf.DUMMYFUNCTION("""COMPUTED_VALUE"""),39332.666666666664)</f>
        <v>39332.66667</v>
      </c>
      <c r="B114" s="1">
        <f>IFERROR(__xludf.DUMMYFUNCTION("""COMPUTED_VALUE"""),0.83)</f>
        <v>0.83</v>
      </c>
      <c r="C114" s="1">
        <f>IFERROR(__xludf.DUMMYFUNCTION("""COMPUTED_VALUE"""),0.85)</f>
        <v>0.85</v>
      </c>
      <c r="D114" s="1">
        <f>IFERROR(__xludf.DUMMYFUNCTION("""COMPUTED_VALUE"""),0.83)</f>
        <v>0.83</v>
      </c>
      <c r="E114" s="1">
        <f>IFERROR(__xludf.DUMMYFUNCTION("""COMPUTED_VALUE"""),0.85)</f>
        <v>0.85</v>
      </c>
      <c r="F114" s="1">
        <f>IFERROR(__xludf.DUMMYFUNCTION("""COMPUTED_VALUE"""),148789.0)</f>
        <v>148789</v>
      </c>
    </row>
    <row r="115">
      <c r="A115" s="2">
        <f>IFERROR(__xludf.DUMMYFUNCTION("""COMPUTED_VALUE"""),39335.666666666664)</f>
        <v>39335.66667</v>
      </c>
      <c r="B115" s="1">
        <f>IFERROR(__xludf.DUMMYFUNCTION("""COMPUTED_VALUE"""),0.85)</f>
        <v>0.85</v>
      </c>
      <c r="C115" s="1">
        <f>IFERROR(__xludf.DUMMYFUNCTION("""COMPUTED_VALUE"""),0.89)</f>
        <v>0.89</v>
      </c>
      <c r="D115" s="1">
        <f>IFERROR(__xludf.DUMMYFUNCTION("""COMPUTED_VALUE"""),0.85)</f>
        <v>0.85</v>
      </c>
      <c r="E115" s="1">
        <f>IFERROR(__xludf.DUMMYFUNCTION("""COMPUTED_VALUE"""),0.87)</f>
        <v>0.87</v>
      </c>
      <c r="F115" s="1">
        <f>IFERROR(__xludf.DUMMYFUNCTION("""COMPUTED_VALUE"""),136584.0)</f>
        <v>136584</v>
      </c>
    </row>
    <row r="116">
      <c r="A116" s="2">
        <f>IFERROR(__xludf.DUMMYFUNCTION("""COMPUTED_VALUE"""),39336.666666666664)</f>
        <v>39336.66667</v>
      </c>
      <c r="B116" s="1">
        <f>IFERROR(__xludf.DUMMYFUNCTION("""COMPUTED_VALUE"""),0.88)</f>
        <v>0.88</v>
      </c>
      <c r="C116" s="1">
        <f>IFERROR(__xludf.DUMMYFUNCTION("""COMPUTED_VALUE"""),0.93)</f>
        <v>0.93</v>
      </c>
      <c r="D116" s="1">
        <f>IFERROR(__xludf.DUMMYFUNCTION("""COMPUTED_VALUE"""),0.88)</f>
        <v>0.88</v>
      </c>
      <c r="E116" s="1">
        <f>IFERROR(__xludf.DUMMYFUNCTION("""COMPUTED_VALUE"""),0.92)</f>
        <v>0.92</v>
      </c>
      <c r="F116" s="1">
        <f>IFERROR(__xludf.DUMMYFUNCTION("""COMPUTED_VALUE"""),100880.0)</f>
        <v>100880</v>
      </c>
    </row>
    <row r="117">
      <c r="A117" s="2">
        <f>IFERROR(__xludf.DUMMYFUNCTION("""COMPUTED_VALUE"""),39337.666666666664)</f>
        <v>39337.66667</v>
      </c>
      <c r="B117" s="1">
        <f>IFERROR(__xludf.DUMMYFUNCTION("""COMPUTED_VALUE"""),0.95)</f>
        <v>0.95</v>
      </c>
      <c r="C117" s="1">
        <f>IFERROR(__xludf.DUMMYFUNCTION("""COMPUTED_VALUE"""),0.96)</f>
        <v>0.96</v>
      </c>
      <c r="D117" s="1">
        <f>IFERROR(__xludf.DUMMYFUNCTION("""COMPUTED_VALUE"""),0.92)</f>
        <v>0.92</v>
      </c>
      <c r="E117" s="1">
        <f>IFERROR(__xludf.DUMMYFUNCTION("""COMPUTED_VALUE"""),0.94)</f>
        <v>0.94</v>
      </c>
      <c r="F117" s="1">
        <f>IFERROR(__xludf.DUMMYFUNCTION("""COMPUTED_VALUE"""),189048.0)</f>
        <v>189048</v>
      </c>
    </row>
    <row r="118">
      <c r="A118" s="2">
        <f>IFERROR(__xludf.DUMMYFUNCTION("""COMPUTED_VALUE"""),39338.666666666664)</f>
        <v>39338.66667</v>
      </c>
      <c r="B118" s="1">
        <f>IFERROR(__xludf.DUMMYFUNCTION("""COMPUTED_VALUE"""),0.94)</f>
        <v>0.94</v>
      </c>
      <c r="C118" s="1">
        <f>IFERROR(__xludf.DUMMYFUNCTION("""COMPUTED_VALUE"""),0.95)</f>
        <v>0.95</v>
      </c>
      <c r="D118" s="1">
        <f>IFERROR(__xludf.DUMMYFUNCTION("""COMPUTED_VALUE"""),0.91)</f>
        <v>0.91</v>
      </c>
      <c r="E118" s="1">
        <f>IFERROR(__xludf.DUMMYFUNCTION("""COMPUTED_VALUE"""),0.92)</f>
        <v>0.92</v>
      </c>
      <c r="F118" s="1">
        <f>IFERROR(__xludf.DUMMYFUNCTION("""COMPUTED_VALUE"""),86907.0)</f>
        <v>86907</v>
      </c>
    </row>
    <row r="119">
      <c r="A119" s="2">
        <f>IFERROR(__xludf.DUMMYFUNCTION("""COMPUTED_VALUE"""),39339.666666666664)</f>
        <v>39339.66667</v>
      </c>
      <c r="B119" s="1">
        <f>IFERROR(__xludf.DUMMYFUNCTION("""COMPUTED_VALUE"""),0.91)</f>
        <v>0.91</v>
      </c>
      <c r="C119" s="1">
        <f>IFERROR(__xludf.DUMMYFUNCTION("""COMPUTED_VALUE"""),0.92)</f>
        <v>0.92</v>
      </c>
      <c r="D119" s="1">
        <f>IFERROR(__xludf.DUMMYFUNCTION("""COMPUTED_VALUE"""),0.9)</f>
        <v>0.9</v>
      </c>
      <c r="E119" s="1">
        <f>IFERROR(__xludf.DUMMYFUNCTION("""COMPUTED_VALUE"""),0.92)</f>
        <v>0.92</v>
      </c>
      <c r="F119" s="1">
        <f>IFERROR(__xludf.DUMMYFUNCTION("""COMPUTED_VALUE"""),98776.0)</f>
        <v>98776</v>
      </c>
    </row>
    <row r="120">
      <c r="A120" s="2">
        <f>IFERROR(__xludf.DUMMYFUNCTION("""COMPUTED_VALUE"""),39342.666666666664)</f>
        <v>39342.66667</v>
      </c>
      <c r="B120" s="1">
        <f>IFERROR(__xludf.DUMMYFUNCTION("""COMPUTED_VALUE"""),0.93)</f>
        <v>0.93</v>
      </c>
      <c r="C120" s="1">
        <f>IFERROR(__xludf.DUMMYFUNCTION("""COMPUTED_VALUE"""),0.93)</f>
        <v>0.93</v>
      </c>
      <c r="D120" s="1">
        <f>IFERROR(__xludf.DUMMYFUNCTION("""COMPUTED_VALUE"""),0.9)</f>
        <v>0.9</v>
      </c>
      <c r="E120" s="1">
        <f>IFERROR(__xludf.DUMMYFUNCTION("""COMPUTED_VALUE"""),0.91)</f>
        <v>0.91</v>
      </c>
      <c r="F120" s="1">
        <f>IFERROR(__xludf.DUMMYFUNCTION("""COMPUTED_VALUE"""),40555.0)</f>
        <v>40555</v>
      </c>
    </row>
    <row r="121">
      <c r="A121" s="2">
        <f>IFERROR(__xludf.DUMMYFUNCTION("""COMPUTED_VALUE"""),39343.666666666664)</f>
        <v>39343.66667</v>
      </c>
      <c r="B121" s="1">
        <f>IFERROR(__xludf.DUMMYFUNCTION("""COMPUTED_VALUE"""),0.91)</f>
        <v>0.91</v>
      </c>
      <c r="C121" s="1">
        <f>IFERROR(__xludf.DUMMYFUNCTION("""COMPUTED_VALUE"""),0.95)</f>
        <v>0.95</v>
      </c>
      <c r="D121" s="1">
        <f>IFERROR(__xludf.DUMMYFUNCTION("""COMPUTED_VALUE"""),0.9)</f>
        <v>0.9</v>
      </c>
      <c r="E121" s="1">
        <f>IFERROR(__xludf.DUMMYFUNCTION("""COMPUTED_VALUE"""),0.95)</f>
        <v>0.95</v>
      </c>
      <c r="F121" s="1">
        <f>IFERROR(__xludf.DUMMYFUNCTION("""COMPUTED_VALUE"""),87350.0)</f>
        <v>87350</v>
      </c>
    </row>
    <row r="122">
      <c r="A122" s="2">
        <f>IFERROR(__xludf.DUMMYFUNCTION("""COMPUTED_VALUE"""),39344.666666666664)</f>
        <v>39344.66667</v>
      </c>
      <c r="B122" s="1">
        <f>IFERROR(__xludf.DUMMYFUNCTION("""COMPUTED_VALUE"""),0.95)</f>
        <v>0.95</v>
      </c>
      <c r="C122" s="1">
        <f>IFERROR(__xludf.DUMMYFUNCTION("""COMPUTED_VALUE"""),0.99)</f>
        <v>0.99</v>
      </c>
      <c r="D122" s="1">
        <f>IFERROR(__xludf.DUMMYFUNCTION("""COMPUTED_VALUE"""),0.95)</f>
        <v>0.95</v>
      </c>
      <c r="E122" s="1">
        <f>IFERROR(__xludf.DUMMYFUNCTION("""COMPUTED_VALUE"""),0.99)</f>
        <v>0.99</v>
      </c>
      <c r="F122" s="1">
        <f>IFERROR(__xludf.DUMMYFUNCTION("""COMPUTED_VALUE"""),116025.0)</f>
        <v>116025</v>
      </c>
    </row>
    <row r="123">
      <c r="A123" s="2">
        <f>IFERROR(__xludf.DUMMYFUNCTION("""COMPUTED_VALUE"""),39345.666666666664)</f>
        <v>39345.66667</v>
      </c>
      <c r="B123" s="1">
        <f>IFERROR(__xludf.DUMMYFUNCTION("""COMPUTED_VALUE"""),0.99)</f>
        <v>0.99</v>
      </c>
      <c r="C123" s="1">
        <f>IFERROR(__xludf.DUMMYFUNCTION("""COMPUTED_VALUE"""),1.0)</f>
        <v>1</v>
      </c>
      <c r="D123" s="1">
        <f>IFERROR(__xludf.DUMMYFUNCTION("""COMPUTED_VALUE"""),0.98)</f>
        <v>0.98</v>
      </c>
      <c r="E123" s="1">
        <f>IFERROR(__xludf.DUMMYFUNCTION("""COMPUTED_VALUE"""),0.99)</f>
        <v>0.99</v>
      </c>
      <c r="F123" s="1">
        <f>IFERROR(__xludf.DUMMYFUNCTION("""COMPUTED_VALUE"""),119046.0)</f>
        <v>119046</v>
      </c>
    </row>
    <row r="124">
      <c r="A124" s="2">
        <f>IFERROR(__xludf.DUMMYFUNCTION("""COMPUTED_VALUE"""),39346.666666666664)</f>
        <v>39346.66667</v>
      </c>
      <c r="B124" s="1">
        <f>IFERROR(__xludf.DUMMYFUNCTION("""COMPUTED_VALUE"""),1.0)</f>
        <v>1</v>
      </c>
      <c r="C124" s="1">
        <f>IFERROR(__xludf.DUMMYFUNCTION("""COMPUTED_VALUE"""),1.0)</f>
        <v>1</v>
      </c>
      <c r="D124" s="1">
        <f>IFERROR(__xludf.DUMMYFUNCTION("""COMPUTED_VALUE"""),0.98)</f>
        <v>0.98</v>
      </c>
      <c r="E124" s="1">
        <f>IFERROR(__xludf.DUMMYFUNCTION("""COMPUTED_VALUE"""),0.98)</f>
        <v>0.98</v>
      </c>
      <c r="F124" s="1">
        <f>IFERROR(__xludf.DUMMYFUNCTION("""COMPUTED_VALUE"""),136753.0)</f>
        <v>136753</v>
      </c>
    </row>
    <row r="125">
      <c r="A125" s="2">
        <f>IFERROR(__xludf.DUMMYFUNCTION("""COMPUTED_VALUE"""),39349.666666666664)</f>
        <v>39349.66667</v>
      </c>
      <c r="B125" s="1">
        <f>IFERROR(__xludf.DUMMYFUNCTION("""COMPUTED_VALUE"""),0.98)</f>
        <v>0.98</v>
      </c>
      <c r="C125" s="1">
        <f>IFERROR(__xludf.DUMMYFUNCTION("""COMPUTED_VALUE"""),0.99)</f>
        <v>0.99</v>
      </c>
      <c r="D125" s="1">
        <f>IFERROR(__xludf.DUMMYFUNCTION("""COMPUTED_VALUE"""),0.95)</f>
        <v>0.95</v>
      </c>
      <c r="E125" s="1">
        <f>IFERROR(__xludf.DUMMYFUNCTION("""COMPUTED_VALUE"""),0.96)</f>
        <v>0.96</v>
      </c>
      <c r="F125" s="1">
        <f>IFERROR(__xludf.DUMMYFUNCTION("""COMPUTED_VALUE"""),130549.0)</f>
        <v>130549</v>
      </c>
    </row>
    <row r="126">
      <c r="A126" s="2">
        <f>IFERROR(__xludf.DUMMYFUNCTION("""COMPUTED_VALUE"""),39350.666666666664)</f>
        <v>39350.66667</v>
      </c>
      <c r="B126" s="1">
        <f>IFERROR(__xludf.DUMMYFUNCTION("""COMPUTED_VALUE"""),0.95)</f>
        <v>0.95</v>
      </c>
      <c r="C126" s="1">
        <f>IFERROR(__xludf.DUMMYFUNCTION("""COMPUTED_VALUE"""),0.98)</f>
        <v>0.98</v>
      </c>
      <c r="D126" s="1">
        <f>IFERROR(__xludf.DUMMYFUNCTION("""COMPUTED_VALUE"""),0.93)</f>
        <v>0.93</v>
      </c>
      <c r="E126" s="1">
        <f>IFERROR(__xludf.DUMMYFUNCTION("""COMPUTED_VALUE"""),0.98)</f>
        <v>0.98</v>
      </c>
      <c r="F126" s="1">
        <f>IFERROR(__xludf.DUMMYFUNCTION("""COMPUTED_VALUE"""),106865.0)</f>
        <v>106865</v>
      </c>
    </row>
    <row r="127">
      <c r="A127" s="2">
        <f>IFERROR(__xludf.DUMMYFUNCTION("""COMPUTED_VALUE"""),39351.666666666664)</f>
        <v>39351.66667</v>
      </c>
      <c r="B127" s="1">
        <f>IFERROR(__xludf.DUMMYFUNCTION("""COMPUTED_VALUE"""),0.97)</f>
        <v>0.97</v>
      </c>
      <c r="C127" s="1">
        <f>IFERROR(__xludf.DUMMYFUNCTION("""COMPUTED_VALUE"""),1.02)</f>
        <v>1.02</v>
      </c>
      <c r="D127" s="1">
        <f>IFERROR(__xludf.DUMMYFUNCTION("""COMPUTED_VALUE"""),0.97)</f>
        <v>0.97</v>
      </c>
      <c r="E127" s="1">
        <f>IFERROR(__xludf.DUMMYFUNCTION("""COMPUTED_VALUE"""),1.0)</f>
        <v>1</v>
      </c>
      <c r="F127" s="1">
        <f>IFERROR(__xludf.DUMMYFUNCTION("""COMPUTED_VALUE"""),225220.0)</f>
        <v>225220</v>
      </c>
    </row>
    <row r="128">
      <c r="A128" s="2">
        <f>IFERROR(__xludf.DUMMYFUNCTION("""COMPUTED_VALUE"""),39352.666666666664)</f>
        <v>39352.66667</v>
      </c>
      <c r="B128" s="1">
        <f>IFERROR(__xludf.DUMMYFUNCTION("""COMPUTED_VALUE"""),1.0)</f>
        <v>1</v>
      </c>
      <c r="C128" s="1">
        <f>IFERROR(__xludf.DUMMYFUNCTION("""COMPUTED_VALUE"""),1.0)</f>
        <v>1</v>
      </c>
      <c r="D128" s="1">
        <f>IFERROR(__xludf.DUMMYFUNCTION("""COMPUTED_VALUE"""),0.98)</f>
        <v>0.98</v>
      </c>
      <c r="E128" s="1">
        <f>IFERROR(__xludf.DUMMYFUNCTION("""COMPUTED_VALUE"""),0.98)</f>
        <v>0.98</v>
      </c>
      <c r="F128" s="1">
        <f>IFERROR(__xludf.DUMMYFUNCTION("""COMPUTED_VALUE"""),61198.0)</f>
        <v>61198</v>
      </c>
    </row>
    <row r="129">
      <c r="A129" s="2">
        <f>IFERROR(__xludf.DUMMYFUNCTION("""COMPUTED_VALUE"""),39353.666666666664)</f>
        <v>39353.66667</v>
      </c>
      <c r="B129" s="1">
        <f>IFERROR(__xludf.DUMMYFUNCTION("""COMPUTED_VALUE"""),0.98)</f>
        <v>0.98</v>
      </c>
      <c r="C129" s="1">
        <f>IFERROR(__xludf.DUMMYFUNCTION("""COMPUTED_VALUE"""),0.99)</f>
        <v>0.99</v>
      </c>
      <c r="D129" s="1">
        <f>IFERROR(__xludf.DUMMYFUNCTION("""COMPUTED_VALUE"""),0.97)</f>
        <v>0.97</v>
      </c>
      <c r="E129" s="1">
        <f>IFERROR(__xludf.DUMMYFUNCTION("""COMPUTED_VALUE"""),0.98)</f>
        <v>0.98</v>
      </c>
      <c r="F129" s="1">
        <f>IFERROR(__xludf.DUMMYFUNCTION("""COMPUTED_VALUE"""),170898.0)</f>
        <v>170898</v>
      </c>
    </row>
    <row r="130">
      <c r="A130" s="2">
        <f>IFERROR(__xludf.DUMMYFUNCTION("""COMPUTED_VALUE"""),39356.666666666664)</f>
        <v>39356.66667</v>
      </c>
      <c r="B130" s="1">
        <f>IFERROR(__xludf.DUMMYFUNCTION("""COMPUTED_VALUE"""),0.96)</f>
        <v>0.96</v>
      </c>
      <c r="C130" s="1">
        <f>IFERROR(__xludf.DUMMYFUNCTION("""COMPUTED_VALUE"""),0.99)</f>
        <v>0.99</v>
      </c>
      <c r="D130" s="1">
        <f>IFERROR(__xludf.DUMMYFUNCTION("""COMPUTED_VALUE"""),0.95)</f>
        <v>0.95</v>
      </c>
      <c r="E130" s="1">
        <f>IFERROR(__xludf.DUMMYFUNCTION("""COMPUTED_VALUE"""),0.98)</f>
        <v>0.98</v>
      </c>
      <c r="F130" s="1">
        <f>IFERROR(__xludf.DUMMYFUNCTION("""COMPUTED_VALUE"""),126623.0)</f>
        <v>126623</v>
      </c>
    </row>
    <row r="131">
      <c r="A131" s="2">
        <f>IFERROR(__xludf.DUMMYFUNCTION("""COMPUTED_VALUE"""),39357.666666666664)</f>
        <v>39357.66667</v>
      </c>
      <c r="B131" s="1">
        <f>IFERROR(__xludf.DUMMYFUNCTION("""COMPUTED_VALUE"""),0.99)</f>
        <v>0.99</v>
      </c>
      <c r="C131" s="1">
        <f>IFERROR(__xludf.DUMMYFUNCTION("""COMPUTED_VALUE"""),1.0)</f>
        <v>1</v>
      </c>
      <c r="D131" s="1">
        <f>IFERROR(__xludf.DUMMYFUNCTION("""COMPUTED_VALUE"""),0.96)</f>
        <v>0.96</v>
      </c>
      <c r="E131" s="1">
        <f>IFERROR(__xludf.DUMMYFUNCTION("""COMPUTED_VALUE"""),0.99)</f>
        <v>0.99</v>
      </c>
      <c r="F131" s="1">
        <f>IFERROR(__xludf.DUMMYFUNCTION("""COMPUTED_VALUE"""),173792.0)</f>
        <v>173792</v>
      </c>
    </row>
    <row r="132">
      <c r="A132" s="2">
        <f>IFERROR(__xludf.DUMMYFUNCTION("""COMPUTED_VALUE"""),39358.666666666664)</f>
        <v>39358.66667</v>
      </c>
      <c r="B132" s="1">
        <f>IFERROR(__xludf.DUMMYFUNCTION("""COMPUTED_VALUE"""),0.98)</f>
        <v>0.98</v>
      </c>
      <c r="C132" s="1">
        <f>IFERROR(__xludf.DUMMYFUNCTION("""COMPUTED_VALUE"""),1.01)</f>
        <v>1.01</v>
      </c>
      <c r="D132" s="1">
        <f>IFERROR(__xludf.DUMMYFUNCTION("""COMPUTED_VALUE"""),0.98)</f>
        <v>0.98</v>
      </c>
      <c r="E132" s="1">
        <f>IFERROR(__xludf.DUMMYFUNCTION("""COMPUTED_VALUE"""),1.01)</f>
        <v>1.01</v>
      </c>
      <c r="F132" s="1">
        <f>IFERROR(__xludf.DUMMYFUNCTION("""COMPUTED_VALUE"""),97543.0)</f>
        <v>97543</v>
      </c>
    </row>
    <row r="133">
      <c r="A133" s="2">
        <f>IFERROR(__xludf.DUMMYFUNCTION("""COMPUTED_VALUE"""),39359.666666666664)</f>
        <v>39359.66667</v>
      </c>
      <c r="B133" s="1">
        <f>IFERROR(__xludf.DUMMYFUNCTION("""COMPUTED_VALUE"""),1.0)</f>
        <v>1</v>
      </c>
      <c r="C133" s="1">
        <f>IFERROR(__xludf.DUMMYFUNCTION("""COMPUTED_VALUE"""),1.0)</f>
        <v>1</v>
      </c>
      <c r="D133" s="1">
        <f>IFERROR(__xludf.DUMMYFUNCTION("""COMPUTED_VALUE"""),0.97)</f>
        <v>0.97</v>
      </c>
      <c r="E133" s="1">
        <f>IFERROR(__xludf.DUMMYFUNCTION("""COMPUTED_VALUE"""),0.97)</f>
        <v>0.97</v>
      </c>
      <c r="F133" s="1">
        <f>IFERROR(__xludf.DUMMYFUNCTION("""COMPUTED_VALUE"""),91714.0)</f>
        <v>91714</v>
      </c>
    </row>
    <row r="134">
      <c r="A134" s="2">
        <f>IFERROR(__xludf.DUMMYFUNCTION("""COMPUTED_VALUE"""),39360.666666666664)</f>
        <v>39360.66667</v>
      </c>
      <c r="B134" s="1">
        <f>IFERROR(__xludf.DUMMYFUNCTION("""COMPUTED_VALUE"""),0.98)</f>
        <v>0.98</v>
      </c>
      <c r="C134" s="1">
        <f>IFERROR(__xludf.DUMMYFUNCTION("""COMPUTED_VALUE"""),0.99)</f>
        <v>0.99</v>
      </c>
      <c r="D134" s="1">
        <f>IFERROR(__xludf.DUMMYFUNCTION("""COMPUTED_VALUE"""),0.97)</f>
        <v>0.97</v>
      </c>
      <c r="E134" s="1">
        <f>IFERROR(__xludf.DUMMYFUNCTION("""COMPUTED_VALUE"""),0.99)</f>
        <v>0.99</v>
      </c>
      <c r="F134" s="1">
        <f>IFERROR(__xludf.DUMMYFUNCTION("""COMPUTED_VALUE"""),116015.0)</f>
        <v>116015</v>
      </c>
    </row>
    <row r="135">
      <c r="A135" s="2">
        <f>IFERROR(__xludf.DUMMYFUNCTION("""COMPUTED_VALUE"""),39363.666666666664)</f>
        <v>39363.66667</v>
      </c>
      <c r="B135" s="1">
        <f>IFERROR(__xludf.DUMMYFUNCTION("""COMPUTED_VALUE"""),0.98)</f>
        <v>0.98</v>
      </c>
      <c r="C135" s="1">
        <f>IFERROR(__xludf.DUMMYFUNCTION("""COMPUTED_VALUE"""),1.01)</f>
        <v>1.01</v>
      </c>
      <c r="D135" s="1">
        <f>IFERROR(__xludf.DUMMYFUNCTION("""COMPUTED_VALUE"""),0.98)</f>
        <v>0.98</v>
      </c>
      <c r="E135" s="1">
        <f>IFERROR(__xludf.DUMMYFUNCTION("""COMPUTED_VALUE"""),1.0)</f>
        <v>1</v>
      </c>
      <c r="F135" s="1">
        <f>IFERROR(__xludf.DUMMYFUNCTION("""COMPUTED_VALUE"""),107097.0)</f>
        <v>107097</v>
      </c>
    </row>
    <row r="136">
      <c r="A136" s="2">
        <f>IFERROR(__xludf.DUMMYFUNCTION("""COMPUTED_VALUE"""),39364.666666666664)</f>
        <v>39364.66667</v>
      </c>
      <c r="B136" s="1">
        <f>IFERROR(__xludf.DUMMYFUNCTION("""COMPUTED_VALUE"""),1.0)</f>
        <v>1</v>
      </c>
      <c r="C136" s="1">
        <f>IFERROR(__xludf.DUMMYFUNCTION("""COMPUTED_VALUE"""),1.01)</f>
        <v>1.01</v>
      </c>
      <c r="D136" s="1">
        <f>IFERROR(__xludf.DUMMYFUNCTION("""COMPUTED_VALUE"""),0.99)</f>
        <v>0.99</v>
      </c>
      <c r="E136" s="1">
        <f>IFERROR(__xludf.DUMMYFUNCTION("""COMPUTED_VALUE"""),0.99)</f>
        <v>0.99</v>
      </c>
      <c r="F136" s="1">
        <f>IFERROR(__xludf.DUMMYFUNCTION("""COMPUTED_VALUE"""),64749.0)</f>
        <v>64749</v>
      </c>
    </row>
    <row r="137">
      <c r="A137" s="2">
        <f>IFERROR(__xludf.DUMMYFUNCTION("""COMPUTED_VALUE"""),39365.666666666664)</f>
        <v>39365.66667</v>
      </c>
      <c r="B137" s="1">
        <f>IFERROR(__xludf.DUMMYFUNCTION("""COMPUTED_VALUE"""),1.0)</f>
        <v>1</v>
      </c>
      <c r="C137" s="1">
        <f>IFERROR(__xludf.DUMMYFUNCTION("""COMPUTED_VALUE"""),1.0)</f>
        <v>1</v>
      </c>
      <c r="D137" s="1">
        <f>IFERROR(__xludf.DUMMYFUNCTION("""COMPUTED_VALUE"""),0.99)</f>
        <v>0.99</v>
      </c>
      <c r="E137" s="1">
        <f>IFERROR(__xludf.DUMMYFUNCTION("""COMPUTED_VALUE"""),1.0)</f>
        <v>1</v>
      </c>
      <c r="F137" s="1">
        <f>IFERROR(__xludf.DUMMYFUNCTION("""COMPUTED_VALUE"""),55527.0)</f>
        <v>55527</v>
      </c>
    </row>
    <row r="138">
      <c r="A138" s="2">
        <f>IFERROR(__xludf.DUMMYFUNCTION("""COMPUTED_VALUE"""),39366.666666666664)</f>
        <v>39366.66667</v>
      </c>
      <c r="B138" s="1">
        <f>IFERROR(__xludf.DUMMYFUNCTION("""COMPUTED_VALUE"""),1.0)</f>
        <v>1</v>
      </c>
      <c r="C138" s="1">
        <f>IFERROR(__xludf.DUMMYFUNCTION("""COMPUTED_VALUE"""),1.02)</f>
        <v>1.02</v>
      </c>
      <c r="D138" s="1">
        <f>IFERROR(__xludf.DUMMYFUNCTION("""COMPUTED_VALUE"""),0.98)</f>
        <v>0.98</v>
      </c>
      <c r="E138" s="1">
        <f>IFERROR(__xludf.DUMMYFUNCTION("""COMPUTED_VALUE"""),0.99)</f>
        <v>0.99</v>
      </c>
      <c r="F138" s="1">
        <f>IFERROR(__xludf.DUMMYFUNCTION("""COMPUTED_VALUE"""),82056.0)</f>
        <v>82056</v>
      </c>
    </row>
    <row r="139">
      <c r="A139" s="2">
        <f>IFERROR(__xludf.DUMMYFUNCTION("""COMPUTED_VALUE"""),39367.666666666664)</f>
        <v>39367.66667</v>
      </c>
      <c r="B139" s="1">
        <f>IFERROR(__xludf.DUMMYFUNCTION("""COMPUTED_VALUE"""),0.98)</f>
        <v>0.98</v>
      </c>
      <c r="C139" s="1">
        <f>IFERROR(__xludf.DUMMYFUNCTION("""COMPUTED_VALUE"""),1.0)</f>
        <v>1</v>
      </c>
      <c r="D139" s="1">
        <f>IFERROR(__xludf.DUMMYFUNCTION("""COMPUTED_VALUE"""),0.97)</f>
        <v>0.97</v>
      </c>
      <c r="E139" s="1">
        <f>IFERROR(__xludf.DUMMYFUNCTION("""COMPUTED_VALUE"""),1.0)</f>
        <v>1</v>
      </c>
      <c r="F139" s="1">
        <f>IFERROR(__xludf.DUMMYFUNCTION("""COMPUTED_VALUE"""),44513.0)</f>
        <v>44513</v>
      </c>
    </row>
    <row r="140">
      <c r="A140" s="2">
        <f>IFERROR(__xludf.DUMMYFUNCTION("""COMPUTED_VALUE"""),39370.666666666664)</f>
        <v>39370.66667</v>
      </c>
      <c r="B140" s="1">
        <f>IFERROR(__xludf.DUMMYFUNCTION("""COMPUTED_VALUE"""),0.99)</f>
        <v>0.99</v>
      </c>
      <c r="C140" s="1">
        <f>IFERROR(__xludf.DUMMYFUNCTION("""COMPUTED_VALUE"""),0.99)</f>
        <v>0.99</v>
      </c>
      <c r="D140" s="1">
        <f>IFERROR(__xludf.DUMMYFUNCTION("""COMPUTED_VALUE"""),0.98)</f>
        <v>0.98</v>
      </c>
      <c r="E140" s="1">
        <f>IFERROR(__xludf.DUMMYFUNCTION("""COMPUTED_VALUE"""),0.99)</f>
        <v>0.99</v>
      </c>
      <c r="F140" s="1">
        <f>IFERROR(__xludf.DUMMYFUNCTION("""COMPUTED_VALUE"""),40397.0)</f>
        <v>40397</v>
      </c>
    </row>
    <row r="141">
      <c r="A141" s="2">
        <f>IFERROR(__xludf.DUMMYFUNCTION("""COMPUTED_VALUE"""),39371.666666666664)</f>
        <v>39371.66667</v>
      </c>
      <c r="B141" s="1">
        <f>IFERROR(__xludf.DUMMYFUNCTION("""COMPUTED_VALUE"""),0.98)</f>
        <v>0.98</v>
      </c>
      <c r="C141" s="1">
        <f>IFERROR(__xludf.DUMMYFUNCTION("""COMPUTED_VALUE"""),1.0)</f>
        <v>1</v>
      </c>
      <c r="D141" s="1">
        <f>IFERROR(__xludf.DUMMYFUNCTION("""COMPUTED_VALUE"""),0.98)</f>
        <v>0.98</v>
      </c>
      <c r="E141" s="1">
        <f>IFERROR(__xludf.DUMMYFUNCTION("""COMPUTED_VALUE"""),1.0)</f>
        <v>1</v>
      </c>
      <c r="F141" s="1">
        <f>IFERROR(__xludf.DUMMYFUNCTION("""COMPUTED_VALUE"""),62744.0)</f>
        <v>62744</v>
      </c>
    </row>
    <row r="142">
      <c r="A142" s="2">
        <f>IFERROR(__xludf.DUMMYFUNCTION("""COMPUTED_VALUE"""),39372.666666666664)</f>
        <v>39372.66667</v>
      </c>
      <c r="B142" s="1">
        <f>IFERROR(__xludf.DUMMYFUNCTION("""COMPUTED_VALUE"""),1.0)</f>
        <v>1</v>
      </c>
      <c r="C142" s="1">
        <f>IFERROR(__xludf.DUMMYFUNCTION("""COMPUTED_VALUE"""),1.0)</f>
        <v>1</v>
      </c>
      <c r="D142" s="1">
        <f>IFERROR(__xludf.DUMMYFUNCTION("""COMPUTED_VALUE"""),0.98)</f>
        <v>0.98</v>
      </c>
      <c r="E142" s="1">
        <f>IFERROR(__xludf.DUMMYFUNCTION("""COMPUTED_VALUE"""),0.99)</f>
        <v>0.99</v>
      </c>
      <c r="F142" s="1">
        <f>IFERROR(__xludf.DUMMYFUNCTION("""COMPUTED_VALUE"""),48240.0)</f>
        <v>48240</v>
      </c>
    </row>
    <row r="143">
      <c r="A143" s="2">
        <f>IFERROR(__xludf.DUMMYFUNCTION("""COMPUTED_VALUE"""),39373.666666666664)</f>
        <v>39373.66667</v>
      </c>
      <c r="B143" s="1">
        <f>IFERROR(__xludf.DUMMYFUNCTION("""COMPUTED_VALUE"""),0.99)</f>
        <v>0.99</v>
      </c>
      <c r="C143" s="1">
        <f>IFERROR(__xludf.DUMMYFUNCTION("""COMPUTED_VALUE"""),1.0)</f>
        <v>1</v>
      </c>
      <c r="D143" s="1">
        <f>IFERROR(__xludf.DUMMYFUNCTION("""COMPUTED_VALUE"""),0.98)</f>
        <v>0.98</v>
      </c>
      <c r="E143" s="1">
        <f>IFERROR(__xludf.DUMMYFUNCTION("""COMPUTED_VALUE"""),1.0)</f>
        <v>1</v>
      </c>
      <c r="F143" s="1">
        <f>IFERROR(__xludf.DUMMYFUNCTION("""COMPUTED_VALUE"""),33232.0)</f>
        <v>33232</v>
      </c>
    </row>
    <row r="144">
      <c r="A144" s="2">
        <f>IFERROR(__xludf.DUMMYFUNCTION("""COMPUTED_VALUE"""),39374.666666666664)</f>
        <v>39374.66667</v>
      </c>
      <c r="B144" s="1">
        <f>IFERROR(__xludf.DUMMYFUNCTION("""COMPUTED_VALUE"""),1.0)</f>
        <v>1</v>
      </c>
      <c r="C144" s="1">
        <f>IFERROR(__xludf.DUMMYFUNCTION("""COMPUTED_VALUE"""),1.0)</f>
        <v>1</v>
      </c>
      <c r="D144" s="1">
        <f>IFERROR(__xludf.DUMMYFUNCTION("""COMPUTED_VALUE"""),0.98)</f>
        <v>0.98</v>
      </c>
      <c r="E144" s="1">
        <f>IFERROR(__xludf.DUMMYFUNCTION("""COMPUTED_VALUE"""),0.98)</f>
        <v>0.98</v>
      </c>
      <c r="F144" s="1">
        <f>IFERROR(__xludf.DUMMYFUNCTION("""COMPUTED_VALUE"""),48299.0)</f>
        <v>48299</v>
      </c>
    </row>
    <row r="145">
      <c r="A145" s="2">
        <f>IFERROR(__xludf.DUMMYFUNCTION("""COMPUTED_VALUE"""),39377.666666666664)</f>
        <v>39377.66667</v>
      </c>
      <c r="B145" s="1">
        <f>IFERROR(__xludf.DUMMYFUNCTION("""COMPUTED_VALUE"""),0.97)</f>
        <v>0.97</v>
      </c>
      <c r="C145" s="1">
        <f>IFERROR(__xludf.DUMMYFUNCTION("""COMPUTED_VALUE"""),0.98)</f>
        <v>0.98</v>
      </c>
      <c r="D145" s="1">
        <f>IFERROR(__xludf.DUMMYFUNCTION("""COMPUTED_VALUE"""),0.95)</f>
        <v>0.95</v>
      </c>
      <c r="E145" s="1">
        <f>IFERROR(__xludf.DUMMYFUNCTION("""COMPUTED_VALUE"""),0.97)</f>
        <v>0.97</v>
      </c>
      <c r="F145" s="1">
        <f>IFERROR(__xludf.DUMMYFUNCTION("""COMPUTED_VALUE"""),63561.0)</f>
        <v>63561</v>
      </c>
    </row>
    <row r="146">
      <c r="A146" s="2">
        <f>IFERROR(__xludf.DUMMYFUNCTION("""COMPUTED_VALUE"""),39378.666666666664)</f>
        <v>39378.66667</v>
      </c>
      <c r="B146" s="1">
        <f>IFERROR(__xludf.DUMMYFUNCTION("""COMPUTED_VALUE"""),0.97)</f>
        <v>0.97</v>
      </c>
      <c r="C146" s="1">
        <f>IFERROR(__xludf.DUMMYFUNCTION("""COMPUTED_VALUE"""),0.99)</f>
        <v>0.99</v>
      </c>
      <c r="D146" s="1">
        <f>IFERROR(__xludf.DUMMYFUNCTION("""COMPUTED_VALUE"""),0.94)</f>
        <v>0.94</v>
      </c>
      <c r="E146" s="1">
        <f>IFERROR(__xludf.DUMMYFUNCTION("""COMPUTED_VALUE"""),0.99)</f>
        <v>0.99</v>
      </c>
      <c r="F146" s="1">
        <f>IFERROR(__xludf.DUMMYFUNCTION("""COMPUTED_VALUE"""),42976.0)</f>
        <v>42976</v>
      </c>
    </row>
    <row r="147">
      <c r="A147" s="2">
        <f>IFERROR(__xludf.DUMMYFUNCTION("""COMPUTED_VALUE"""),39379.666666666664)</f>
        <v>39379.66667</v>
      </c>
      <c r="B147" s="1">
        <f>IFERROR(__xludf.DUMMYFUNCTION("""COMPUTED_VALUE"""),0.98)</f>
        <v>0.98</v>
      </c>
      <c r="C147" s="1">
        <f>IFERROR(__xludf.DUMMYFUNCTION("""COMPUTED_VALUE"""),0.99)</f>
        <v>0.99</v>
      </c>
      <c r="D147" s="1">
        <f>IFERROR(__xludf.DUMMYFUNCTION("""COMPUTED_VALUE"""),0.94)</f>
        <v>0.94</v>
      </c>
      <c r="E147" s="1">
        <f>IFERROR(__xludf.DUMMYFUNCTION("""COMPUTED_VALUE"""),0.98)</f>
        <v>0.98</v>
      </c>
      <c r="F147" s="1">
        <f>IFERROR(__xludf.DUMMYFUNCTION("""COMPUTED_VALUE"""),48808.0)</f>
        <v>48808</v>
      </c>
    </row>
    <row r="148">
      <c r="A148" s="2">
        <f>IFERROR(__xludf.DUMMYFUNCTION("""COMPUTED_VALUE"""),39380.666666666664)</f>
        <v>39380.66667</v>
      </c>
      <c r="B148" s="1">
        <f>IFERROR(__xludf.DUMMYFUNCTION("""COMPUTED_VALUE"""),0.99)</f>
        <v>0.99</v>
      </c>
      <c r="C148" s="1">
        <f>IFERROR(__xludf.DUMMYFUNCTION("""COMPUTED_VALUE"""),1.0)</f>
        <v>1</v>
      </c>
      <c r="D148" s="1">
        <f>IFERROR(__xludf.DUMMYFUNCTION("""COMPUTED_VALUE"""),0.97)</f>
        <v>0.97</v>
      </c>
      <c r="E148" s="1">
        <f>IFERROR(__xludf.DUMMYFUNCTION("""COMPUTED_VALUE"""),0.98)</f>
        <v>0.98</v>
      </c>
      <c r="F148" s="1">
        <f>IFERROR(__xludf.DUMMYFUNCTION("""COMPUTED_VALUE"""),36939.0)</f>
        <v>36939</v>
      </c>
    </row>
    <row r="149">
      <c r="A149" s="2">
        <f>IFERROR(__xludf.DUMMYFUNCTION("""COMPUTED_VALUE"""),39381.666666666664)</f>
        <v>39381.66667</v>
      </c>
      <c r="B149" s="1">
        <f>IFERROR(__xludf.DUMMYFUNCTION("""COMPUTED_VALUE"""),0.99)</f>
        <v>0.99</v>
      </c>
      <c r="C149" s="1">
        <f>IFERROR(__xludf.DUMMYFUNCTION("""COMPUTED_VALUE"""),1.01)</f>
        <v>1.01</v>
      </c>
      <c r="D149" s="1">
        <f>IFERROR(__xludf.DUMMYFUNCTION("""COMPUTED_VALUE"""),0.97)</f>
        <v>0.97</v>
      </c>
      <c r="E149" s="1">
        <f>IFERROR(__xludf.DUMMYFUNCTION("""COMPUTED_VALUE"""),1.0)</f>
        <v>1</v>
      </c>
      <c r="F149" s="1">
        <f>IFERROR(__xludf.DUMMYFUNCTION("""COMPUTED_VALUE"""),94411.0)</f>
        <v>94411</v>
      </c>
    </row>
    <row r="150">
      <c r="A150" s="2">
        <f>IFERROR(__xludf.DUMMYFUNCTION("""COMPUTED_VALUE"""),39384.666666666664)</f>
        <v>39384.66667</v>
      </c>
      <c r="B150" s="1">
        <f>IFERROR(__xludf.DUMMYFUNCTION("""COMPUTED_VALUE"""),1.01)</f>
        <v>1.01</v>
      </c>
      <c r="C150" s="1">
        <f>IFERROR(__xludf.DUMMYFUNCTION("""COMPUTED_VALUE"""),1.02)</f>
        <v>1.02</v>
      </c>
      <c r="D150" s="1">
        <f>IFERROR(__xludf.DUMMYFUNCTION("""COMPUTED_VALUE"""),1.0)</f>
        <v>1</v>
      </c>
      <c r="E150" s="1">
        <f>IFERROR(__xludf.DUMMYFUNCTION("""COMPUTED_VALUE"""),1.01)</f>
        <v>1.01</v>
      </c>
      <c r="F150" s="1">
        <f>IFERROR(__xludf.DUMMYFUNCTION("""COMPUTED_VALUE"""),48326.0)</f>
        <v>48326</v>
      </c>
    </row>
    <row r="151">
      <c r="A151" s="2">
        <f>IFERROR(__xludf.DUMMYFUNCTION("""COMPUTED_VALUE"""),39385.666666666664)</f>
        <v>39385.66667</v>
      </c>
      <c r="B151" s="1">
        <f>IFERROR(__xludf.DUMMYFUNCTION("""COMPUTED_VALUE"""),1.01)</f>
        <v>1.01</v>
      </c>
      <c r="C151" s="1">
        <f>IFERROR(__xludf.DUMMYFUNCTION("""COMPUTED_VALUE"""),1.01)</f>
        <v>1.01</v>
      </c>
      <c r="D151" s="1">
        <f>IFERROR(__xludf.DUMMYFUNCTION("""COMPUTED_VALUE"""),0.99)</f>
        <v>0.99</v>
      </c>
      <c r="E151" s="1">
        <f>IFERROR(__xludf.DUMMYFUNCTION("""COMPUTED_VALUE"""),0.99)</f>
        <v>0.99</v>
      </c>
      <c r="F151" s="1">
        <f>IFERROR(__xludf.DUMMYFUNCTION("""COMPUTED_VALUE"""),34412.0)</f>
        <v>34412</v>
      </c>
    </row>
    <row r="152">
      <c r="A152" s="2">
        <f>IFERROR(__xludf.DUMMYFUNCTION("""COMPUTED_VALUE"""),39386.666666666664)</f>
        <v>39386.66667</v>
      </c>
      <c r="B152" s="1">
        <f>IFERROR(__xludf.DUMMYFUNCTION("""COMPUTED_VALUE"""),1.0)</f>
        <v>1</v>
      </c>
      <c r="C152" s="1">
        <f>IFERROR(__xludf.DUMMYFUNCTION("""COMPUTED_VALUE"""),1.04)</f>
        <v>1.04</v>
      </c>
      <c r="D152" s="1">
        <f>IFERROR(__xludf.DUMMYFUNCTION("""COMPUTED_VALUE"""),1.0)</f>
        <v>1</v>
      </c>
      <c r="E152" s="1">
        <f>IFERROR(__xludf.DUMMYFUNCTION("""COMPUTED_VALUE"""),1.0)</f>
        <v>1</v>
      </c>
      <c r="F152" s="1">
        <f>IFERROR(__xludf.DUMMYFUNCTION("""COMPUTED_VALUE"""),169467.0)</f>
        <v>169467</v>
      </c>
    </row>
    <row r="153">
      <c r="A153" s="2">
        <f>IFERROR(__xludf.DUMMYFUNCTION("""COMPUTED_VALUE"""),39387.666666666664)</f>
        <v>39387.66667</v>
      </c>
      <c r="B153" s="1">
        <f>IFERROR(__xludf.DUMMYFUNCTION("""COMPUTED_VALUE"""),1.0)</f>
        <v>1</v>
      </c>
      <c r="C153" s="1">
        <f>IFERROR(__xludf.DUMMYFUNCTION("""COMPUTED_VALUE"""),1.0)</f>
        <v>1</v>
      </c>
      <c r="D153" s="1">
        <f>IFERROR(__xludf.DUMMYFUNCTION("""COMPUTED_VALUE"""),0.93)</f>
        <v>0.93</v>
      </c>
      <c r="E153" s="1">
        <f>IFERROR(__xludf.DUMMYFUNCTION("""COMPUTED_VALUE"""),0.93)</f>
        <v>0.93</v>
      </c>
      <c r="F153" s="1">
        <f>IFERROR(__xludf.DUMMYFUNCTION("""COMPUTED_VALUE"""),121881.0)</f>
        <v>121881</v>
      </c>
    </row>
    <row r="154">
      <c r="A154" s="2">
        <f>IFERROR(__xludf.DUMMYFUNCTION("""COMPUTED_VALUE"""),39388.666666666664)</f>
        <v>39388.66667</v>
      </c>
      <c r="B154" s="1">
        <f>IFERROR(__xludf.DUMMYFUNCTION("""COMPUTED_VALUE"""),0.9)</f>
        <v>0.9</v>
      </c>
      <c r="C154" s="1">
        <f>IFERROR(__xludf.DUMMYFUNCTION("""COMPUTED_VALUE"""),0.96)</f>
        <v>0.96</v>
      </c>
      <c r="D154" s="1">
        <f>IFERROR(__xludf.DUMMYFUNCTION("""COMPUTED_VALUE"""),0.9)</f>
        <v>0.9</v>
      </c>
      <c r="E154" s="1">
        <f>IFERROR(__xludf.DUMMYFUNCTION("""COMPUTED_VALUE"""),0.95)</f>
        <v>0.95</v>
      </c>
      <c r="F154" s="1">
        <f>IFERROR(__xludf.DUMMYFUNCTION("""COMPUTED_VALUE"""),112526.0)</f>
        <v>112526</v>
      </c>
    </row>
    <row r="155">
      <c r="A155" s="2">
        <f>IFERROR(__xludf.DUMMYFUNCTION("""COMPUTED_VALUE"""),39391.666666666664)</f>
        <v>39391.66667</v>
      </c>
      <c r="B155" s="1">
        <f>IFERROR(__xludf.DUMMYFUNCTION("""COMPUTED_VALUE"""),0.95)</f>
        <v>0.95</v>
      </c>
      <c r="C155" s="1">
        <f>IFERROR(__xludf.DUMMYFUNCTION("""COMPUTED_VALUE"""),0.95)</f>
        <v>0.95</v>
      </c>
      <c r="D155" s="1">
        <f>IFERROR(__xludf.DUMMYFUNCTION("""COMPUTED_VALUE"""),0.85)</f>
        <v>0.85</v>
      </c>
      <c r="E155" s="1">
        <f>IFERROR(__xludf.DUMMYFUNCTION("""COMPUTED_VALUE"""),0.88)</f>
        <v>0.88</v>
      </c>
      <c r="F155" s="1">
        <f>IFERROR(__xludf.DUMMYFUNCTION("""COMPUTED_VALUE"""),302106.0)</f>
        <v>302106</v>
      </c>
    </row>
    <row r="156">
      <c r="A156" s="2">
        <f>IFERROR(__xludf.DUMMYFUNCTION("""COMPUTED_VALUE"""),39392.666666666664)</f>
        <v>39392.66667</v>
      </c>
      <c r="B156" s="1">
        <f>IFERROR(__xludf.DUMMYFUNCTION("""COMPUTED_VALUE"""),0.88)</f>
        <v>0.88</v>
      </c>
      <c r="C156" s="1">
        <f>IFERROR(__xludf.DUMMYFUNCTION("""COMPUTED_VALUE"""),0.91)</f>
        <v>0.91</v>
      </c>
      <c r="D156" s="1">
        <f>IFERROR(__xludf.DUMMYFUNCTION("""COMPUTED_VALUE"""),0.88)</f>
        <v>0.88</v>
      </c>
      <c r="E156" s="1">
        <f>IFERROR(__xludf.DUMMYFUNCTION("""COMPUTED_VALUE"""),0.9)</f>
        <v>0.9</v>
      </c>
      <c r="F156" s="1">
        <f>IFERROR(__xludf.DUMMYFUNCTION("""COMPUTED_VALUE"""),148045.0)</f>
        <v>148045</v>
      </c>
    </row>
    <row r="157">
      <c r="A157" s="2">
        <f>IFERROR(__xludf.DUMMYFUNCTION("""COMPUTED_VALUE"""),39393.666666666664)</f>
        <v>39393.66667</v>
      </c>
      <c r="B157" s="1">
        <f>IFERROR(__xludf.DUMMYFUNCTION("""COMPUTED_VALUE"""),0.9)</f>
        <v>0.9</v>
      </c>
      <c r="C157" s="1">
        <f>IFERROR(__xludf.DUMMYFUNCTION("""COMPUTED_VALUE"""),0.91)</f>
        <v>0.91</v>
      </c>
      <c r="D157" s="1">
        <f>IFERROR(__xludf.DUMMYFUNCTION("""COMPUTED_VALUE"""),0.89)</f>
        <v>0.89</v>
      </c>
      <c r="E157" s="1">
        <f>IFERROR(__xludf.DUMMYFUNCTION("""COMPUTED_VALUE"""),0.9)</f>
        <v>0.9</v>
      </c>
      <c r="F157" s="1">
        <f>IFERROR(__xludf.DUMMYFUNCTION("""COMPUTED_VALUE"""),221489.0)</f>
        <v>221489</v>
      </c>
    </row>
    <row r="158">
      <c r="A158" s="2">
        <f>IFERROR(__xludf.DUMMYFUNCTION("""COMPUTED_VALUE"""),39394.666666666664)</f>
        <v>39394.66667</v>
      </c>
      <c r="B158" s="1">
        <f>IFERROR(__xludf.DUMMYFUNCTION("""COMPUTED_VALUE"""),0.9)</f>
        <v>0.9</v>
      </c>
      <c r="C158" s="1">
        <f>IFERROR(__xludf.DUMMYFUNCTION("""COMPUTED_VALUE"""),0.91)</f>
        <v>0.91</v>
      </c>
      <c r="D158" s="1">
        <f>IFERROR(__xludf.DUMMYFUNCTION("""COMPUTED_VALUE"""),0.82)</f>
        <v>0.82</v>
      </c>
      <c r="E158" s="1">
        <f>IFERROR(__xludf.DUMMYFUNCTION("""COMPUTED_VALUE"""),0.84)</f>
        <v>0.84</v>
      </c>
      <c r="F158" s="1">
        <f>IFERROR(__xludf.DUMMYFUNCTION("""COMPUTED_VALUE"""),315276.0)</f>
        <v>315276</v>
      </c>
    </row>
    <row r="159">
      <c r="A159" s="2">
        <f>IFERROR(__xludf.DUMMYFUNCTION("""COMPUTED_VALUE"""),39395.666666666664)</f>
        <v>39395.66667</v>
      </c>
      <c r="B159" s="1">
        <f>IFERROR(__xludf.DUMMYFUNCTION("""COMPUTED_VALUE"""),0.86)</f>
        <v>0.86</v>
      </c>
      <c r="C159" s="1">
        <f>IFERROR(__xludf.DUMMYFUNCTION("""COMPUTED_VALUE"""),0.86)</f>
        <v>0.86</v>
      </c>
      <c r="D159" s="1">
        <f>IFERROR(__xludf.DUMMYFUNCTION("""COMPUTED_VALUE"""),0.81)</f>
        <v>0.81</v>
      </c>
      <c r="E159" s="1">
        <f>IFERROR(__xludf.DUMMYFUNCTION("""COMPUTED_VALUE"""),0.84)</f>
        <v>0.84</v>
      </c>
      <c r="F159" s="1">
        <f>IFERROR(__xludf.DUMMYFUNCTION("""COMPUTED_VALUE"""),100242.0)</f>
        <v>100242</v>
      </c>
    </row>
    <row r="160">
      <c r="A160" s="2">
        <f>IFERROR(__xludf.DUMMYFUNCTION("""COMPUTED_VALUE"""),39398.666666666664)</f>
        <v>39398.66667</v>
      </c>
      <c r="B160" s="1">
        <f>IFERROR(__xludf.DUMMYFUNCTION("""COMPUTED_VALUE"""),0.84)</f>
        <v>0.84</v>
      </c>
      <c r="C160" s="1">
        <f>IFERROR(__xludf.DUMMYFUNCTION("""COMPUTED_VALUE"""),0.85)</f>
        <v>0.85</v>
      </c>
      <c r="D160" s="1">
        <f>IFERROR(__xludf.DUMMYFUNCTION("""COMPUTED_VALUE"""),0.82)</f>
        <v>0.82</v>
      </c>
      <c r="E160" s="1">
        <f>IFERROR(__xludf.DUMMYFUNCTION("""COMPUTED_VALUE"""),0.83)</f>
        <v>0.83</v>
      </c>
      <c r="F160" s="1">
        <f>IFERROR(__xludf.DUMMYFUNCTION("""COMPUTED_VALUE"""),143850.0)</f>
        <v>143850</v>
      </c>
    </row>
    <row r="161">
      <c r="A161" s="2">
        <f>IFERROR(__xludf.DUMMYFUNCTION("""COMPUTED_VALUE"""),39399.666666666664)</f>
        <v>39399.66667</v>
      </c>
      <c r="B161" s="1">
        <f>IFERROR(__xludf.DUMMYFUNCTION("""COMPUTED_VALUE"""),0.84)</f>
        <v>0.84</v>
      </c>
      <c r="C161" s="1">
        <f>IFERROR(__xludf.DUMMYFUNCTION("""COMPUTED_VALUE"""),0.89)</f>
        <v>0.89</v>
      </c>
      <c r="D161" s="1">
        <f>IFERROR(__xludf.DUMMYFUNCTION("""COMPUTED_VALUE"""),0.84)</f>
        <v>0.84</v>
      </c>
      <c r="E161" s="1">
        <f>IFERROR(__xludf.DUMMYFUNCTION("""COMPUTED_VALUE"""),0.89)</f>
        <v>0.89</v>
      </c>
      <c r="F161" s="1">
        <f>IFERROR(__xludf.DUMMYFUNCTION("""COMPUTED_VALUE"""),283270.0)</f>
        <v>283270</v>
      </c>
    </row>
    <row r="162">
      <c r="A162" s="2">
        <f>IFERROR(__xludf.DUMMYFUNCTION("""COMPUTED_VALUE"""),39400.666666666664)</f>
        <v>39400.66667</v>
      </c>
      <c r="B162" s="1">
        <f>IFERROR(__xludf.DUMMYFUNCTION("""COMPUTED_VALUE"""),0.91)</f>
        <v>0.91</v>
      </c>
      <c r="C162" s="1">
        <f>IFERROR(__xludf.DUMMYFUNCTION("""COMPUTED_VALUE"""),0.91)</f>
        <v>0.91</v>
      </c>
      <c r="D162" s="1">
        <f>IFERROR(__xludf.DUMMYFUNCTION("""COMPUTED_VALUE"""),0.88)</f>
        <v>0.88</v>
      </c>
      <c r="E162" s="1">
        <f>IFERROR(__xludf.DUMMYFUNCTION("""COMPUTED_VALUE"""),0.9)</f>
        <v>0.9</v>
      </c>
      <c r="F162" s="1">
        <f>IFERROR(__xludf.DUMMYFUNCTION("""COMPUTED_VALUE"""),146123.0)</f>
        <v>146123</v>
      </c>
    </row>
    <row r="163">
      <c r="A163" s="2">
        <f>IFERROR(__xludf.DUMMYFUNCTION("""COMPUTED_VALUE"""),39401.666666666664)</f>
        <v>39401.66667</v>
      </c>
      <c r="B163" s="1">
        <f>IFERROR(__xludf.DUMMYFUNCTION("""COMPUTED_VALUE"""),0.9)</f>
        <v>0.9</v>
      </c>
      <c r="C163" s="1">
        <f>IFERROR(__xludf.DUMMYFUNCTION("""COMPUTED_VALUE"""),0.9)</f>
        <v>0.9</v>
      </c>
      <c r="D163" s="1">
        <f>IFERROR(__xludf.DUMMYFUNCTION("""COMPUTED_VALUE"""),0.86)</f>
        <v>0.86</v>
      </c>
      <c r="E163" s="1">
        <f>IFERROR(__xludf.DUMMYFUNCTION("""COMPUTED_VALUE"""),0.88)</f>
        <v>0.88</v>
      </c>
      <c r="F163" s="1">
        <f>IFERROR(__xludf.DUMMYFUNCTION("""COMPUTED_VALUE"""),128896.0)</f>
        <v>128896</v>
      </c>
    </row>
    <row r="164">
      <c r="A164" s="2">
        <f>IFERROR(__xludf.DUMMYFUNCTION("""COMPUTED_VALUE"""),39402.666666666664)</f>
        <v>39402.66667</v>
      </c>
      <c r="B164" s="1">
        <f>IFERROR(__xludf.DUMMYFUNCTION("""COMPUTED_VALUE"""),0.87)</f>
        <v>0.87</v>
      </c>
      <c r="C164" s="1">
        <f>IFERROR(__xludf.DUMMYFUNCTION("""COMPUTED_VALUE"""),0.92)</f>
        <v>0.92</v>
      </c>
      <c r="D164" s="1">
        <f>IFERROR(__xludf.DUMMYFUNCTION("""COMPUTED_VALUE"""),0.87)</f>
        <v>0.87</v>
      </c>
      <c r="E164" s="1">
        <f>IFERROR(__xludf.DUMMYFUNCTION("""COMPUTED_VALUE"""),0.92)</f>
        <v>0.92</v>
      </c>
      <c r="F164" s="1">
        <f>IFERROR(__xludf.DUMMYFUNCTION("""COMPUTED_VALUE"""),334428.0)</f>
        <v>334428</v>
      </c>
    </row>
    <row r="165">
      <c r="A165" s="2">
        <f>IFERROR(__xludf.DUMMYFUNCTION("""COMPUTED_VALUE"""),39405.666666666664)</f>
        <v>39405.66667</v>
      </c>
      <c r="B165" s="1">
        <f>IFERROR(__xludf.DUMMYFUNCTION("""COMPUTED_VALUE"""),0.9)</f>
        <v>0.9</v>
      </c>
      <c r="C165" s="1">
        <f>IFERROR(__xludf.DUMMYFUNCTION("""COMPUTED_VALUE"""),0.93)</f>
        <v>0.93</v>
      </c>
      <c r="D165" s="1">
        <f>IFERROR(__xludf.DUMMYFUNCTION("""COMPUTED_VALUE"""),0.9)</f>
        <v>0.9</v>
      </c>
      <c r="E165" s="1">
        <f>IFERROR(__xludf.DUMMYFUNCTION("""COMPUTED_VALUE"""),0.93)</f>
        <v>0.93</v>
      </c>
      <c r="F165" s="1">
        <f>IFERROR(__xludf.DUMMYFUNCTION("""COMPUTED_VALUE"""),186246.0)</f>
        <v>186246</v>
      </c>
    </row>
    <row r="166">
      <c r="A166" s="2">
        <f>IFERROR(__xludf.DUMMYFUNCTION("""COMPUTED_VALUE"""),39406.666666666664)</f>
        <v>39406.66667</v>
      </c>
      <c r="B166" s="1">
        <f>IFERROR(__xludf.DUMMYFUNCTION("""COMPUTED_VALUE"""),0.92)</f>
        <v>0.92</v>
      </c>
      <c r="C166" s="1">
        <f>IFERROR(__xludf.DUMMYFUNCTION("""COMPUTED_VALUE"""),0.93)</f>
        <v>0.93</v>
      </c>
      <c r="D166" s="1">
        <f>IFERROR(__xludf.DUMMYFUNCTION("""COMPUTED_VALUE"""),0.89)</f>
        <v>0.89</v>
      </c>
      <c r="E166" s="1">
        <f>IFERROR(__xludf.DUMMYFUNCTION("""COMPUTED_VALUE"""),0.93)</f>
        <v>0.93</v>
      </c>
      <c r="F166" s="1">
        <f>IFERROR(__xludf.DUMMYFUNCTION("""COMPUTED_VALUE"""),320966.0)</f>
        <v>320966</v>
      </c>
    </row>
    <row r="167">
      <c r="A167" s="2">
        <f>IFERROR(__xludf.DUMMYFUNCTION("""COMPUTED_VALUE"""),39407.666666666664)</f>
        <v>39407.66667</v>
      </c>
      <c r="B167" s="1">
        <f>IFERROR(__xludf.DUMMYFUNCTION("""COMPUTED_VALUE"""),0.93)</f>
        <v>0.93</v>
      </c>
      <c r="C167" s="1">
        <f>IFERROR(__xludf.DUMMYFUNCTION("""COMPUTED_VALUE"""),0.93)</f>
        <v>0.93</v>
      </c>
      <c r="D167" s="1">
        <f>IFERROR(__xludf.DUMMYFUNCTION("""COMPUTED_VALUE"""),0.89)</f>
        <v>0.89</v>
      </c>
      <c r="E167" s="1">
        <f>IFERROR(__xludf.DUMMYFUNCTION("""COMPUTED_VALUE"""),0.89)</f>
        <v>0.89</v>
      </c>
      <c r="F167" s="1">
        <f>IFERROR(__xludf.DUMMYFUNCTION("""COMPUTED_VALUE"""),174691.0)</f>
        <v>174691</v>
      </c>
    </row>
    <row r="168">
      <c r="A168" s="2">
        <f>IFERROR(__xludf.DUMMYFUNCTION("""COMPUTED_VALUE"""),39409.666666666664)</f>
        <v>39409.66667</v>
      </c>
      <c r="B168" s="1">
        <f>IFERROR(__xludf.DUMMYFUNCTION("""COMPUTED_VALUE"""),0.89)</f>
        <v>0.89</v>
      </c>
      <c r="C168" s="1">
        <f>IFERROR(__xludf.DUMMYFUNCTION("""COMPUTED_VALUE"""),0.89)</f>
        <v>0.89</v>
      </c>
      <c r="D168" s="1">
        <f>IFERROR(__xludf.DUMMYFUNCTION("""COMPUTED_VALUE"""),0.85)</f>
        <v>0.85</v>
      </c>
      <c r="E168" s="1">
        <f>IFERROR(__xludf.DUMMYFUNCTION("""COMPUTED_VALUE"""),0.88)</f>
        <v>0.88</v>
      </c>
      <c r="F168" s="1">
        <f>IFERROR(__xludf.DUMMYFUNCTION("""COMPUTED_VALUE"""),74924.0)</f>
        <v>74924</v>
      </c>
    </row>
    <row r="169">
      <c r="A169" s="2">
        <f>IFERROR(__xludf.DUMMYFUNCTION("""COMPUTED_VALUE"""),39412.666666666664)</f>
        <v>39412.66667</v>
      </c>
      <c r="B169" s="1">
        <f>IFERROR(__xludf.DUMMYFUNCTION("""COMPUTED_VALUE"""),0.87)</f>
        <v>0.87</v>
      </c>
      <c r="C169" s="1">
        <f>IFERROR(__xludf.DUMMYFUNCTION("""COMPUTED_VALUE"""),0.91)</f>
        <v>0.91</v>
      </c>
      <c r="D169" s="1">
        <f>IFERROR(__xludf.DUMMYFUNCTION("""COMPUTED_VALUE"""),0.87)</f>
        <v>0.87</v>
      </c>
      <c r="E169" s="1">
        <f>IFERROR(__xludf.DUMMYFUNCTION("""COMPUTED_VALUE"""),0.89)</f>
        <v>0.89</v>
      </c>
      <c r="F169" s="1">
        <f>IFERROR(__xludf.DUMMYFUNCTION("""COMPUTED_VALUE"""),204484.0)</f>
        <v>204484</v>
      </c>
    </row>
    <row r="170">
      <c r="A170" s="2">
        <f>IFERROR(__xludf.DUMMYFUNCTION("""COMPUTED_VALUE"""),39413.666666666664)</f>
        <v>39413.66667</v>
      </c>
      <c r="B170" s="1">
        <f>IFERROR(__xludf.DUMMYFUNCTION("""COMPUTED_VALUE"""),0.9)</f>
        <v>0.9</v>
      </c>
      <c r="C170" s="1">
        <f>IFERROR(__xludf.DUMMYFUNCTION("""COMPUTED_VALUE"""),0.91)</f>
        <v>0.91</v>
      </c>
      <c r="D170" s="1">
        <f>IFERROR(__xludf.DUMMYFUNCTION("""COMPUTED_VALUE"""),0.88)</f>
        <v>0.88</v>
      </c>
      <c r="E170" s="1">
        <f>IFERROR(__xludf.DUMMYFUNCTION("""COMPUTED_VALUE"""),0.89)</f>
        <v>0.89</v>
      </c>
      <c r="F170" s="1">
        <f>IFERROR(__xludf.DUMMYFUNCTION("""COMPUTED_VALUE"""),239341.0)</f>
        <v>239341</v>
      </c>
    </row>
    <row r="171">
      <c r="A171" s="2">
        <f>IFERROR(__xludf.DUMMYFUNCTION("""COMPUTED_VALUE"""),39414.666666666664)</f>
        <v>39414.66667</v>
      </c>
      <c r="B171" s="1">
        <f>IFERROR(__xludf.DUMMYFUNCTION("""COMPUTED_VALUE"""),0.89)</f>
        <v>0.89</v>
      </c>
      <c r="C171" s="1">
        <f>IFERROR(__xludf.DUMMYFUNCTION("""COMPUTED_VALUE"""),0.9)</f>
        <v>0.9</v>
      </c>
      <c r="D171" s="1">
        <f>IFERROR(__xludf.DUMMYFUNCTION("""COMPUTED_VALUE"""),0.88)</f>
        <v>0.88</v>
      </c>
      <c r="E171" s="1">
        <f>IFERROR(__xludf.DUMMYFUNCTION("""COMPUTED_VALUE"""),0.89)</f>
        <v>0.89</v>
      </c>
      <c r="F171" s="1">
        <f>IFERROR(__xludf.DUMMYFUNCTION("""COMPUTED_VALUE"""),164125.0)</f>
        <v>164125</v>
      </c>
    </row>
    <row r="172">
      <c r="A172" s="2">
        <f>IFERROR(__xludf.DUMMYFUNCTION("""COMPUTED_VALUE"""),39415.666666666664)</f>
        <v>39415.66667</v>
      </c>
      <c r="B172" s="1">
        <f>IFERROR(__xludf.DUMMYFUNCTION("""COMPUTED_VALUE"""),0.88)</f>
        <v>0.88</v>
      </c>
      <c r="C172" s="1">
        <f>IFERROR(__xludf.DUMMYFUNCTION("""COMPUTED_VALUE"""),0.89)</f>
        <v>0.89</v>
      </c>
      <c r="D172" s="1">
        <f>IFERROR(__xludf.DUMMYFUNCTION("""COMPUTED_VALUE"""),0.85)</f>
        <v>0.85</v>
      </c>
      <c r="E172" s="1">
        <f>IFERROR(__xludf.DUMMYFUNCTION("""COMPUTED_VALUE"""),0.87)</f>
        <v>0.87</v>
      </c>
      <c r="F172" s="1">
        <f>IFERROR(__xludf.DUMMYFUNCTION("""COMPUTED_VALUE"""),172744.0)</f>
        <v>172744</v>
      </c>
    </row>
    <row r="173">
      <c r="A173" s="2">
        <f>IFERROR(__xludf.DUMMYFUNCTION("""COMPUTED_VALUE"""),39416.666666666664)</f>
        <v>39416.66667</v>
      </c>
      <c r="B173" s="1">
        <f>IFERROR(__xludf.DUMMYFUNCTION("""COMPUTED_VALUE"""),0.88)</f>
        <v>0.88</v>
      </c>
      <c r="C173" s="1">
        <f>IFERROR(__xludf.DUMMYFUNCTION("""COMPUTED_VALUE"""),0.88)</f>
        <v>0.88</v>
      </c>
      <c r="D173" s="1">
        <f>IFERROR(__xludf.DUMMYFUNCTION("""COMPUTED_VALUE"""),0.83)</f>
        <v>0.83</v>
      </c>
      <c r="E173" s="1">
        <f>IFERROR(__xludf.DUMMYFUNCTION("""COMPUTED_VALUE"""),0.83)</f>
        <v>0.83</v>
      </c>
      <c r="F173" s="1">
        <f>IFERROR(__xludf.DUMMYFUNCTION("""COMPUTED_VALUE"""),218672.0)</f>
        <v>218672</v>
      </c>
    </row>
    <row r="174">
      <c r="A174" s="2">
        <f>IFERROR(__xludf.DUMMYFUNCTION("""COMPUTED_VALUE"""),39419.666666666664)</f>
        <v>39419.66667</v>
      </c>
      <c r="B174" s="1">
        <f>IFERROR(__xludf.DUMMYFUNCTION("""COMPUTED_VALUE"""),0.83)</f>
        <v>0.83</v>
      </c>
      <c r="C174" s="1">
        <f>IFERROR(__xludf.DUMMYFUNCTION("""COMPUTED_VALUE"""),0.85)</f>
        <v>0.85</v>
      </c>
      <c r="D174" s="1">
        <f>IFERROR(__xludf.DUMMYFUNCTION("""COMPUTED_VALUE"""),0.83)</f>
        <v>0.83</v>
      </c>
      <c r="E174" s="1">
        <f>IFERROR(__xludf.DUMMYFUNCTION("""COMPUTED_VALUE"""),0.84)</f>
        <v>0.84</v>
      </c>
      <c r="F174" s="1">
        <f>IFERROR(__xludf.DUMMYFUNCTION("""COMPUTED_VALUE"""),165860.0)</f>
        <v>165860</v>
      </c>
    </row>
    <row r="175">
      <c r="A175" s="2">
        <f>IFERROR(__xludf.DUMMYFUNCTION("""COMPUTED_VALUE"""),39420.666666666664)</f>
        <v>39420.66667</v>
      </c>
      <c r="B175" s="1">
        <f>IFERROR(__xludf.DUMMYFUNCTION("""COMPUTED_VALUE"""),0.84)</f>
        <v>0.84</v>
      </c>
      <c r="C175" s="1">
        <f>IFERROR(__xludf.DUMMYFUNCTION("""COMPUTED_VALUE"""),0.87)</f>
        <v>0.87</v>
      </c>
      <c r="D175" s="1">
        <f>IFERROR(__xludf.DUMMYFUNCTION("""COMPUTED_VALUE"""),0.83)</f>
        <v>0.83</v>
      </c>
      <c r="E175" s="1">
        <f>IFERROR(__xludf.DUMMYFUNCTION("""COMPUTED_VALUE"""),0.85)</f>
        <v>0.85</v>
      </c>
      <c r="F175" s="1">
        <f>IFERROR(__xludf.DUMMYFUNCTION("""COMPUTED_VALUE"""),72707.0)</f>
        <v>72707</v>
      </c>
    </row>
    <row r="176">
      <c r="A176" s="2">
        <f>IFERROR(__xludf.DUMMYFUNCTION("""COMPUTED_VALUE"""),39421.666666666664)</f>
        <v>39421.66667</v>
      </c>
      <c r="B176" s="1">
        <f>IFERROR(__xludf.DUMMYFUNCTION("""COMPUTED_VALUE"""),0.85)</f>
        <v>0.85</v>
      </c>
      <c r="C176" s="1">
        <f>IFERROR(__xludf.DUMMYFUNCTION("""COMPUTED_VALUE"""),0.87)</f>
        <v>0.87</v>
      </c>
      <c r="D176" s="1">
        <f>IFERROR(__xludf.DUMMYFUNCTION("""COMPUTED_VALUE"""),0.85)</f>
        <v>0.85</v>
      </c>
      <c r="E176" s="1">
        <f>IFERROR(__xludf.DUMMYFUNCTION("""COMPUTED_VALUE"""),0.86)</f>
        <v>0.86</v>
      </c>
      <c r="F176" s="1">
        <f>IFERROR(__xludf.DUMMYFUNCTION("""COMPUTED_VALUE"""),72755.0)</f>
        <v>72755</v>
      </c>
    </row>
    <row r="177">
      <c r="A177" s="2">
        <f>IFERROR(__xludf.DUMMYFUNCTION("""COMPUTED_VALUE"""),39422.666666666664)</f>
        <v>39422.66667</v>
      </c>
      <c r="B177" s="1">
        <f>IFERROR(__xludf.DUMMYFUNCTION("""COMPUTED_VALUE"""),0.85)</f>
        <v>0.85</v>
      </c>
      <c r="C177" s="1">
        <f>IFERROR(__xludf.DUMMYFUNCTION("""COMPUTED_VALUE"""),0.9)</f>
        <v>0.9</v>
      </c>
      <c r="D177" s="1">
        <f>IFERROR(__xludf.DUMMYFUNCTION("""COMPUTED_VALUE"""),0.85)</f>
        <v>0.85</v>
      </c>
      <c r="E177" s="1">
        <f>IFERROR(__xludf.DUMMYFUNCTION("""COMPUTED_VALUE"""),0.9)</f>
        <v>0.9</v>
      </c>
      <c r="F177" s="1">
        <f>IFERROR(__xludf.DUMMYFUNCTION("""COMPUTED_VALUE"""),91114.0)</f>
        <v>91114</v>
      </c>
    </row>
    <row r="178">
      <c r="A178" s="2">
        <f>IFERROR(__xludf.DUMMYFUNCTION("""COMPUTED_VALUE"""),39423.666666666664)</f>
        <v>39423.66667</v>
      </c>
      <c r="B178" s="1">
        <f>IFERROR(__xludf.DUMMYFUNCTION("""COMPUTED_VALUE"""),0.9)</f>
        <v>0.9</v>
      </c>
      <c r="C178" s="1">
        <f>IFERROR(__xludf.DUMMYFUNCTION("""COMPUTED_VALUE"""),0.91)</f>
        <v>0.91</v>
      </c>
      <c r="D178" s="1">
        <f>IFERROR(__xludf.DUMMYFUNCTION("""COMPUTED_VALUE"""),0.87)</f>
        <v>0.87</v>
      </c>
      <c r="E178" s="1">
        <f>IFERROR(__xludf.DUMMYFUNCTION("""COMPUTED_VALUE"""),0.89)</f>
        <v>0.89</v>
      </c>
      <c r="F178" s="1">
        <f>IFERROR(__xludf.DUMMYFUNCTION("""COMPUTED_VALUE"""),86329.0)</f>
        <v>86329</v>
      </c>
    </row>
    <row r="179">
      <c r="A179" s="2">
        <f>IFERROR(__xludf.DUMMYFUNCTION("""COMPUTED_VALUE"""),39426.666666666664)</f>
        <v>39426.66667</v>
      </c>
      <c r="B179" s="1">
        <f>IFERROR(__xludf.DUMMYFUNCTION("""COMPUTED_VALUE"""),0.88)</f>
        <v>0.88</v>
      </c>
      <c r="C179" s="1">
        <f>IFERROR(__xludf.DUMMYFUNCTION("""COMPUTED_VALUE"""),0.91)</f>
        <v>0.91</v>
      </c>
      <c r="D179" s="1">
        <f>IFERROR(__xludf.DUMMYFUNCTION("""COMPUTED_VALUE"""),0.88)</f>
        <v>0.88</v>
      </c>
      <c r="E179" s="1">
        <f>IFERROR(__xludf.DUMMYFUNCTION("""COMPUTED_VALUE"""),0.88)</f>
        <v>0.88</v>
      </c>
      <c r="F179" s="1">
        <f>IFERROR(__xludf.DUMMYFUNCTION("""COMPUTED_VALUE"""),68394.0)</f>
        <v>68394</v>
      </c>
    </row>
    <row r="180">
      <c r="A180" s="2">
        <f>IFERROR(__xludf.DUMMYFUNCTION("""COMPUTED_VALUE"""),39427.666666666664)</f>
        <v>39427.66667</v>
      </c>
      <c r="B180" s="1">
        <f>IFERROR(__xludf.DUMMYFUNCTION("""COMPUTED_VALUE"""),0.88)</f>
        <v>0.88</v>
      </c>
      <c r="C180" s="1">
        <f>IFERROR(__xludf.DUMMYFUNCTION("""COMPUTED_VALUE"""),0.89)</f>
        <v>0.89</v>
      </c>
      <c r="D180" s="1">
        <f>IFERROR(__xludf.DUMMYFUNCTION("""COMPUTED_VALUE"""),0.85)</f>
        <v>0.85</v>
      </c>
      <c r="E180" s="1">
        <f>IFERROR(__xludf.DUMMYFUNCTION("""COMPUTED_VALUE"""),0.85)</f>
        <v>0.85</v>
      </c>
      <c r="F180" s="1">
        <f>IFERROR(__xludf.DUMMYFUNCTION("""COMPUTED_VALUE"""),80889.0)</f>
        <v>80889</v>
      </c>
    </row>
    <row r="181">
      <c r="A181" s="2">
        <f>IFERROR(__xludf.DUMMYFUNCTION("""COMPUTED_VALUE"""),39428.666666666664)</f>
        <v>39428.66667</v>
      </c>
      <c r="B181" s="1">
        <f>IFERROR(__xludf.DUMMYFUNCTION("""COMPUTED_VALUE"""),0.86)</f>
        <v>0.86</v>
      </c>
      <c r="C181" s="1">
        <f>IFERROR(__xludf.DUMMYFUNCTION("""COMPUTED_VALUE"""),0.87)</f>
        <v>0.87</v>
      </c>
      <c r="D181" s="1">
        <f>IFERROR(__xludf.DUMMYFUNCTION("""COMPUTED_VALUE"""),0.84)</f>
        <v>0.84</v>
      </c>
      <c r="E181" s="1">
        <f>IFERROR(__xludf.DUMMYFUNCTION("""COMPUTED_VALUE"""),0.85)</f>
        <v>0.85</v>
      </c>
      <c r="F181" s="1">
        <f>IFERROR(__xludf.DUMMYFUNCTION("""COMPUTED_VALUE"""),76227.0)</f>
        <v>76227</v>
      </c>
    </row>
    <row r="182">
      <c r="A182" s="2">
        <f>IFERROR(__xludf.DUMMYFUNCTION("""COMPUTED_VALUE"""),39429.666666666664)</f>
        <v>39429.66667</v>
      </c>
      <c r="B182" s="1">
        <f>IFERROR(__xludf.DUMMYFUNCTION("""COMPUTED_VALUE"""),0.84)</f>
        <v>0.84</v>
      </c>
      <c r="C182" s="1">
        <f>IFERROR(__xludf.DUMMYFUNCTION("""COMPUTED_VALUE"""),0.86)</f>
        <v>0.86</v>
      </c>
      <c r="D182" s="1">
        <f>IFERROR(__xludf.DUMMYFUNCTION("""COMPUTED_VALUE"""),0.83)</f>
        <v>0.83</v>
      </c>
      <c r="E182" s="1">
        <f>IFERROR(__xludf.DUMMYFUNCTION("""COMPUTED_VALUE"""),0.85)</f>
        <v>0.85</v>
      </c>
      <c r="F182" s="1">
        <f>IFERROR(__xludf.DUMMYFUNCTION("""COMPUTED_VALUE"""),71177.0)</f>
        <v>71177</v>
      </c>
    </row>
    <row r="183">
      <c r="A183" s="2">
        <f>IFERROR(__xludf.DUMMYFUNCTION("""COMPUTED_VALUE"""),39430.666666666664)</f>
        <v>39430.66667</v>
      </c>
      <c r="B183" s="1">
        <f>IFERROR(__xludf.DUMMYFUNCTION("""COMPUTED_VALUE"""),0.85)</f>
        <v>0.85</v>
      </c>
      <c r="C183" s="1">
        <f>IFERROR(__xludf.DUMMYFUNCTION("""COMPUTED_VALUE"""),0.86)</f>
        <v>0.86</v>
      </c>
      <c r="D183" s="1">
        <f>IFERROR(__xludf.DUMMYFUNCTION("""COMPUTED_VALUE"""),0.83)</f>
        <v>0.83</v>
      </c>
      <c r="E183" s="1">
        <f>IFERROR(__xludf.DUMMYFUNCTION("""COMPUTED_VALUE"""),0.84)</f>
        <v>0.84</v>
      </c>
      <c r="F183" s="1">
        <f>IFERROR(__xludf.DUMMYFUNCTION("""COMPUTED_VALUE"""),51356.0)</f>
        <v>51356</v>
      </c>
    </row>
    <row r="184">
      <c r="A184" s="2">
        <f>IFERROR(__xludf.DUMMYFUNCTION("""COMPUTED_VALUE"""),39433.666666666664)</f>
        <v>39433.66667</v>
      </c>
      <c r="B184" s="1">
        <f>IFERROR(__xludf.DUMMYFUNCTION("""COMPUTED_VALUE"""),0.84)</f>
        <v>0.84</v>
      </c>
      <c r="C184" s="1">
        <f>IFERROR(__xludf.DUMMYFUNCTION("""COMPUTED_VALUE"""),0.84)</f>
        <v>0.84</v>
      </c>
      <c r="D184" s="1">
        <f>IFERROR(__xludf.DUMMYFUNCTION("""COMPUTED_VALUE"""),0.83)</f>
        <v>0.83</v>
      </c>
      <c r="E184" s="1">
        <f>IFERROR(__xludf.DUMMYFUNCTION("""COMPUTED_VALUE"""),0.83)</f>
        <v>0.83</v>
      </c>
      <c r="F184" s="1">
        <f>IFERROR(__xludf.DUMMYFUNCTION("""COMPUTED_VALUE"""),76654.0)</f>
        <v>76654</v>
      </c>
    </row>
    <row r="185">
      <c r="A185" s="2">
        <f>IFERROR(__xludf.DUMMYFUNCTION("""COMPUTED_VALUE"""),39434.666666666664)</f>
        <v>39434.66667</v>
      </c>
      <c r="B185" s="1">
        <f>IFERROR(__xludf.DUMMYFUNCTION("""COMPUTED_VALUE"""),0.83)</f>
        <v>0.83</v>
      </c>
      <c r="C185" s="1">
        <f>IFERROR(__xludf.DUMMYFUNCTION("""COMPUTED_VALUE"""),0.84)</f>
        <v>0.84</v>
      </c>
      <c r="D185" s="1">
        <f>IFERROR(__xludf.DUMMYFUNCTION("""COMPUTED_VALUE"""),0.82)</f>
        <v>0.82</v>
      </c>
      <c r="E185" s="1">
        <f>IFERROR(__xludf.DUMMYFUNCTION("""COMPUTED_VALUE"""),0.83)</f>
        <v>0.83</v>
      </c>
      <c r="F185" s="1">
        <f>IFERROR(__xludf.DUMMYFUNCTION("""COMPUTED_VALUE"""),37419.0)</f>
        <v>37419</v>
      </c>
    </row>
    <row r="186">
      <c r="A186" s="2">
        <f>IFERROR(__xludf.DUMMYFUNCTION("""COMPUTED_VALUE"""),39435.666666666664)</f>
        <v>39435.66667</v>
      </c>
      <c r="B186" s="1">
        <f>IFERROR(__xludf.DUMMYFUNCTION("""COMPUTED_VALUE"""),0.83)</f>
        <v>0.83</v>
      </c>
      <c r="C186" s="1">
        <f>IFERROR(__xludf.DUMMYFUNCTION("""COMPUTED_VALUE"""),0.84)</f>
        <v>0.84</v>
      </c>
      <c r="D186" s="1">
        <f>IFERROR(__xludf.DUMMYFUNCTION("""COMPUTED_VALUE"""),0.81)</f>
        <v>0.81</v>
      </c>
      <c r="E186" s="1">
        <f>IFERROR(__xludf.DUMMYFUNCTION("""COMPUTED_VALUE"""),0.83)</f>
        <v>0.83</v>
      </c>
      <c r="F186" s="1">
        <f>IFERROR(__xludf.DUMMYFUNCTION("""COMPUTED_VALUE"""),85704.0)</f>
        <v>85704</v>
      </c>
    </row>
    <row r="187">
      <c r="A187" s="2">
        <f>IFERROR(__xludf.DUMMYFUNCTION("""COMPUTED_VALUE"""),39436.666666666664)</f>
        <v>39436.66667</v>
      </c>
      <c r="B187" s="1">
        <f>IFERROR(__xludf.DUMMYFUNCTION("""COMPUTED_VALUE"""),0.84)</f>
        <v>0.84</v>
      </c>
      <c r="C187" s="1">
        <f>IFERROR(__xludf.DUMMYFUNCTION("""COMPUTED_VALUE"""),0.85)</f>
        <v>0.85</v>
      </c>
      <c r="D187" s="1">
        <f>IFERROR(__xludf.DUMMYFUNCTION("""COMPUTED_VALUE"""),0.83)</f>
        <v>0.83</v>
      </c>
      <c r="E187" s="1">
        <f>IFERROR(__xludf.DUMMYFUNCTION("""COMPUTED_VALUE"""),0.85)</f>
        <v>0.85</v>
      </c>
      <c r="F187" s="1">
        <f>IFERROR(__xludf.DUMMYFUNCTION("""COMPUTED_VALUE"""),91236.0)</f>
        <v>91236</v>
      </c>
    </row>
    <row r="188">
      <c r="A188" s="2">
        <f>IFERROR(__xludf.DUMMYFUNCTION("""COMPUTED_VALUE"""),39437.666666666664)</f>
        <v>39437.66667</v>
      </c>
      <c r="B188" s="1">
        <f>IFERROR(__xludf.DUMMYFUNCTION("""COMPUTED_VALUE"""),0.86)</f>
        <v>0.86</v>
      </c>
      <c r="C188" s="1">
        <f>IFERROR(__xludf.DUMMYFUNCTION("""COMPUTED_VALUE"""),0.86)</f>
        <v>0.86</v>
      </c>
      <c r="D188" s="1">
        <f>IFERROR(__xludf.DUMMYFUNCTION("""COMPUTED_VALUE"""),0.83)</f>
        <v>0.83</v>
      </c>
      <c r="E188" s="1">
        <f>IFERROR(__xludf.DUMMYFUNCTION("""COMPUTED_VALUE"""),0.85)</f>
        <v>0.85</v>
      </c>
      <c r="F188" s="1">
        <f>IFERROR(__xludf.DUMMYFUNCTION("""COMPUTED_VALUE"""),120126.0)</f>
        <v>120126</v>
      </c>
    </row>
    <row r="189">
      <c r="A189" s="2">
        <f>IFERROR(__xludf.DUMMYFUNCTION("""COMPUTED_VALUE"""),39440.666666666664)</f>
        <v>39440.66667</v>
      </c>
      <c r="B189" s="1">
        <f>IFERROR(__xludf.DUMMYFUNCTION("""COMPUTED_VALUE"""),0.86)</f>
        <v>0.86</v>
      </c>
      <c r="C189" s="1">
        <f>IFERROR(__xludf.DUMMYFUNCTION("""COMPUTED_VALUE"""),0.86)</f>
        <v>0.86</v>
      </c>
      <c r="D189" s="1">
        <f>IFERROR(__xludf.DUMMYFUNCTION("""COMPUTED_VALUE"""),0.85)</f>
        <v>0.85</v>
      </c>
      <c r="E189" s="1">
        <f>IFERROR(__xludf.DUMMYFUNCTION("""COMPUTED_VALUE"""),0.86)</f>
        <v>0.86</v>
      </c>
      <c r="F189" s="1">
        <f>IFERROR(__xludf.DUMMYFUNCTION("""COMPUTED_VALUE"""),23194.0)</f>
        <v>23194</v>
      </c>
    </row>
    <row r="190">
      <c r="A190" s="2">
        <f>IFERROR(__xludf.DUMMYFUNCTION("""COMPUTED_VALUE"""),39442.666666666664)</f>
        <v>39442.66667</v>
      </c>
      <c r="B190" s="1">
        <f>IFERROR(__xludf.DUMMYFUNCTION("""COMPUTED_VALUE"""),0.85)</f>
        <v>0.85</v>
      </c>
      <c r="C190" s="1">
        <f>IFERROR(__xludf.DUMMYFUNCTION("""COMPUTED_VALUE"""),0.86)</f>
        <v>0.86</v>
      </c>
      <c r="D190" s="1">
        <f>IFERROR(__xludf.DUMMYFUNCTION("""COMPUTED_VALUE"""),0.84)</f>
        <v>0.84</v>
      </c>
      <c r="E190" s="1">
        <f>IFERROR(__xludf.DUMMYFUNCTION("""COMPUTED_VALUE"""),0.86)</f>
        <v>0.86</v>
      </c>
      <c r="F190" s="1">
        <f>IFERROR(__xludf.DUMMYFUNCTION("""COMPUTED_VALUE"""),66179.0)</f>
        <v>66179</v>
      </c>
    </row>
    <row r="191">
      <c r="A191" s="2">
        <f>IFERROR(__xludf.DUMMYFUNCTION("""COMPUTED_VALUE"""),39443.666666666664)</f>
        <v>39443.66667</v>
      </c>
      <c r="B191" s="1">
        <f>IFERROR(__xludf.DUMMYFUNCTION("""COMPUTED_VALUE"""),0.86)</f>
        <v>0.86</v>
      </c>
      <c r="C191" s="1">
        <f>IFERROR(__xludf.DUMMYFUNCTION("""COMPUTED_VALUE"""),0.86)</f>
        <v>0.86</v>
      </c>
      <c r="D191" s="1">
        <f>IFERROR(__xludf.DUMMYFUNCTION("""COMPUTED_VALUE"""),0.84)</f>
        <v>0.84</v>
      </c>
      <c r="E191" s="1">
        <f>IFERROR(__xludf.DUMMYFUNCTION("""COMPUTED_VALUE"""),0.84)</f>
        <v>0.84</v>
      </c>
      <c r="F191" s="1">
        <f>IFERROR(__xludf.DUMMYFUNCTION("""COMPUTED_VALUE"""),37344.0)</f>
        <v>37344</v>
      </c>
    </row>
    <row r="192">
      <c r="A192" s="2">
        <f>IFERROR(__xludf.DUMMYFUNCTION("""COMPUTED_VALUE"""),39444.666666666664)</f>
        <v>39444.66667</v>
      </c>
      <c r="B192" s="1">
        <f>IFERROR(__xludf.DUMMYFUNCTION("""COMPUTED_VALUE"""),0.83)</f>
        <v>0.83</v>
      </c>
      <c r="C192" s="1">
        <f>IFERROR(__xludf.DUMMYFUNCTION("""COMPUTED_VALUE"""),0.84)</f>
        <v>0.84</v>
      </c>
      <c r="D192" s="1">
        <f>IFERROR(__xludf.DUMMYFUNCTION("""COMPUTED_VALUE"""),0.81)</f>
        <v>0.81</v>
      </c>
      <c r="E192" s="1">
        <f>IFERROR(__xludf.DUMMYFUNCTION("""COMPUTED_VALUE"""),0.81)</f>
        <v>0.81</v>
      </c>
      <c r="F192" s="1">
        <f>IFERROR(__xludf.DUMMYFUNCTION("""COMPUTED_VALUE"""),164900.0)</f>
        <v>164900</v>
      </c>
    </row>
    <row r="193">
      <c r="A193" s="2">
        <f>IFERROR(__xludf.DUMMYFUNCTION("""COMPUTED_VALUE"""),39447.666666666664)</f>
        <v>39447.66667</v>
      </c>
      <c r="B193" s="1">
        <f>IFERROR(__xludf.DUMMYFUNCTION("""COMPUTED_VALUE"""),0.82)</f>
        <v>0.82</v>
      </c>
      <c r="C193" s="1">
        <f>IFERROR(__xludf.DUMMYFUNCTION("""COMPUTED_VALUE"""),0.82)</f>
        <v>0.82</v>
      </c>
      <c r="D193" s="1">
        <f>IFERROR(__xludf.DUMMYFUNCTION("""COMPUTED_VALUE"""),0.77)</f>
        <v>0.77</v>
      </c>
      <c r="E193" s="1">
        <f>IFERROR(__xludf.DUMMYFUNCTION("""COMPUTED_VALUE"""),0.77)</f>
        <v>0.77</v>
      </c>
      <c r="F193" s="1">
        <f>IFERROR(__xludf.DUMMYFUNCTION("""COMPUTED_VALUE"""),216785.0)</f>
        <v>216785</v>
      </c>
    </row>
    <row r="194">
      <c r="A194" s="2">
        <f>IFERROR(__xludf.DUMMYFUNCTION("""COMPUTED_VALUE"""),39449.666666666664)</f>
        <v>39449.66667</v>
      </c>
      <c r="B194" s="1">
        <f>IFERROR(__xludf.DUMMYFUNCTION("""COMPUTED_VALUE"""),0.77)</f>
        <v>0.77</v>
      </c>
      <c r="C194" s="1">
        <f>IFERROR(__xludf.DUMMYFUNCTION("""COMPUTED_VALUE"""),0.86)</f>
        <v>0.86</v>
      </c>
      <c r="D194" s="1">
        <f>IFERROR(__xludf.DUMMYFUNCTION("""COMPUTED_VALUE"""),0.77)</f>
        <v>0.77</v>
      </c>
      <c r="E194" s="1">
        <f>IFERROR(__xludf.DUMMYFUNCTION("""COMPUTED_VALUE"""),0.84)</f>
        <v>0.84</v>
      </c>
      <c r="F194" s="1">
        <f>IFERROR(__xludf.DUMMYFUNCTION("""COMPUTED_VALUE"""),168753.0)</f>
        <v>168753</v>
      </c>
    </row>
    <row r="195">
      <c r="A195" s="2">
        <f>IFERROR(__xludf.DUMMYFUNCTION("""COMPUTED_VALUE"""),39450.666666666664)</f>
        <v>39450.66667</v>
      </c>
      <c r="B195" s="1">
        <f>IFERROR(__xludf.DUMMYFUNCTION("""COMPUTED_VALUE"""),0.84)</f>
        <v>0.84</v>
      </c>
      <c r="C195" s="1">
        <f>IFERROR(__xludf.DUMMYFUNCTION("""COMPUTED_VALUE"""),0.91)</f>
        <v>0.91</v>
      </c>
      <c r="D195" s="1">
        <f>IFERROR(__xludf.DUMMYFUNCTION("""COMPUTED_VALUE"""),0.84)</f>
        <v>0.84</v>
      </c>
      <c r="E195" s="1">
        <f>IFERROR(__xludf.DUMMYFUNCTION("""COMPUTED_VALUE"""),0.9)</f>
        <v>0.9</v>
      </c>
      <c r="F195" s="1">
        <f>IFERROR(__xludf.DUMMYFUNCTION("""COMPUTED_VALUE"""),185058.0)</f>
        <v>185058</v>
      </c>
    </row>
    <row r="196">
      <c r="A196" s="2">
        <f>IFERROR(__xludf.DUMMYFUNCTION("""COMPUTED_VALUE"""),39451.666666666664)</f>
        <v>39451.66667</v>
      </c>
      <c r="B196" s="1">
        <f>IFERROR(__xludf.DUMMYFUNCTION("""COMPUTED_VALUE"""),0.9)</f>
        <v>0.9</v>
      </c>
      <c r="C196" s="1">
        <f>IFERROR(__xludf.DUMMYFUNCTION("""COMPUTED_VALUE"""),0.9)</f>
        <v>0.9</v>
      </c>
      <c r="D196" s="1">
        <f>IFERROR(__xludf.DUMMYFUNCTION("""COMPUTED_VALUE"""),0.84)</f>
        <v>0.84</v>
      </c>
      <c r="E196" s="1">
        <f>IFERROR(__xludf.DUMMYFUNCTION("""COMPUTED_VALUE"""),0.87)</f>
        <v>0.87</v>
      </c>
      <c r="F196" s="1">
        <f>IFERROR(__xludf.DUMMYFUNCTION("""COMPUTED_VALUE"""),81557.0)</f>
        <v>81557</v>
      </c>
    </row>
    <row r="197">
      <c r="A197" s="2">
        <f>IFERROR(__xludf.DUMMYFUNCTION("""COMPUTED_VALUE"""),39454.666666666664)</f>
        <v>39454.66667</v>
      </c>
      <c r="B197" s="1">
        <f>IFERROR(__xludf.DUMMYFUNCTION("""COMPUTED_VALUE"""),0.88)</f>
        <v>0.88</v>
      </c>
      <c r="C197" s="1">
        <f>IFERROR(__xludf.DUMMYFUNCTION("""COMPUTED_VALUE"""),0.92)</f>
        <v>0.92</v>
      </c>
      <c r="D197" s="1">
        <f>IFERROR(__xludf.DUMMYFUNCTION("""COMPUTED_VALUE"""),0.87)</f>
        <v>0.87</v>
      </c>
      <c r="E197" s="1">
        <f>IFERROR(__xludf.DUMMYFUNCTION("""COMPUTED_VALUE"""),0.91)</f>
        <v>0.91</v>
      </c>
      <c r="F197" s="1">
        <f>IFERROR(__xludf.DUMMYFUNCTION("""COMPUTED_VALUE"""),233777.0)</f>
        <v>233777</v>
      </c>
    </row>
    <row r="198">
      <c r="A198" s="2">
        <f>IFERROR(__xludf.DUMMYFUNCTION("""COMPUTED_VALUE"""),39455.666666666664)</f>
        <v>39455.66667</v>
      </c>
      <c r="B198" s="1">
        <f>IFERROR(__xludf.DUMMYFUNCTION("""COMPUTED_VALUE"""),0.9)</f>
        <v>0.9</v>
      </c>
      <c r="C198" s="1">
        <f>IFERROR(__xludf.DUMMYFUNCTION("""COMPUTED_VALUE"""),0.92)</f>
        <v>0.92</v>
      </c>
      <c r="D198" s="1">
        <f>IFERROR(__xludf.DUMMYFUNCTION("""COMPUTED_VALUE"""),0.9)</f>
        <v>0.9</v>
      </c>
      <c r="E198" s="1">
        <f>IFERROR(__xludf.DUMMYFUNCTION("""COMPUTED_VALUE"""),0.91)</f>
        <v>0.91</v>
      </c>
      <c r="F198" s="1">
        <f>IFERROR(__xludf.DUMMYFUNCTION("""COMPUTED_VALUE"""),211479.0)</f>
        <v>211479</v>
      </c>
    </row>
    <row r="199">
      <c r="A199" s="2">
        <f>IFERROR(__xludf.DUMMYFUNCTION("""COMPUTED_VALUE"""),39456.666666666664)</f>
        <v>39456.66667</v>
      </c>
      <c r="B199" s="1">
        <f>IFERROR(__xludf.DUMMYFUNCTION("""COMPUTED_VALUE"""),0.9)</f>
        <v>0.9</v>
      </c>
      <c r="C199" s="1">
        <f>IFERROR(__xludf.DUMMYFUNCTION("""COMPUTED_VALUE"""),0.91)</f>
        <v>0.91</v>
      </c>
      <c r="D199" s="1">
        <f>IFERROR(__xludf.DUMMYFUNCTION("""COMPUTED_VALUE"""),0.88)</f>
        <v>0.88</v>
      </c>
      <c r="E199" s="1">
        <f>IFERROR(__xludf.DUMMYFUNCTION("""COMPUTED_VALUE"""),0.91)</f>
        <v>0.91</v>
      </c>
      <c r="F199" s="1">
        <f>IFERROR(__xludf.DUMMYFUNCTION("""COMPUTED_VALUE"""),112722.0)</f>
        <v>112722</v>
      </c>
    </row>
    <row r="200">
      <c r="A200" s="2">
        <f>IFERROR(__xludf.DUMMYFUNCTION("""COMPUTED_VALUE"""),39457.666666666664)</f>
        <v>39457.66667</v>
      </c>
      <c r="B200" s="1">
        <f>IFERROR(__xludf.DUMMYFUNCTION("""COMPUTED_VALUE"""),0.9)</f>
        <v>0.9</v>
      </c>
      <c r="C200" s="1">
        <f>IFERROR(__xludf.DUMMYFUNCTION("""COMPUTED_VALUE"""),0.91)</f>
        <v>0.91</v>
      </c>
      <c r="D200" s="1">
        <f>IFERROR(__xludf.DUMMYFUNCTION("""COMPUTED_VALUE"""),0.9)</f>
        <v>0.9</v>
      </c>
      <c r="E200" s="1">
        <f>IFERROR(__xludf.DUMMYFUNCTION("""COMPUTED_VALUE"""),0.91)</f>
        <v>0.91</v>
      </c>
      <c r="F200" s="1">
        <f>IFERROR(__xludf.DUMMYFUNCTION("""COMPUTED_VALUE"""),95718.0)</f>
        <v>95718</v>
      </c>
    </row>
    <row r="201">
      <c r="A201" s="2">
        <f>IFERROR(__xludf.DUMMYFUNCTION("""COMPUTED_VALUE"""),39458.666666666664)</f>
        <v>39458.66667</v>
      </c>
      <c r="B201" s="1">
        <f>IFERROR(__xludf.DUMMYFUNCTION("""COMPUTED_VALUE"""),0.9)</f>
        <v>0.9</v>
      </c>
      <c r="C201" s="1">
        <f>IFERROR(__xludf.DUMMYFUNCTION("""COMPUTED_VALUE"""),0.9)</f>
        <v>0.9</v>
      </c>
      <c r="D201" s="1">
        <f>IFERROR(__xludf.DUMMYFUNCTION("""COMPUTED_VALUE"""),0.87)</f>
        <v>0.87</v>
      </c>
      <c r="E201" s="1">
        <f>IFERROR(__xludf.DUMMYFUNCTION("""COMPUTED_VALUE"""),0.88)</f>
        <v>0.88</v>
      </c>
      <c r="F201" s="1">
        <f>IFERROR(__xludf.DUMMYFUNCTION("""COMPUTED_VALUE"""),98249.0)</f>
        <v>98249</v>
      </c>
    </row>
    <row r="202">
      <c r="A202" s="2">
        <f>IFERROR(__xludf.DUMMYFUNCTION("""COMPUTED_VALUE"""),39461.666666666664)</f>
        <v>39461.66667</v>
      </c>
      <c r="B202" s="1">
        <f>IFERROR(__xludf.DUMMYFUNCTION("""COMPUTED_VALUE"""),0.89)</f>
        <v>0.89</v>
      </c>
      <c r="C202" s="1">
        <f>IFERROR(__xludf.DUMMYFUNCTION("""COMPUTED_VALUE"""),0.9)</f>
        <v>0.9</v>
      </c>
      <c r="D202" s="1">
        <f>IFERROR(__xludf.DUMMYFUNCTION("""COMPUTED_VALUE"""),0.86)</f>
        <v>0.86</v>
      </c>
      <c r="E202" s="1">
        <f>IFERROR(__xludf.DUMMYFUNCTION("""COMPUTED_VALUE"""),0.86)</f>
        <v>0.86</v>
      </c>
      <c r="F202" s="1">
        <f>IFERROR(__xludf.DUMMYFUNCTION("""COMPUTED_VALUE"""),108580.0)</f>
        <v>108580</v>
      </c>
    </row>
    <row r="203">
      <c r="A203" s="2">
        <f>IFERROR(__xludf.DUMMYFUNCTION("""COMPUTED_VALUE"""),39462.666666666664)</f>
        <v>39462.66667</v>
      </c>
      <c r="B203" s="1">
        <f>IFERROR(__xludf.DUMMYFUNCTION("""COMPUTED_VALUE"""),0.86)</f>
        <v>0.86</v>
      </c>
      <c r="C203" s="1">
        <f>IFERROR(__xludf.DUMMYFUNCTION("""COMPUTED_VALUE"""),0.87)</f>
        <v>0.87</v>
      </c>
      <c r="D203" s="1">
        <f>IFERROR(__xludf.DUMMYFUNCTION("""COMPUTED_VALUE"""),0.84)</f>
        <v>0.84</v>
      </c>
      <c r="E203" s="1">
        <f>IFERROR(__xludf.DUMMYFUNCTION("""COMPUTED_VALUE"""),0.85)</f>
        <v>0.85</v>
      </c>
      <c r="F203" s="1">
        <f>IFERROR(__xludf.DUMMYFUNCTION("""COMPUTED_VALUE"""),73087.0)</f>
        <v>73087</v>
      </c>
    </row>
    <row r="204">
      <c r="A204" s="2">
        <f>IFERROR(__xludf.DUMMYFUNCTION("""COMPUTED_VALUE"""),39463.666666666664)</f>
        <v>39463.66667</v>
      </c>
      <c r="B204" s="1">
        <f>IFERROR(__xludf.DUMMYFUNCTION("""COMPUTED_VALUE"""),0.85)</f>
        <v>0.85</v>
      </c>
      <c r="C204" s="1">
        <f>IFERROR(__xludf.DUMMYFUNCTION("""COMPUTED_VALUE"""),0.89)</f>
        <v>0.89</v>
      </c>
      <c r="D204" s="1">
        <f>IFERROR(__xludf.DUMMYFUNCTION("""COMPUTED_VALUE"""),0.83)</f>
        <v>0.83</v>
      </c>
      <c r="E204" s="1">
        <f>IFERROR(__xludf.DUMMYFUNCTION("""COMPUTED_VALUE"""),0.88)</f>
        <v>0.88</v>
      </c>
      <c r="F204" s="1">
        <f>IFERROR(__xludf.DUMMYFUNCTION("""COMPUTED_VALUE"""),120141.0)</f>
        <v>120141</v>
      </c>
    </row>
    <row r="205">
      <c r="A205" s="2">
        <f>IFERROR(__xludf.DUMMYFUNCTION("""COMPUTED_VALUE"""),39464.666666666664)</f>
        <v>39464.66667</v>
      </c>
      <c r="B205" s="1">
        <f>IFERROR(__xludf.DUMMYFUNCTION("""COMPUTED_VALUE"""),0.87)</f>
        <v>0.87</v>
      </c>
      <c r="C205" s="1">
        <f>IFERROR(__xludf.DUMMYFUNCTION("""COMPUTED_VALUE"""),0.88)</f>
        <v>0.88</v>
      </c>
      <c r="D205" s="1">
        <f>IFERROR(__xludf.DUMMYFUNCTION("""COMPUTED_VALUE"""),0.82)</f>
        <v>0.82</v>
      </c>
      <c r="E205" s="1">
        <f>IFERROR(__xludf.DUMMYFUNCTION("""COMPUTED_VALUE"""),0.82)</f>
        <v>0.82</v>
      </c>
      <c r="F205" s="1">
        <f>IFERROR(__xludf.DUMMYFUNCTION("""COMPUTED_VALUE"""),102762.0)</f>
        <v>102762</v>
      </c>
    </row>
    <row r="206">
      <c r="A206" s="2">
        <f>IFERROR(__xludf.DUMMYFUNCTION("""COMPUTED_VALUE"""),39465.666666666664)</f>
        <v>39465.66667</v>
      </c>
      <c r="B206" s="1">
        <f>IFERROR(__xludf.DUMMYFUNCTION("""COMPUTED_VALUE"""),0.83)</f>
        <v>0.83</v>
      </c>
      <c r="C206" s="1">
        <f>IFERROR(__xludf.DUMMYFUNCTION("""COMPUTED_VALUE"""),0.83)</f>
        <v>0.83</v>
      </c>
      <c r="D206" s="1">
        <f>IFERROR(__xludf.DUMMYFUNCTION("""COMPUTED_VALUE"""),0.81)</f>
        <v>0.81</v>
      </c>
      <c r="E206" s="1">
        <f>IFERROR(__xludf.DUMMYFUNCTION("""COMPUTED_VALUE"""),0.83)</f>
        <v>0.83</v>
      </c>
      <c r="F206" s="1">
        <f>IFERROR(__xludf.DUMMYFUNCTION("""COMPUTED_VALUE"""),125420.0)</f>
        <v>125420</v>
      </c>
    </row>
    <row r="207">
      <c r="A207" s="2">
        <f>IFERROR(__xludf.DUMMYFUNCTION("""COMPUTED_VALUE"""),39469.666666666664)</f>
        <v>39469.66667</v>
      </c>
      <c r="B207" s="1">
        <f>IFERROR(__xludf.DUMMYFUNCTION("""COMPUTED_VALUE"""),0.77)</f>
        <v>0.77</v>
      </c>
      <c r="C207" s="1">
        <f>IFERROR(__xludf.DUMMYFUNCTION("""COMPUTED_VALUE"""),0.83)</f>
        <v>0.83</v>
      </c>
      <c r="D207" s="1">
        <f>IFERROR(__xludf.DUMMYFUNCTION("""COMPUTED_VALUE"""),0.77)</f>
        <v>0.77</v>
      </c>
      <c r="E207" s="1">
        <f>IFERROR(__xludf.DUMMYFUNCTION("""COMPUTED_VALUE"""),0.83)</f>
        <v>0.83</v>
      </c>
      <c r="F207" s="1">
        <f>IFERROR(__xludf.DUMMYFUNCTION("""COMPUTED_VALUE"""),245528.0)</f>
        <v>245528</v>
      </c>
    </row>
    <row r="208">
      <c r="A208" s="2">
        <f>IFERROR(__xludf.DUMMYFUNCTION("""COMPUTED_VALUE"""),39470.666666666664)</f>
        <v>39470.66667</v>
      </c>
      <c r="B208" s="1">
        <f>IFERROR(__xludf.DUMMYFUNCTION("""COMPUTED_VALUE"""),0.81)</f>
        <v>0.81</v>
      </c>
      <c r="C208" s="1">
        <f>IFERROR(__xludf.DUMMYFUNCTION("""COMPUTED_VALUE"""),0.84)</f>
        <v>0.84</v>
      </c>
      <c r="D208" s="1">
        <f>IFERROR(__xludf.DUMMYFUNCTION("""COMPUTED_VALUE"""),0.79)</f>
        <v>0.79</v>
      </c>
      <c r="E208" s="1">
        <f>IFERROR(__xludf.DUMMYFUNCTION("""COMPUTED_VALUE"""),0.83)</f>
        <v>0.83</v>
      </c>
      <c r="F208" s="1">
        <f>IFERROR(__xludf.DUMMYFUNCTION("""COMPUTED_VALUE"""),116236.0)</f>
        <v>116236</v>
      </c>
    </row>
    <row r="209">
      <c r="A209" s="2">
        <f>IFERROR(__xludf.DUMMYFUNCTION("""COMPUTED_VALUE"""),39471.666666666664)</f>
        <v>39471.66667</v>
      </c>
      <c r="B209" s="1">
        <f>IFERROR(__xludf.DUMMYFUNCTION("""COMPUTED_VALUE"""),0.83)</f>
        <v>0.83</v>
      </c>
      <c r="C209" s="1">
        <f>IFERROR(__xludf.DUMMYFUNCTION("""COMPUTED_VALUE"""),0.83)</f>
        <v>0.83</v>
      </c>
      <c r="D209" s="1">
        <f>IFERROR(__xludf.DUMMYFUNCTION("""COMPUTED_VALUE"""),0.8)</f>
        <v>0.8</v>
      </c>
      <c r="E209" s="1">
        <f>IFERROR(__xludf.DUMMYFUNCTION("""COMPUTED_VALUE"""),0.81)</f>
        <v>0.81</v>
      </c>
      <c r="F209" s="1">
        <f>IFERROR(__xludf.DUMMYFUNCTION("""COMPUTED_VALUE"""),98121.0)</f>
        <v>98121</v>
      </c>
    </row>
    <row r="210">
      <c r="A210" s="2">
        <f>IFERROR(__xludf.DUMMYFUNCTION("""COMPUTED_VALUE"""),39472.666666666664)</f>
        <v>39472.66667</v>
      </c>
      <c r="B210" s="1">
        <f>IFERROR(__xludf.DUMMYFUNCTION("""COMPUTED_VALUE"""),0.81)</f>
        <v>0.81</v>
      </c>
      <c r="C210" s="1">
        <f>IFERROR(__xludf.DUMMYFUNCTION("""COMPUTED_VALUE"""),0.83)</f>
        <v>0.83</v>
      </c>
      <c r="D210" s="1">
        <f>IFERROR(__xludf.DUMMYFUNCTION("""COMPUTED_VALUE"""),0.81)</f>
        <v>0.81</v>
      </c>
      <c r="E210" s="1">
        <f>IFERROR(__xludf.DUMMYFUNCTION("""COMPUTED_VALUE"""),0.83)</f>
        <v>0.83</v>
      </c>
      <c r="F210" s="1">
        <f>IFERROR(__xludf.DUMMYFUNCTION("""COMPUTED_VALUE"""),83991.0)</f>
        <v>83991</v>
      </c>
    </row>
    <row r="211">
      <c r="A211" s="2">
        <f>IFERROR(__xludf.DUMMYFUNCTION("""COMPUTED_VALUE"""),39475.666666666664)</f>
        <v>39475.66667</v>
      </c>
      <c r="B211" s="1">
        <f>IFERROR(__xludf.DUMMYFUNCTION("""COMPUTED_VALUE"""),0.82)</f>
        <v>0.82</v>
      </c>
      <c r="C211" s="1">
        <f>IFERROR(__xludf.DUMMYFUNCTION("""COMPUTED_VALUE"""),0.85)</f>
        <v>0.85</v>
      </c>
      <c r="D211" s="1">
        <f>IFERROR(__xludf.DUMMYFUNCTION("""COMPUTED_VALUE"""),0.82)</f>
        <v>0.82</v>
      </c>
      <c r="E211" s="1">
        <f>IFERROR(__xludf.DUMMYFUNCTION("""COMPUTED_VALUE"""),0.85)</f>
        <v>0.85</v>
      </c>
      <c r="F211" s="1">
        <f>IFERROR(__xludf.DUMMYFUNCTION("""COMPUTED_VALUE"""),50386.0)</f>
        <v>50386</v>
      </c>
    </row>
    <row r="212">
      <c r="A212" s="2">
        <f>IFERROR(__xludf.DUMMYFUNCTION("""COMPUTED_VALUE"""),39476.666666666664)</f>
        <v>39476.66667</v>
      </c>
      <c r="B212" s="1">
        <f>IFERROR(__xludf.DUMMYFUNCTION("""COMPUTED_VALUE"""),0.85)</f>
        <v>0.85</v>
      </c>
      <c r="C212" s="1">
        <f>IFERROR(__xludf.DUMMYFUNCTION("""COMPUTED_VALUE"""),0.85)</f>
        <v>0.85</v>
      </c>
      <c r="D212" s="1">
        <f>IFERROR(__xludf.DUMMYFUNCTION("""COMPUTED_VALUE"""),0.82)</f>
        <v>0.82</v>
      </c>
      <c r="E212" s="1">
        <f>IFERROR(__xludf.DUMMYFUNCTION("""COMPUTED_VALUE"""),0.83)</f>
        <v>0.83</v>
      </c>
      <c r="F212" s="1">
        <f>IFERROR(__xludf.DUMMYFUNCTION("""COMPUTED_VALUE"""),57001.0)</f>
        <v>57001</v>
      </c>
    </row>
    <row r="213">
      <c r="A213" s="2">
        <f>IFERROR(__xludf.DUMMYFUNCTION("""COMPUTED_VALUE"""),39477.666666666664)</f>
        <v>39477.66667</v>
      </c>
      <c r="B213" s="1">
        <f>IFERROR(__xludf.DUMMYFUNCTION("""COMPUTED_VALUE"""),0.83)</f>
        <v>0.83</v>
      </c>
      <c r="C213" s="1">
        <f>IFERROR(__xludf.DUMMYFUNCTION("""COMPUTED_VALUE"""),0.85)</f>
        <v>0.85</v>
      </c>
      <c r="D213" s="1">
        <f>IFERROR(__xludf.DUMMYFUNCTION("""COMPUTED_VALUE"""),0.81)</f>
        <v>0.81</v>
      </c>
      <c r="E213" s="1">
        <f>IFERROR(__xludf.DUMMYFUNCTION("""COMPUTED_VALUE"""),0.83)</f>
        <v>0.83</v>
      </c>
      <c r="F213" s="1">
        <f>IFERROR(__xludf.DUMMYFUNCTION("""COMPUTED_VALUE"""),62796.0)</f>
        <v>62796</v>
      </c>
    </row>
    <row r="214">
      <c r="A214" s="2">
        <f>IFERROR(__xludf.DUMMYFUNCTION("""COMPUTED_VALUE"""),39478.666666666664)</f>
        <v>39478.66667</v>
      </c>
      <c r="B214" s="1">
        <f>IFERROR(__xludf.DUMMYFUNCTION("""COMPUTED_VALUE"""),0.86)</f>
        <v>0.86</v>
      </c>
      <c r="C214" s="1">
        <f>IFERROR(__xludf.DUMMYFUNCTION("""COMPUTED_VALUE"""),1.0)</f>
        <v>1</v>
      </c>
      <c r="D214" s="1">
        <f>IFERROR(__xludf.DUMMYFUNCTION("""COMPUTED_VALUE"""),0.86)</f>
        <v>0.86</v>
      </c>
      <c r="E214" s="1">
        <f>IFERROR(__xludf.DUMMYFUNCTION("""COMPUTED_VALUE"""),0.95)</f>
        <v>0.95</v>
      </c>
      <c r="F214" s="1">
        <f>IFERROR(__xludf.DUMMYFUNCTION("""COMPUTED_VALUE"""),488936.0)</f>
        <v>488936</v>
      </c>
    </row>
    <row r="215">
      <c r="A215" s="2">
        <f>IFERROR(__xludf.DUMMYFUNCTION("""COMPUTED_VALUE"""),39479.666666666664)</f>
        <v>39479.66667</v>
      </c>
      <c r="B215" s="1">
        <f>IFERROR(__xludf.DUMMYFUNCTION("""COMPUTED_VALUE"""),0.94)</f>
        <v>0.94</v>
      </c>
      <c r="C215" s="1">
        <f>IFERROR(__xludf.DUMMYFUNCTION("""COMPUTED_VALUE"""),0.97)</f>
        <v>0.97</v>
      </c>
      <c r="D215" s="1">
        <f>IFERROR(__xludf.DUMMYFUNCTION("""COMPUTED_VALUE"""),0.93)</f>
        <v>0.93</v>
      </c>
      <c r="E215" s="1">
        <f>IFERROR(__xludf.DUMMYFUNCTION("""COMPUTED_VALUE"""),0.96)</f>
        <v>0.96</v>
      </c>
      <c r="F215" s="1">
        <f>IFERROR(__xludf.DUMMYFUNCTION("""COMPUTED_VALUE"""),240644.0)</f>
        <v>240644</v>
      </c>
    </row>
    <row r="216">
      <c r="A216" s="2">
        <f>IFERROR(__xludf.DUMMYFUNCTION("""COMPUTED_VALUE"""),39482.666666666664)</f>
        <v>39482.66667</v>
      </c>
      <c r="B216" s="1">
        <f>IFERROR(__xludf.DUMMYFUNCTION("""COMPUTED_VALUE"""),0.95)</f>
        <v>0.95</v>
      </c>
      <c r="C216" s="1">
        <f>IFERROR(__xludf.DUMMYFUNCTION("""COMPUTED_VALUE"""),0.95)</f>
        <v>0.95</v>
      </c>
      <c r="D216" s="1">
        <f>IFERROR(__xludf.DUMMYFUNCTION("""COMPUTED_VALUE"""),0.9)</f>
        <v>0.9</v>
      </c>
      <c r="E216" s="1">
        <f>IFERROR(__xludf.DUMMYFUNCTION("""COMPUTED_VALUE"""),0.9)</f>
        <v>0.9</v>
      </c>
      <c r="F216" s="1">
        <f>IFERROR(__xludf.DUMMYFUNCTION("""COMPUTED_VALUE"""),266902.0)</f>
        <v>266902</v>
      </c>
    </row>
    <row r="217">
      <c r="A217" s="2">
        <f>IFERROR(__xludf.DUMMYFUNCTION("""COMPUTED_VALUE"""),39483.666666666664)</f>
        <v>39483.66667</v>
      </c>
      <c r="B217" s="1">
        <f>IFERROR(__xludf.DUMMYFUNCTION("""COMPUTED_VALUE"""),0.89)</f>
        <v>0.89</v>
      </c>
      <c r="C217" s="1">
        <f>IFERROR(__xludf.DUMMYFUNCTION("""COMPUTED_VALUE"""),0.91)</f>
        <v>0.91</v>
      </c>
      <c r="D217" s="1">
        <f>IFERROR(__xludf.DUMMYFUNCTION("""COMPUTED_VALUE"""),0.86)</f>
        <v>0.86</v>
      </c>
      <c r="E217" s="1">
        <f>IFERROR(__xludf.DUMMYFUNCTION("""COMPUTED_VALUE"""),0.88)</f>
        <v>0.88</v>
      </c>
      <c r="F217" s="1">
        <f>IFERROR(__xludf.DUMMYFUNCTION("""COMPUTED_VALUE"""),161359.0)</f>
        <v>161359</v>
      </c>
    </row>
    <row r="218">
      <c r="A218" s="2">
        <f>IFERROR(__xludf.DUMMYFUNCTION("""COMPUTED_VALUE"""),39484.666666666664)</f>
        <v>39484.66667</v>
      </c>
      <c r="B218" s="1">
        <f>IFERROR(__xludf.DUMMYFUNCTION("""COMPUTED_VALUE"""),0.89)</f>
        <v>0.89</v>
      </c>
      <c r="C218" s="1">
        <f>IFERROR(__xludf.DUMMYFUNCTION("""COMPUTED_VALUE"""),0.91)</f>
        <v>0.91</v>
      </c>
      <c r="D218" s="1">
        <f>IFERROR(__xludf.DUMMYFUNCTION("""COMPUTED_VALUE"""),0.88)</f>
        <v>0.88</v>
      </c>
      <c r="E218" s="1">
        <f>IFERROR(__xludf.DUMMYFUNCTION("""COMPUTED_VALUE"""),0.9)</f>
        <v>0.9</v>
      </c>
      <c r="F218" s="1">
        <f>IFERROR(__xludf.DUMMYFUNCTION("""COMPUTED_VALUE"""),172430.0)</f>
        <v>172430</v>
      </c>
    </row>
    <row r="219">
      <c r="A219" s="2">
        <f>IFERROR(__xludf.DUMMYFUNCTION("""COMPUTED_VALUE"""),39485.666666666664)</f>
        <v>39485.66667</v>
      </c>
      <c r="B219" s="1">
        <f>IFERROR(__xludf.DUMMYFUNCTION("""COMPUTED_VALUE"""),0.89)</f>
        <v>0.89</v>
      </c>
      <c r="C219" s="1">
        <f>IFERROR(__xludf.DUMMYFUNCTION("""COMPUTED_VALUE"""),0.9)</f>
        <v>0.9</v>
      </c>
      <c r="D219" s="1">
        <f>IFERROR(__xludf.DUMMYFUNCTION("""COMPUTED_VALUE"""),0.88)</f>
        <v>0.88</v>
      </c>
      <c r="E219" s="1">
        <f>IFERROR(__xludf.DUMMYFUNCTION("""COMPUTED_VALUE"""),0.9)</f>
        <v>0.9</v>
      </c>
      <c r="F219" s="1">
        <f>IFERROR(__xludf.DUMMYFUNCTION("""COMPUTED_VALUE"""),119862.0)</f>
        <v>119862</v>
      </c>
    </row>
    <row r="220">
      <c r="A220" s="2">
        <f>IFERROR(__xludf.DUMMYFUNCTION("""COMPUTED_VALUE"""),39486.666666666664)</f>
        <v>39486.66667</v>
      </c>
      <c r="B220" s="1">
        <f>IFERROR(__xludf.DUMMYFUNCTION("""COMPUTED_VALUE"""),0.88)</f>
        <v>0.88</v>
      </c>
      <c r="C220" s="1">
        <f>IFERROR(__xludf.DUMMYFUNCTION("""COMPUTED_VALUE"""),0.9)</f>
        <v>0.9</v>
      </c>
      <c r="D220" s="1">
        <f>IFERROR(__xludf.DUMMYFUNCTION("""COMPUTED_VALUE"""),0.88)</f>
        <v>0.88</v>
      </c>
      <c r="E220" s="1">
        <f>IFERROR(__xludf.DUMMYFUNCTION("""COMPUTED_VALUE"""),0.88)</f>
        <v>0.88</v>
      </c>
      <c r="F220" s="1">
        <f>IFERROR(__xludf.DUMMYFUNCTION("""COMPUTED_VALUE"""),43660.0)</f>
        <v>43660</v>
      </c>
    </row>
    <row r="221">
      <c r="A221" s="2">
        <f>IFERROR(__xludf.DUMMYFUNCTION("""COMPUTED_VALUE"""),39489.666666666664)</f>
        <v>39489.66667</v>
      </c>
      <c r="B221" s="1">
        <f>IFERROR(__xludf.DUMMYFUNCTION("""COMPUTED_VALUE"""),0.89)</f>
        <v>0.89</v>
      </c>
      <c r="C221" s="1">
        <f>IFERROR(__xludf.DUMMYFUNCTION("""COMPUTED_VALUE"""),0.92)</f>
        <v>0.92</v>
      </c>
      <c r="D221" s="1">
        <f>IFERROR(__xludf.DUMMYFUNCTION("""COMPUTED_VALUE"""),0.89)</f>
        <v>0.89</v>
      </c>
      <c r="E221" s="1">
        <f>IFERROR(__xludf.DUMMYFUNCTION("""COMPUTED_VALUE"""),0.91)</f>
        <v>0.91</v>
      </c>
      <c r="F221" s="1">
        <f>IFERROR(__xludf.DUMMYFUNCTION("""COMPUTED_VALUE"""),145072.0)</f>
        <v>145072</v>
      </c>
    </row>
    <row r="222">
      <c r="A222" s="2">
        <f>IFERROR(__xludf.DUMMYFUNCTION("""COMPUTED_VALUE"""),39490.666666666664)</f>
        <v>39490.66667</v>
      </c>
      <c r="B222" s="1">
        <f>IFERROR(__xludf.DUMMYFUNCTION("""COMPUTED_VALUE"""),0.91)</f>
        <v>0.91</v>
      </c>
      <c r="C222" s="1">
        <f>IFERROR(__xludf.DUMMYFUNCTION("""COMPUTED_VALUE"""),0.91)</f>
        <v>0.91</v>
      </c>
      <c r="D222" s="1">
        <f>IFERROR(__xludf.DUMMYFUNCTION("""COMPUTED_VALUE"""),0.89)</f>
        <v>0.89</v>
      </c>
      <c r="E222" s="1">
        <f>IFERROR(__xludf.DUMMYFUNCTION("""COMPUTED_VALUE"""),0.9)</f>
        <v>0.9</v>
      </c>
      <c r="F222" s="1">
        <f>IFERROR(__xludf.DUMMYFUNCTION("""COMPUTED_VALUE"""),132972.0)</f>
        <v>132972</v>
      </c>
    </row>
    <row r="223">
      <c r="A223" s="2">
        <f>IFERROR(__xludf.DUMMYFUNCTION("""COMPUTED_VALUE"""),39491.666666666664)</f>
        <v>39491.66667</v>
      </c>
      <c r="B223" s="1">
        <f>IFERROR(__xludf.DUMMYFUNCTION("""COMPUTED_VALUE"""),0.91)</f>
        <v>0.91</v>
      </c>
      <c r="C223" s="1">
        <f>IFERROR(__xludf.DUMMYFUNCTION("""COMPUTED_VALUE"""),0.91)</f>
        <v>0.91</v>
      </c>
      <c r="D223" s="1">
        <f>IFERROR(__xludf.DUMMYFUNCTION("""COMPUTED_VALUE"""),0.9)</f>
        <v>0.9</v>
      </c>
      <c r="E223" s="1">
        <f>IFERROR(__xludf.DUMMYFUNCTION("""COMPUTED_VALUE"""),0.9)</f>
        <v>0.9</v>
      </c>
      <c r="F223" s="1">
        <f>IFERROR(__xludf.DUMMYFUNCTION("""COMPUTED_VALUE"""),148579.0)</f>
        <v>148579</v>
      </c>
    </row>
    <row r="224">
      <c r="A224" s="2">
        <f>IFERROR(__xludf.DUMMYFUNCTION("""COMPUTED_VALUE"""),39492.666666666664)</f>
        <v>39492.66667</v>
      </c>
      <c r="B224" s="1">
        <f>IFERROR(__xludf.DUMMYFUNCTION("""COMPUTED_VALUE"""),0.9)</f>
        <v>0.9</v>
      </c>
      <c r="C224" s="1">
        <f>IFERROR(__xludf.DUMMYFUNCTION("""COMPUTED_VALUE"""),0.91)</f>
        <v>0.91</v>
      </c>
      <c r="D224" s="1">
        <f>IFERROR(__xludf.DUMMYFUNCTION("""COMPUTED_VALUE"""),0.89)</f>
        <v>0.89</v>
      </c>
      <c r="E224" s="1">
        <f>IFERROR(__xludf.DUMMYFUNCTION("""COMPUTED_VALUE"""),0.9)</f>
        <v>0.9</v>
      </c>
      <c r="F224" s="1">
        <f>IFERROR(__xludf.DUMMYFUNCTION("""COMPUTED_VALUE"""),122393.0)</f>
        <v>122393</v>
      </c>
    </row>
    <row r="225">
      <c r="A225" s="2">
        <f>IFERROR(__xludf.DUMMYFUNCTION("""COMPUTED_VALUE"""),39493.666666666664)</f>
        <v>39493.66667</v>
      </c>
      <c r="B225" s="1">
        <f>IFERROR(__xludf.DUMMYFUNCTION("""COMPUTED_VALUE"""),0.9)</f>
        <v>0.9</v>
      </c>
      <c r="C225" s="1">
        <f>IFERROR(__xludf.DUMMYFUNCTION("""COMPUTED_VALUE"""),0.9)</f>
        <v>0.9</v>
      </c>
      <c r="D225" s="1">
        <f>IFERROR(__xludf.DUMMYFUNCTION("""COMPUTED_VALUE"""),0.89)</f>
        <v>0.89</v>
      </c>
      <c r="E225" s="1">
        <f>IFERROR(__xludf.DUMMYFUNCTION("""COMPUTED_VALUE"""),0.89)</f>
        <v>0.89</v>
      </c>
      <c r="F225" s="1">
        <f>IFERROR(__xludf.DUMMYFUNCTION("""COMPUTED_VALUE"""),201148.0)</f>
        <v>201148</v>
      </c>
    </row>
    <row r="226">
      <c r="A226" s="2">
        <f>IFERROR(__xludf.DUMMYFUNCTION("""COMPUTED_VALUE"""),39497.666666666664)</f>
        <v>39497.66667</v>
      </c>
      <c r="B226" s="1">
        <f>IFERROR(__xludf.DUMMYFUNCTION("""COMPUTED_VALUE"""),0.9)</f>
        <v>0.9</v>
      </c>
      <c r="C226" s="1">
        <f>IFERROR(__xludf.DUMMYFUNCTION("""COMPUTED_VALUE"""),0.91)</f>
        <v>0.91</v>
      </c>
      <c r="D226" s="1">
        <f>IFERROR(__xludf.DUMMYFUNCTION("""COMPUTED_VALUE"""),0.89)</f>
        <v>0.89</v>
      </c>
      <c r="E226" s="1">
        <f>IFERROR(__xludf.DUMMYFUNCTION("""COMPUTED_VALUE"""),0.9)</f>
        <v>0.9</v>
      </c>
      <c r="F226" s="1">
        <f>IFERROR(__xludf.DUMMYFUNCTION("""COMPUTED_VALUE"""),147368.0)</f>
        <v>147368</v>
      </c>
    </row>
    <row r="227">
      <c r="A227" s="2">
        <f>IFERROR(__xludf.DUMMYFUNCTION("""COMPUTED_VALUE"""),39498.666666666664)</f>
        <v>39498.66667</v>
      </c>
      <c r="B227" s="1">
        <f>IFERROR(__xludf.DUMMYFUNCTION("""COMPUTED_VALUE"""),0.9)</f>
        <v>0.9</v>
      </c>
      <c r="C227" s="1">
        <f>IFERROR(__xludf.DUMMYFUNCTION("""COMPUTED_VALUE"""),0.9)</f>
        <v>0.9</v>
      </c>
      <c r="D227" s="1">
        <f>IFERROR(__xludf.DUMMYFUNCTION("""COMPUTED_VALUE"""),0.89)</f>
        <v>0.89</v>
      </c>
      <c r="E227" s="1">
        <f>IFERROR(__xludf.DUMMYFUNCTION("""COMPUTED_VALUE"""),0.9)</f>
        <v>0.9</v>
      </c>
      <c r="F227" s="1">
        <f>IFERROR(__xludf.DUMMYFUNCTION("""COMPUTED_VALUE"""),78869.0)</f>
        <v>78869</v>
      </c>
    </row>
    <row r="228">
      <c r="A228" s="2">
        <f>IFERROR(__xludf.DUMMYFUNCTION("""COMPUTED_VALUE"""),39499.666666666664)</f>
        <v>39499.66667</v>
      </c>
      <c r="B228" s="1">
        <f>IFERROR(__xludf.DUMMYFUNCTION("""COMPUTED_VALUE"""),0.9)</f>
        <v>0.9</v>
      </c>
      <c r="C228" s="1">
        <f>IFERROR(__xludf.DUMMYFUNCTION("""COMPUTED_VALUE"""),0.9)</f>
        <v>0.9</v>
      </c>
      <c r="D228" s="1">
        <f>IFERROR(__xludf.DUMMYFUNCTION("""COMPUTED_VALUE"""),0.89)</f>
        <v>0.89</v>
      </c>
      <c r="E228" s="1">
        <f>IFERROR(__xludf.DUMMYFUNCTION("""COMPUTED_VALUE"""),0.9)</f>
        <v>0.9</v>
      </c>
      <c r="F228" s="1">
        <f>IFERROR(__xludf.DUMMYFUNCTION("""COMPUTED_VALUE"""),115349.0)</f>
        <v>115349</v>
      </c>
    </row>
    <row r="229">
      <c r="A229" s="2">
        <f>IFERROR(__xludf.DUMMYFUNCTION("""COMPUTED_VALUE"""),39500.666666666664)</f>
        <v>39500.66667</v>
      </c>
      <c r="B229" s="1">
        <f>IFERROR(__xludf.DUMMYFUNCTION("""COMPUTED_VALUE"""),0.9)</f>
        <v>0.9</v>
      </c>
      <c r="C229" s="1">
        <f>IFERROR(__xludf.DUMMYFUNCTION("""COMPUTED_VALUE"""),0.9)</f>
        <v>0.9</v>
      </c>
      <c r="D229" s="1">
        <f>IFERROR(__xludf.DUMMYFUNCTION("""COMPUTED_VALUE"""),0.89)</f>
        <v>0.89</v>
      </c>
      <c r="E229" s="1">
        <f>IFERROR(__xludf.DUMMYFUNCTION("""COMPUTED_VALUE"""),0.9)</f>
        <v>0.9</v>
      </c>
      <c r="F229" s="1">
        <f>IFERROR(__xludf.DUMMYFUNCTION("""COMPUTED_VALUE"""),78359.0)</f>
        <v>78359</v>
      </c>
    </row>
    <row r="230">
      <c r="A230" s="2">
        <f>IFERROR(__xludf.DUMMYFUNCTION("""COMPUTED_VALUE"""),39503.666666666664)</f>
        <v>39503.66667</v>
      </c>
      <c r="B230" s="1">
        <f>IFERROR(__xludf.DUMMYFUNCTION("""COMPUTED_VALUE"""),0.89)</f>
        <v>0.89</v>
      </c>
      <c r="C230" s="1">
        <f>IFERROR(__xludf.DUMMYFUNCTION("""COMPUTED_VALUE"""),0.91)</f>
        <v>0.91</v>
      </c>
      <c r="D230" s="1">
        <f>IFERROR(__xludf.DUMMYFUNCTION("""COMPUTED_VALUE"""),0.89)</f>
        <v>0.89</v>
      </c>
      <c r="E230" s="1">
        <f>IFERROR(__xludf.DUMMYFUNCTION("""COMPUTED_VALUE"""),0.89)</f>
        <v>0.89</v>
      </c>
      <c r="F230" s="1">
        <f>IFERROR(__xludf.DUMMYFUNCTION("""COMPUTED_VALUE"""),88700.0)</f>
        <v>88700</v>
      </c>
    </row>
    <row r="231">
      <c r="A231" s="2">
        <f>IFERROR(__xludf.DUMMYFUNCTION("""COMPUTED_VALUE"""),39504.666666666664)</f>
        <v>39504.66667</v>
      </c>
      <c r="B231" s="1">
        <f>IFERROR(__xludf.DUMMYFUNCTION("""COMPUTED_VALUE"""),0.9)</f>
        <v>0.9</v>
      </c>
      <c r="C231" s="1">
        <f>IFERROR(__xludf.DUMMYFUNCTION("""COMPUTED_VALUE"""),0.9)</f>
        <v>0.9</v>
      </c>
      <c r="D231" s="1">
        <f>IFERROR(__xludf.DUMMYFUNCTION("""COMPUTED_VALUE"""),0.89)</f>
        <v>0.89</v>
      </c>
      <c r="E231" s="1">
        <f>IFERROR(__xludf.DUMMYFUNCTION("""COMPUTED_VALUE"""),0.9)</f>
        <v>0.9</v>
      </c>
      <c r="F231" s="1">
        <f>IFERROR(__xludf.DUMMYFUNCTION("""COMPUTED_VALUE"""),62956.0)</f>
        <v>62956</v>
      </c>
    </row>
    <row r="232">
      <c r="A232" s="2">
        <f>IFERROR(__xludf.DUMMYFUNCTION("""COMPUTED_VALUE"""),39505.666666666664)</f>
        <v>39505.66667</v>
      </c>
      <c r="B232" s="1">
        <f>IFERROR(__xludf.DUMMYFUNCTION("""COMPUTED_VALUE"""),0.9)</f>
        <v>0.9</v>
      </c>
      <c r="C232" s="1">
        <f>IFERROR(__xludf.DUMMYFUNCTION("""COMPUTED_VALUE"""),0.9)</f>
        <v>0.9</v>
      </c>
      <c r="D232" s="1">
        <f>IFERROR(__xludf.DUMMYFUNCTION("""COMPUTED_VALUE"""),0.89)</f>
        <v>0.89</v>
      </c>
      <c r="E232" s="1">
        <f>IFERROR(__xludf.DUMMYFUNCTION("""COMPUTED_VALUE"""),0.9)</f>
        <v>0.9</v>
      </c>
      <c r="F232" s="1">
        <f>IFERROR(__xludf.DUMMYFUNCTION("""COMPUTED_VALUE"""),122550.0)</f>
        <v>122550</v>
      </c>
    </row>
    <row r="233">
      <c r="A233" s="2">
        <f>IFERROR(__xludf.DUMMYFUNCTION("""COMPUTED_VALUE"""),39506.666666666664)</f>
        <v>39506.66667</v>
      </c>
      <c r="B233" s="1">
        <f>IFERROR(__xludf.DUMMYFUNCTION("""COMPUTED_VALUE"""),0.89)</f>
        <v>0.89</v>
      </c>
      <c r="C233" s="1">
        <f>IFERROR(__xludf.DUMMYFUNCTION("""COMPUTED_VALUE"""),0.9)</f>
        <v>0.9</v>
      </c>
      <c r="D233" s="1">
        <f>IFERROR(__xludf.DUMMYFUNCTION("""COMPUTED_VALUE"""),0.89)</f>
        <v>0.89</v>
      </c>
      <c r="E233" s="1">
        <f>IFERROR(__xludf.DUMMYFUNCTION("""COMPUTED_VALUE"""),0.89)</f>
        <v>0.89</v>
      </c>
      <c r="F233" s="1">
        <f>IFERROR(__xludf.DUMMYFUNCTION("""COMPUTED_VALUE"""),213952.0)</f>
        <v>213952</v>
      </c>
    </row>
    <row r="234">
      <c r="A234" s="2">
        <f>IFERROR(__xludf.DUMMYFUNCTION("""COMPUTED_VALUE"""),39507.666666666664)</f>
        <v>39507.66667</v>
      </c>
      <c r="B234" s="1">
        <f>IFERROR(__xludf.DUMMYFUNCTION("""COMPUTED_VALUE"""),0.89)</f>
        <v>0.89</v>
      </c>
      <c r="C234" s="1">
        <f>IFERROR(__xludf.DUMMYFUNCTION("""COMPUTED_VALUE"""),0.91)</f>
        <v>0.91</v>
      </c>
      <c r="D234" s="1">
        <f>IFERROR(__xludf.DUMMYFUNCTION("""COMPUTED_VALUE"""),0.89)</f>
        <v>0.89</v>
      </c>
      <c r="E234" s="1">
        <f>IFERROR(__xludf.DUMMYFUNCTION("""COMPUTED_VALUE"""),0.9)</f>
        <v>0.9</v>
      </c>
      <c r="F234" s="1">
        <f>IFERROR(__xludf.DUMMYFUNCTION("""COMPUTED_VALUE"""),532033.0)</f>
        <v>532033</v>
      </c>
    </row>
    <row r="235">
      <c r="A235" s="2">
        <f>IFERROR(__xludf.DUMMYFUNCTION("""COMPUTED_VALUE"""),39510.666666666664)</f>
        <v>39510.66667</v>
      </c>
      <c r="B235" s="1">
        <f>IFERROR(__xludf.DUMMYFUNCTION("""COMPUTED_VALUE"""),0.9)</f>
        <v>0.9</v>
      </c>
      <c r="C235" s="1">
        <f>IFERROR(__xludf.DUMMYFUNCTION("""COMPUTED_VALUE"""),0.92)</f>
        <v>0.92</v>
      </c>
      <c r="D235" s="1">
        <f>IFERROR(__xludf.DUMMYFUNCTION("""COMPUTED_VALUE"""),0.89)</f>
        <v>0.89</v>
      </c>
      <c r="E235" s="1">
        <f>IFERROR(__xludf.DUMMYFUNCTION("""COMPUTED_VALUE"""),0.91)</f>
        <v>0.91</v>
      </c>
      <c r="F235" s="1">
        <f>IFERROR(__xludf.DUMMYFUNCTION("""COMPUTED_VALUE"""),217867.0)</f>
        <v>217867</v>
      </c>
    </row>
    <row r="236">
      <c r="A236" s="2">
        <f>IFERROR(__xludf.DUMMYFUNCTION("""COMPUTED_VALUE"""),39511.666666666664)</f>
        <v>39511.66667</v>
      </c>
      <c r="B236" s="1">
        <f>IFERROR(__xludf.DUMMYFUNCTION("""COMPUTED_VALUE"""),0.9)</f>
        <v>0.9</v>
      </c>
      <c r="C236" s="1">
        <f>IFERROR(__xludf.DUMMYFUNCTION("""COMPUTED_VALUE"""),0.94)</f>
        <v>0.94</v>
      </c>
      <c r="D236" s="1">
        <f>IFERROR(__xludf.DUMMYFUNCTION("""COMPUTED_VALUE"""),0.89)</f>
        <v>0.89</v>
      </c>
      <c r="E236" s="1">
        <f>IFERROR(__xludf.DUMMYFUNCTION("""COMPUTED_VALUE"""),0.93)</f>
        <v>0.93</v>
      </c>
      <c r="F236" s="1">
        <f>IFERROR(__xludf.DUMMYFUNCTION("""COMPUTED_VALUE"""),130139.0)</f>
        <v>130139</v>
      </c>
    </row>
    <row r="237">
      <c r="A237" s="2">
        <f>IFERROR(__xludf.DUMMYFUNCTION("""COMPUTED_VALUE"""),39512.666666666664)</f>
        <v>39512.66667</v>
      </c>
      <c r="B237" s="1">
        <f>IFERROR(__xludf.DUMMYFUNCTION("""COMPUTED_VALUE"""),0.93)</f>
        <v>0.93</v>
      </c>
      <c r="C237" s="1">
        <f>IFERROR(__xludf.DUMMYFUNCTION("""COMPUTED_VALUE"""),0.95)</f>
        <v>0.95</v>
      </c>
      <c r="D237" s="1">
        <f>IFERROR(__xludf.DUMMYFUNCTION("""COMPUTED_VALUE"""),0.92)</f>
        <v>0.92</v>
      </c>
      <c r="E237" s="1">
        <f>IFERROR(__xludf.DUMMYFUNCTION("""COMPUTED_VALUE"""),0.95)</f>
        <v>0.95</v>
      </c>
      <c r="F237" s="1">
        <f>IFERROR(__xludf.DUMMYFUNCTION("""COMPUTED_VALUE"""),42491.0)</f>
        <v>42491</v>
      </c>
    </row>
    <row r="238">
      <c r="A238" s="2">
        <f>IFERROR(__xludf.DUMMYFUNCTION("""COMPUTED_VALUE"""),39513.666666666664)</f>
        <v>39513.66667</v>
      </c>
      <c r="B238" s="1">
        <f>IFERROR(__xludf.DUMMYFUNCTION("""COMPUTED_VALUE"""),0.94)</f>
        <v>0.94</v>
      </c>
      <c r="C238" s="1">
        <f>IFERROR(__xludf.DUMMYFUNCTION("""COMPUTED_VALUE"""),0.97)</f>
        <v>0.97</v>
      </c>
      <c r="D238" s="1">
        <f>IFERROR(__xludf.DUMMYFUNCTION("""COMPUTED_VALUE"""),0.94)</f>
        <v>0.94</v>
      </c>
      <c r="E238" s="1">
        <f>IFERROR(__xludf.DUMMYFUNCTION("""COMPUTED_VALUE"""),0.95)</f>
        <v>0.95</v>
      </c>
      <c r="F238" s="1">
        <f>IFERROR(__xludf.DUMMYFUNCTION("""COMPUTED_VALUE"""),109402.0)</f>
        <v>109402</v>
      </c>
    </row>
    <row r="239">
      <c r="A239" s="2">
        <f>IFERROR(__xludf.DUMMYFUNCTION("""COMPUTED_VALUE"""),39514.666666666664)</f>
        <v>39514.66667</v>
      </c>
      <c r="B239" s="1">
        <f>IFERROR(__xludf.DUMMYFUNCTION("""COMPUTED_VALUE"""),0.94)</f>
        <v>0.94</v>
      </c>
      <c r="C239" s="1">
        <f>IFERROR(__xludf.DUMMYFUNCTION("""COMPUTED_VALUE"""),0.95)</f>
        <v>0.95</v>
      </c>
      <c r="D239" s="1">
        <f>IFERROR(__xludf.DUMMYFUNCTION("""COMPUTED_VALUE"""),0.93)</f>
        <v>0.93</v>
      </c>
      <c r="E239" s="1">
        <f>IFERROR(__xludf.DUMMYFUNCTION("""COMPUTED_VALUE"""),0.93)</f>
        <v>0.93</v>
      </c>
      <c r="F239" s="1">
        <f>IFERROR(__xludf.DUMMYFUNCTION("""COMPUTED_VALUE"""),53918.0)</f>
        <v>53918</v>
      </c>
    </row>
    <row r="240">
      <c r="A240" s="2">
        <f>IFERROR(__xludf.DUMMYFUNCTION("""COMPUTED_VALUE"""),39517.666666666664)</f>
        <v>39517.66667</v>
      </c>
      <c r="B240" s="1">
        <f>IFERROR(__xludf.DUMMYFUNCTION("""COMPUTED_VALUE"""),0.93)</f>
        <v>0.93</v>
      </c>
      <c r="C240" s="1">
        <f>IFERROR(__xludf.DUMMYFUNCTION("""COMPUTED_VALUE"""),0.94)</f>
        <v>0.94</v>
      </c>
      <c r="D240" s="1">
        <f>IFERROR(__xludf.DUMMYFUNCTION("""COMPUTED_VALUE"""),0.88)</f>
        <v>0.88</v>
      </c>
      <c r="E240" s="1">
        <f>IFERROR(__xludf.DUMMYFUNCTION("""COMPUTED_VALUE"""),0.88)</f>
        <v>0.88</v>
      </c>
      <c r="F240" s="1">
        <f>IFERROR(__xludf.DUMMYFUNCTION("""COMPUTED_VALUE"""),105582.0)</f>
        <v>105582</v>
      </c>
    </row>
    <row r="241">
      <c r="A241" s="2">
        <f>IFERROR(__xludf.DUMMYFUNCTION("""COMPUTED_VALUE"""),39518.666666666664)</f>
        <v>39518.66667</v>
      </c>
      <c r="B241" s="1">
        <f>IFERROR(__xludf.DUMMYFUNCTION("""COMPUTED_VALUE"""),0.91)</f>
        <v>0.91</v>
      </c>
      <c r="C241" s="1">
        <f>IFERROR(__xludf.DUMMYFUNCTION("""COMPUTED_VALUE"""),0.93)</f>
        <v>0.93</v>
      </c>
      <c r="D241" s="1">
        <f>IFERROR(__xludf.DUMMYFUNCTION("""COMPUTED_VALUE"""),0.89)</f>
        <v>0.89</v>
      </c>
      <c r="E241" s="1">
        <f>IFERROR(__xludf.DUMMYFUNCTION("""COMPUTED_VALUE"""),0.92)</f>
        <v>0.92</v>
      </c>
      <c r="F241" s="1">
        <f>IFERROR(__xludf.DUMMYFUNCTION("""COMPUTED_VALUE"""),123827.0)</f>
        <v>123827</v>
      </c>
    </row>
    <row r="242">
      <c r="A242" s="2">
        <f>IFERROR(__xludf.DUMMYFUNCTION("""COMPUTED_VALUE"""),39519.666666666664)</f>
        <v>39519.66667</v>
      </c>
      <c r="B242" s="1">
        <f>IFERROR(__xludf.DUMMYFUNCTION("""COMPUTED_VALUE"""),0.93)</f>
        <v>0.93</v>
      </c>
      <c r="C242" s="1">
        <f>IFERROR(__xludf.DUMMYFUNCTION("""COMPUTED_VALUE"""),0.93)</f>
        <v>0.93</v>
      </c>
      <c r="D242" s="1">
        <f>IFERROR(__xludf.DUMMYFUNCTION("""COMPUTED_VALUE"""),0.89)</f>
        <v>0.89</v>
      </c>
      <c r="E242" s="1">
        <f>IFERROR(__xludf.DUMMYFUNCTION("""COMPUTED_VALUE"""),0.89)</f>
        <v>0.89</v>
      </c>
      <c r="F242" s="1">
        <f>IFERROR(__xludf.DUMMYFUNCTION("""COMPUTED_VALUE"""),63680.0)</f>
        <v>63680</v>
      </c>
    </row>
    <row r="243">
      <c r="A243" s="2">
        <f>IFERROR(__xludf.DUMMYFUNCTION("""COMPUTED_VALUE"""),39520.666666666664)</f>
        <v>39520.66667</v>
      </c>
      <c r="B243" s="1">
        <f>IFERROR(__xludf.DUMMYFUNCTION("""COMPUTED_VALUE"""),0.91)</f>
        <v>0.91</v>
      </c>
      <c r="C243" s="1">
        <f>IFERROR(__xludf.DUMMYFUNCTION("""COMPUTED_VALUE"""),0.92)</f>
        <v>0.92</v>
      </c>
      <c r="D243" s="1">
        <f>IFERROR(__xludf.DUMMYFUNCTION("""COMPUTED_VALUE"""),0.9)</f>
        <v>0.9</v>
      </c>
      <c r="E243" s="1">
        <f>IFERROR(__xludf.DUMMYFUNCTION("""COMPUTED_VALUE"""),0.92)</f>
        <v>0.92</v>
      </c>
      <c r="F243" s="1">
        <f>IFERROR(__xludf.DUMMYFUNCTION("""COMPUTED_VALUE"""),117306.0)</f>
        <v>117306</v>
      </c>
    </row>
    <row r="244">
      <c r="A244" s="2">
        <f>IFERROR(__xludf.DUMMYFUNCTION("""COMPUTED_VALUE"""),39521.666666666664)</f>
        <v>39521.66667</v>
      </c>
      <c r="B244" s="1">
        <f>IFERROR(__xludf.DUMMYFUNCTION("""COMPUTED_VALUE"""),0.92)</f>
        <v>0.92</v>
      </c>
      <c r="C244" s="1">
        <f>IFERROR(__xludf.DUMMYFUNCTION("""COMPUTED_VALUE"""),0.92)</f>
        <v>0.92</v>
      </c>
      <c r="D244" s="1">
        <f>IFERROR(__xludf.DUMMYFUNCTION("""COMPUTED_VALUE"""),0.89)</f>
        <v>0.89</v>
      </c>
      <c r="E244" s="1">
        <f>IFERROR(__xludf.DUMMYFUNCTION("""COMPUTED_VALUE"""),0.9)</f>
        <v>0.9</v>
      </c>
      <c r="F244" s="1">
        <f>IFERROR(__xludf.DUMMYFUNCTION("""COMPUTED_VALUE"""),74815.0)</f>
        <v>74815</v>
      </c>
    </row>
    <row r="245">
      <c r="A245" s="2">
        <f>IFERROR(__xludf.DUMMYFUNCTION("""COMPUTED_VALUE"""),39524.666666666664)</f>
        <v>39524.66667</v>
      </c>
      <c r="B245" s="1">
        <f>IFERROR(__xludf.DUMMYFUNCTION("""COMPUTED_VALUE"""),0.87)</f>
        <v>0.87</v>
      </c>
      <c r="C245" s="1">
        <f>IFERROR(__xludf.DUMMYFUNCTION("""COMPUTED_VALUE"""),0.9)</f>
        <v>0.9</v>
      </c>
      <c r="D245" s="1">
        <f>IFERROR(__xludf.DUMMYFUNCTION("""COMPUTED_VALUE"""),0.84)</f>
        <v>0.84</v>
      </c>
      <c r="E245" s="1">
        <f>IFERROR(__xludf.DUMMYFUNCTION("""COMPUTED_VALUE"""),0.89)</f>
        <v>0.89</v>
      </c>
      <c r="F245" s="1">
        <f>IFERROR(__xludf.DUMMYFUNCTION("""COMPUTED_VALUE"""),75370.0)</f>
        <v>75370</v>
      </c>
    </row>
    <row r="246">
      <c r="A246" s="2">
        <f>IFERROR(__xludf.DUMMYFUNCTION("""COMPUTED_VALUE"""),39525.666666666664)</f>
        <v>39525.66667</v>
      </c>
      <c r="B246" s="1">
        <f>IFERROR(__xludf.DUMMYFUNCTION("""COMPUTED_VALUE"""),0.91)</f>
        <v>0.91</v>
      </c>
      <c r="C246" s="1">
        <f>IFERROR(__xludf.DUMMYFUNCTION("""COMPUTED_VALUE"""),0.91)</f>
        <v>0.91</v>
      </c>
      <c r="D246" s="1">
        <f>IFERROR(__xludf.DUMMYFUNCTION("""COMPUTED_VALUE"""),0.85)</f>
        <v>0.85</v>
      </c>
      <c r="E246" s="1">
        <f>IFERROR(__xludf.DUMMYFUNCTION("""COMPUTED_VALUE"""),0.88)</f>
        <v>0.88</v>
      </c>
      <c r="F246" s="1">
        <f>IFERROR(__xludf.DUMMYFUNCTION("""COMPUTED_VALUE"""),90099.0)</f>
        <v>90099</v>
      </c>
    </row>
    <row r="247">
      <c r="A247" s="2">
        <f>IFERROR(__xludf.DUMMYFUNCTION("""COMPUTED_VALUE"""),39526.666666666664)</f>
        <v>39526.66667</v>
      </c>
      <c r="B247" s="1">
        <f>IFERROR(__xludf.DUMMYFUNCTION("""COMPUTED_VALUE"""),0.89)</f>
        <v>0.89</v>
      </c>
      <c r="C247" s="1">
        <f>IFERROR(__xludf.DUMMYFUNCTION("""COMPUTED_VALUE"""),0.91)</f>
        <v>0.91</v>
      </c>
      <c r="D247" s="1">
        <f>IFERROR(__xludf.DUMMYFUNCTION("""COMPUTED_VALUE"""),0.88)</f>
        <v>0.88</v>
      </c>
      <c r="E247" s="1">
        <f>IFERROR(__xludf.DUMMYFUNCTION("""COMPUTED_VALUE"""),0.88)</f>
        <v>0.88</v>
      </c>
      <c r="F247" s="1">
        <f>IFERROR(__xludf.DUMMYFUNCTION("""COMPUTED_VALUE"""),193067.0)</f>
        <v>193067</v>
      </c>
    </row>
    <row r="248">
      <c r="A248" s="2">
        <f>IFERROR(__xludf.DUMMYFUNCTION("""COMPUTED_VALUE"""),39527.666666666664)</f>
        <v>39527.66667</v>
      </c>
      <c r="B248" s="1">
        <f>IFERROR(__xludf.DUMMYFUNCTION("""COMPUTED_VALUE"""),0.88)</f>
        <v>0.88</v>
      </c>
      <c r="C248" s="1">
        <f>IFERROR(__xludf.DUMMYFUNCTION("""COMPUTED_VALUE"""),0.89)</f>
        <v>0.89</v>
      </c>
      <c r="D248" s="1">
        <f>IFERROR(__xludf.DUMMYFUNCTION("""COMPUTED_VALUE"""),0.85)</f>
        <v>0.85</v>
      </c>
      <c r="E248" s="1">
        <f>IFERROR(__xludf.DUMMYFUNCTION("""COMPUTED_VALUE"""),0.89)</f>
        <v>0.89</v>
      </c>
      <c r="F248" s="1">
        <f>IFERROR(__xludf.DUMMYFUNCTION("""COMPUTED_VALUE"""),202255.0)</f>
        <v>202255</v>
      </c>
    </row>
    <row r="249">
      <c r="A249" s="2">
        <f>IFERROR(__xludf.DUMMYFUNCTION("""COMPUTED_VALUE"""),39531.666666666664)</f>
        <v>39531.66667</v>
      </c>
      <c r="B249" s="1">
        <f>IFERROR(__xludf.DUMMYFUNCTION("""COMPUTED_VALUE"""),0.89)</f>
        <v>0.89</v>
      </c>
      <c r="C249" s="1">
        <f>IFERROR(__xludf.DUMMYFUNCTION("""COMPUTED_VALUE"""),0.9)</f>
        <v>0.9</v>
      </c>
      <c r="D249" s="1">
        <f>IFERROR(__xludf.DUMMYFUNCTION("""COMPUTED_VALUE"""),0.87)</f>
        <v>0.87</v>
      </c>
      <c r="E249" s="1">
        <f>IFERROR(__xludf.DUMMYFUNCTION("""COMPUTED_VALUE"""),0.88)</f>
        <v>0.88</v>
      </c>
      <c r="F249" s="1">
        <f>IFERROR(__xludf.DUMMYFUNCTION("""COMPUTED_VALUE"""),167580.0)</f>
        <v>167580</v>
      </c>
    </row>
    <row r="250">
      <c r="A250" s="2">
        <f>IFERROR(__xludf.DUMMYFUNCTION("""COMPUTED_VALUE"""),39532.666666666664)</f>
        <v>39532.66667</v>
      </c>
      <c r="B250" s="1">
        <f>IFERROR(__xludf.DUMMYFUNCTION("""COMPUTED_VALUE"""),0.88)</f>
        <v>0.88</v>
      </c>
      <c r="C250" s="1">
        <f>IFERROR(__xludf.DUMMYFUNCTION("""COMPUTED_VALUE"""),0.9)</f>
        <v>0.9</v>
      </c>
      <c r="D250" s="1">
        <f>IFERROR(__xludf.DUMMYFUNCTION("""COMPUTED_VALUE"""),0.88)</f>
        <v>0.88</v>
      </c>
      <c r="E250" s="1">
        <f>IFERROR(__xludf.DUMMYFUNCTION("""COMPUTED_VALUE"""),0.89)</f>
        <v>0.89</v>
      </c>
      <c r="F250" s="1">
        <f>IFERROR(__xludf.DUMMYFUNCTION("""COMPUTED_VALUE"""),135232.0)</f>
        <v>135232</v>
      </c>
    </row>
    <row r="251">
      <c r="A251" s="2">
        <f>IFERROR(__xludf.DUMMYFUNCTION("""COMPUTED_VALUE"""),39533.666666666664)</f>
        <v>39533.66667</v>
      </c>
      <c r="B251" s="1">
        <f>IFERROR(__xludf.DUMMYFUNCTION("""COMPUTED_VALUE"""),0.88)</f>
        <v>0.88</v>
      </c>
      <c r="C251" s="1">
        <f>IFERROR(__xludf.DUMMYFUNCTION("""COMPUTED_VALUE"""),0.89)</f>
        <v>0.89</v>
      </c>
      <c r="D251" s="1">
        <f>IFERROR(__xludf.DUMMYFUNCTION("""COMPUTED_VALUE"""),0.86)</f>
        <v>0.86</v>
      </c>
      <c r="E251" s="1">
        <f>IFERROR(__xludf.DUMMYFUNCTION("""COMPUTED_VALUE"""),0.86)</f>
        <v>0.86</v>
      </c>
      <c r="F251" s="1">
        <f>IFERROR(__xludf.DUMMYFUNCTION("""COMPUTED_VALUE"""),111857.0)</f>
        <v>111857</v>
      </c>
    </row>
    <row r="252">
      <c r="A252" s="2">
        <f>IFERROR(__xludf.DUMMYFUNCTION("""COMPUTED_VALUE"""),39534.666666666664)</f>
        <v>39534.66667</v>
      </c>
      <c r="B252" s="1">
        <f>IFERROR(__xludf.DUMMYFUNCTION("""COMPUTED_VALUE"""),0.86)</f>
        <v>0.86</v>
      </c>
      <c r="C252" s="1">
        <f>IFERROR(__xludf.DUMMYFUNCTION("""COMPUTED_VALUE"""),0.86)</f>
        <v>0.86</v>
      </c>
      <c r="D252" s="1">
        <f>IFERROR(__xludf.DUMMYFUNCTION("""COMPUTED_VALUE"""),0.83)</f>
        <v>0.83</v>
      </c>
      <c r="E252" s="1">
        <f>IFERROR(__xludf.DUMMYFUNCTION("""COMPUTED_VALUE"""),0.85)</f>
        <v>0.85</v>
      </c>
      <c r="F252" s="1">
        <f>IFERROR(__xludf.DUMMYFUNCTION("""COMPUTED_VALUE"""),167798.0)</f>
        <v>167798</v>
      </c>
    </row>
    <row r="253">
      <c r="A253" s="2">
        <f>IFERROR(__xludf.DUMMYFUNCTION("""COMPUTED_VALUE"""),39535.666666666664)</f>
        <v>39535.66667</v>
      </c>
      <c r="B253" s="1">
        <f>IFERROR(__xludf.DUMMYFUNCTION("""COMPUTED_VALUE"""),0.85)</f>
        <v>0.85</v>
      </c>
      <c r="C253" s="1">
        <f>IFERROR(__xludf.DUMMYFUNCTION("""COMPUTED_VALUE"""),0.85)</f>
        <v>0.85</v>
      </c>
      <c r="D253" s="1">
        <f>IFERROR(__xludf.DUMMYFUNCTION("""COMPUTED_VALUE"""),0.83)</f>
        <v>0.83</v>
      </c>
      <c r="E253" s="1">
        <f>IFERROR(__xludf.DUMMYFUNCTION("""COMPUTED_VALUE"""),0.83)</f>
        <v>0.83</v>
      </c>
      <c r="F253" s="1">
        <f>IFERROR(__xludf.DUMMYFUNCTION("""COMPUTED_VALUE"""),45630.0)</f>
        <v>45630</v>
      </c>
    </row>
    <row r="254">
      <c r="A254" s="2">
        <f>IFERROR(__xludf.DUMMYFUNCTION("""COMPUTED_VALUE"""),39538.666666666664)</f>
        <v>39538.66667</v>
      </c>
      <c r="B254" s="1">
        <f>IFERROR(__xludf.DUMMYFUNCTION("""COMPUTED_VALUE"""),0.83)</f>
        <v>0.83</v>
      </c>
      <c r="C254" s="1">
        <f>IFERROR(__xludf.DUMMYFUNCTION("""COMPUTED_VALUE"""),0.85)</f>
        <v>0.85</v>
      </c>
      <c r="D254" s="1">
        <f>IFERROR(__xludf.DUMMYFUNCTION("""COMPUTED_VALUE"""),0.83)</f>
        <v>0.83</v>
      </c>
      <c r="E254" s="1">
        <f>IFERROR(__xludf.DUMMYFUNCTION("""COMPUTED_VALUE"""),0.84)</f>
        <v>0.84</v>
      </c>
      <c r="F254" s="1">
        <f>IFERROR(__xludf.DUMMYFUNCTION("""COMPUTED_VALUE"""),77520.0)</f>
        <v>77520</v>
      </c>
    </row>
    <row r="255">
      <c r="A255" s="2">
        <f>IFERROR(__xludf.DUMMYFUNCTION("""COMPUTED_VALUE"""),39539.666666666664)</f>
        <v>39539.66667</v>
      </c>
      <c r="B255" s="1">
        <f>IFERROR(__xludf.DUMMYFUNCTION("""COMPUTED_VALUE"""),0.84)</f>
        <v>0.84</v>
      </c>
      <c r="C255" s="1">
        <f>IFERROR(__xludf.DUMMYFUNCTION("""COMPUTED_VALUE"""),0.86)</f>
        <v>0.86</v>
      </c>
      <c r="D255" s="1">
        <f>IFERROR(__xludf.DUMMYFUNCTION("""COMPUTED_VALUE"""),0.84)</f>
        <v>0.84</v>
      </c>
      <c r="E255" s="1">
        <f>IFERROR(__xludf.DUMMYFUNCTION("""COMPUTED_VALUE"""),0.86)</f>
        <v>0.86</v>
      </c>
      <c r="F255" s="1">
        <f>IFERROR(__xludf.DUMMYFUNCTION("""COMPUTED_VALUE"""),179892.0)</f>
        <v>179892</v>
      </c>
    </row>
    <row r="256">
      <c r="A256" s="2">
        <f>IFERROR(__xludf.DUMMYFUNCTION("""COMPUTED_VALUE"""),39540.666666666664)</f>
        <v>39540.66667</v>
      </c>
      <c r="B256" s="1">
        <f>IFERROR(__xludf.DUMMYFUNCTION("""COMPUTED_VALUE"""),0.86)</f>
        <v>0.86</v>
      </c>
      <c r="C256" s="1">
        <f>IFERROR(__xludf.DUMMYFUNCTION("""COMPUTED_VALUE"""),0.86)</f>
        <v>0.86</v>
      </c>
      <c r="D256" s="1">
        <f>IFERROR(__xludf.DUMMYFUNCTION("""COMPUTED_VALUE"""),0.84)</f>
        <v>0.84</v>
      </c>
      <c r="E256" s="1">
        <f>IFERROR(__xludf.DUMMYFUNCTION("""COMPUTED_VALUE"""),0.85)</f>
        <v>0.85</v>
      </c>
      <c r="F256" s="1">
        <f>IFERROR(__xludf.DUMMYFUNCTION("""COMPUTED_VALUE"""),57400.0)</f>
        <v>57400</v>
      </c>
    </row>
    <row r="257">
      <c r="A257" s="2">
        <f>IFERROR(__xludf.DUMMYFUNCTION("""COMPUTED_VALUE"""),39541.666666666664)</f>
        <v>39541.66667</v>
      </c>
      <c r="B257" s="1">
        <f>IFERROR(__xludf.DUMMYFUNCTION("""COMPUTED_VALUE"""),0.84)</f>
        <v>0.84</v>
      </c>
      <c r="C257" s="1">
        <f>IFERROR(__xludf.DUMMYFUNCTION("""COMPUTED_VALUE"""),0.92)</f>
        <v>0.92</v>
      </c>
      <c r="D257" s="1">
        <f>IFERROR(__xludf.DUMMYFUNCTION("""COMPUTED_VALUE"""),0.84)</f>
        <v>0.84</v>
      </c>
      <c r="E257" s="1">
        <f>IFERROR(__xludf.DUMMYFUNCTION("""COMPUTED_VALUE"""),0.9)</f>
        <v>0.9</v>
      </c>
      <c r="F257" s="1">
        <f>IFERROR(__xludf.DUMMYFUNCTION("""COMPUTED_VALUE"""),423374.0)</f>
        <v>423374</v>
      </c>
    </row>
    <row r="258">
      <c r="A258" s="2">
        <f>IFERROR(__xludf.DUMMYFUNCTION("""COMPUTED_VALUE"""),39542.666666666664)</f>
        <v>39542.66667</v>
      </c>
      <c r="B258" s="1">
        <f>IFERROR(__xludf.DUMMYFUNCTION("""COMPUTED_VALUE"""),0.9)</f>
        <v>0.9</v>
      </c>
      <c r="C258" s="1">
        <f>IFERROR(__xludf.DUMMYFUNCTION("""COMPUTED_VALUE"""),0.95)</f>
        <v>0.95</v>
      </c>
      <c r="D258" s="1">
        <f>IFERROR(__xludf.DUMMYFUNCTION("""COMPUTED_VALUE"""),0.89)</f>
        <v>0.89</v>
      </c>
      <c r="E258" s="1">
        <f>IFERROR(__xludf.DUMMYFUNCTION("""COMPUTED_VALUE"""),0.93)</f>
        <v>0.93</v>
      </c>
      <c r="F258" s="1">
        <f>IFERROR(__xludf.DUMMYFUNCTION("""COMPUTED_VALUE"""),185667.0)</f>
        <v>185667</v>
      </c>
    </row>
    <row r="259">
      <c r="A259" s="2">
        <f>IFERROR(__xludf.DUMMYFUNCTION("""COMPUTED_VALUE"""),39545.666666666664)</f>
        <v>39545.66667</v>
      </c>
      <c r="B259" s="1">
        <f>IFERROR(__xludf.DUMMYFUNCTION("""COMPUTED_VALUE"""),0.93)</f>
        <v>0.93</v>
      </c>
      <c r="C259" s="1">
        <f>IFERROR(__xludf.DUMMYFUNCTION("""COMPUTED_VALUE"""),0.98)</f>
        <v>0.98</v>
      </c>
      <c r="D259" s="1">
        <f>IFERROR(__xludf.DUMMYFUNCTION("""COMPUTED_VALUE"""),0.93)</f>
        <v>0.93</v>
      </c>
      <c r="E259" s="1">
        <f>IFERROR(__xludf.DUMMYFUNCTION("""COMPUTED_VALUE"""),0.95)</f>
        <v>0.95</v>
      </c>
      <c r="F259" s="1">
        <f>IFERROR(__xludf.DUMMYFUNCTION("""COMPUTED_VALUE"""),325025.0)</f>
        <v>325025</v>
      </c>
    </row>
    <row r="260">
      <c r="A260" s="2">
        <f>IFERROR(__xludf.DUMMYFUNCTION("""COMPUTED_VALUE"""),39546.666666666664)</f>
        <v>39546.66667</v>
      </c>
      <c r="B260" s="1">
        <f>IFERROR(__xludf.DUMMYFUNCTION("""COMPUTED_VALUE"""),0.95)</f>
        <v>0.95</v>
      </c>
      <c r="C260" s="1">
        <f>IFERROR(__xludf.DUMMYFUNCTION("""COMPUTED_VALUE"""),0.97)</f>
        <v>0.97</v>
      </c>
      <c r="D260" s="1">
        <f>IFERROR(__xludf.DUMMYFUNCTION("""COMPUTED_VALUE"""),0.93)</f>
        <v>0.93</v>
      </c>
      <c r="E260" s="1">
        <f>IFERROR(__xludf.DUMMYFUNCTION("""COMPUTED_VALUE"""),0.95)</f>
        <v>0.95</v>
      </c>
      <c r="F260" s="1">
        <f>IFERROR(__xludf.DUMMYFUNCTION("""COMPUTED_VALUE"""),316828.0)</f>
        <v>316828</v>
      </c>
    </row>
    <row r="261">
      <c r="A261" s="2">
        <f>IFERROR(__xludf.DUMMYFUNCTION("""COMPUTED_VALUE"""),39547.666666666664)</f>
        <v>39547.66667</v>
      </c>
      <c r="B261" s="1">
        <f>IFERROR(__xludf.DUMMYFUNCTION("""COMPUTED_VALUE"""),0.95)</f>
        <v>0.95</v>
      </c>
      <c r="C261" s="1">
        <f>IFERROR(__xludf.DUMMYFUNCTION("""COMPUTED_VALUE"""),0.96)</f>
        <v>0.96</v>
      </c>
      <c r="D261" s="1">
        <f>IFERROR(__xludf.DUMMYFUNCTION("""COMPUTED_VALUE"""),0.93)</f>
        <v>0.93</v>
      </c>
      <c r="E261" s="1">
        <f>IFERROR(__xludf.DUMMYFUNCTION("""COMPUTED_VALUE"""),0.94)</f>
        <v>0.94</v>
      </c>
      <c r="F261" s="1">
        <f>IFERROR(__xludf.DUMMYFUNCTION("""COMPUTED_VALUE"""),62737.0)</f>
        <v>62737</v>
      </c>
    </row>
    <row r="262">
      <c r="A262" s="2">
        <f>IFERROR(__xludf.DUMMYFUNCTION("""COMPUTED_VALUE"""),39548.666666666664)</f>
        <v>39548.66667</v>
      </c>
      <c r="B262" s="1">
        <f>IFERROR(__xludf.DUMMYFUNCTION("""COMPUTED_VALUE"""),0.83)</f>
        <v>0.83</v>
      </c>
      <c r="C262" s="1">
        <f>IFERROR(__xludf.DUMMYFUNCTION("""COMPUTED_VALUE"""),0.83)</f>
        <v>0.83</v>
      </c>
      <c r="D262" s="1">
        <f>IFERROR(__xludf.DUMMYFUNCTION("""COMPUTED_VALUE"""),0.75)</f>
        <v>0.75</v>
      </c>
      <c r="E262" s="1">
        <f>IFERROR(__xludf.DUMMYFUNCTION("""COMPUTED_VALUE"""),0.76)</f>
        <v>0.76</v>
      </c>
      <c r="F262" s="1">
        <f>IFERROR(__xludf.DUMMYFUNCTION("""COMPUTED_VALUE"""),1398331.0)</f>
        <v>1398331</v>
      </c>
    </row>
    <row r="263">
      <c r="A263" s="2">
        <f>IFERROR(__xludf.DUMMYFUNCTION("""COMPUTED_VALUE"""),39549.666666666664)</f>
        <v>39549.66667</v>
      </c>
      <c r="B263" s="1">
        <f>IFERROR(__xludf.DUMMYFUNCTION("""COMPUTED_VALUE"""),0.77)</f>
        <v>0.77</v>
      </c>
      <c r="C263" s="1">
        <f>IFERROR(__xludf.DUMMYFUNCTION("""COMPUTED_VALUE"""),0.77)</f>
        <v>0.77</v>
      </c>
      <c r="D263" s="1">
        <f>IFERROR(__xludf.DUMMYFUNCTION("""COMPUTED_VALUE"""),0.73)</f>
        <v>0.73</v>
      </c>
      <c r="E263" s="1">
        <f>IFERROR(__xludf.DUMMYFUNCTION("""COMPUTED_VALUE"""),0.74)</f>
        <v>0.74</v>
      </c>
      <c r="F263" s="1">
        <f>IFERROR(__xludf.DUMMYFUNCTION("""COMPUTED_VALUE"""),638964.0)</f>
        <v>638964</v>
      </c>
    </row>
    <row r="264">
      <c r="A264" s="2">
        <f>IFERROR(__xludf.DUMMYFUNCTION("""COMPUTED_VALUE"""),39552.666666666664)</f>
        <v>39552.66667</v>
      </c>
      <c r="B264" s="1">
        <f>IFERROR(__xludf.DUMMYFUNCTION("""COMPUTED_VALUE"""),0.74)</f>
        <v>0.74</v>
      </c>
      <c r="C264" s="1">
        <f>IFERROR(__xludf.DUMMYFUNCTION("""COMPUTED_VALUE"""),0.74)</f>
        <v>0.74</v>
      </c>
      <c r="D264" s="1">
        <f>IFERROR(__xludf.DUMMYFUNCTION("""COMPUTED_VALUE"""),0.73)</f>
        <v>0.73</v>
      </c>
      <c r="E264" s="1">
        <f>IFERROR(__xludf.DUMMYFUNCTION("""COMPUTED_VALUE"""),0.73)</f>
        <v>0.73</v>
      </c>
      <c r="F264" s="1">
        <f>IFERROR(__xludf.DUMMYFUNCTION("""COMPUTED_VALUE"""),184995.0)</f>
        <v>184995</v>
      </c>
    </row>
    <row r="265">
      <c r="A265" s="2">
        <f>IFERROR(__xludf.DUMMYFUNCTION("""COMPUTED_VALUE"""),39553.666666666664)</f>
        <v>39553.66667</v>
      </c>
      <c r="B265" s="1">
        <f>IFERROR(__xludf.DUMMYFUNCTION("""COMPUTED_VALUE"""),0.74)</f>
        <v>0.74</v>
      </c>
      <c r="C265" s="1">
        <f>IFERROR(__xludf.DUMMYFUNCTION("""COMPUTED_VALUE"""),0.74)</f>
        <v>0.74</v>
      </c>
      <c r="D265" s="1">
        <f>IFERROR(__xludf.DUMMYFUNCTION("""COMPUTED_VALUE"""),0.67)</f>
        <v>0.67</v>
      </c>
      <c r="E265" s="1">
        <f>IFERROR(__xludf.DUMMYFUNCTION("""COMPUTED_VALUE"""),0.68)</f>
        <v>0.68</v>
      </c>
      <c r="F265" s="1">
        <f>IFERROR(__xludf.DUMMYFUNCTION("""COMPUTED_VALUE"""),316394.0)</f>
        <v>316394</v>
      </c>
    </row>
    <row r="266">
      <c r="A266" s="2">
        <f>IFERROR(__xludf.DUMMYFUNCTION("""COMPUTED_VALUE"""),39554.666666666664)</f>
        <v>39554.66667</v>
      </c>
      <c r="B266" s="1">
        <f>IFERROR(__xludf.DUMMYFUNCTION("""COMPUTED_VALUE"""),0.68)</f>
        <v>0.68</v>
      </c>
      <c r="C266" s="1">
        <f>IFERROR(__xludf.DUMMYFUNCTION("""COMPUTED_VALUE"""),0.7)</f>
        <v>0.7</v>
      </c>
      <c r="D266" s="1">
        <f>IFERROR(__xludf.DUMMYFUNCTION("""COMPUTED_VALUE"""),0.68)</f>
        <v>0.68</v>
      </c>
      <c r="E266" s="1">
        <f>IFERROR(__xludf.DUMMYFUNCTION("""COMPUTED_VALUE"""),0.7)</f>
        <v>0.7</v>
      </c>
      <c r="F266" s="1">
        <f>IFERROR(__xludf.DUMMYFUNCTION("""COMPUTED_VALUE"""),322242.0)</f>
        <v>322242</v>
      </c>
    </row>
    <row r="267">
      <c r="A267" s="2">
        <f>IFERROR(__xludf.DUMMYFUNCTION("""COMPUTED_VALUE"""),39555.666666666664)</f>
        <v>39555.66667</v>
      </c>
      <c r="B267" s="1">
        <f>IFERROR(__xludf.DUMMYFUNCTION("""COMPUTED_VALUE"""),0.7)</f>
        <v>0.7</v>
      </c>
      <c r="C267" s="1">
        <f>IFERROR(__xludf.DUMMYFUNCTION("""COMPUTED_VALUE"""),0.73)</f>
        <v>0.73</v>
      </c>
      <c r="D267" s="1">
        <f>IFERROR(__xludf.DUMMYFUNCTION("""COMPUTED_VALUE"""),0.7)</f>
        <v>0.7</v>
      </c>
      <c r="E267" s="1">
        <f>IFERROR(__xludf.DUMMYFUNCTION("""COMPUTED_VALUE"""),0.73)</f>
        <v>0.73</v>
      </c>
      <c r="F267" s="1">
        <f>IFERROR(__xludf.DUMMYFUNCTION("""COMPUTED_VALUE"""),117844.0)</f>
        <v>117844</v>
      </c>
    </row>
    <row r="268">
      <c r="A268" s="2">
        <f>IFERROR(__xludf.DUMMYFUNCTION("""COMPUTED_VALUE"""),39556.666666666664)</f>
        <v>39556.66667</v>
      </c>
      <c r="B268" s="1">
        <f>IFERROR(__xludf.DUMMYFUNCTION("""COMPUTED_VALUE"""),0.73)</f>
        <v>0.73</v>
      </c>
      <c r="C268" s="1">
        <f>IFERROR(__xludf.DUMMYFUNCTION("""COMPUTED_VALUE"""),0.75)</f>
        <v>0.75</v>
      </c>
      <c r="D268" s="1">
        <f>IFERROR(__xludf.DUMMYFUNCTION("""COMPUTED_VALUE"""),0.72)</f>
        <v>0.72</v>
      </c>
      <c r="E268" s="1">
        <f>IFERROR(__xludf.DUMMYFUNCTION("""COMPUTED_VALUE"""),0.75)</f>
        <v>0.75</v>
      </c>
      <c r="F268" s="1">
        <f>IFERROR(__xludf.DUMMYFUNCTION("""COMPUTED_VALUE"""),140821.0)</f>
        <v>140821</v>
      </c>
    </row>
    <row r="269">
      <c r="A269" s="2">
        <f>IFERROR(__xludf.DUMMYFUNCTION("""COMPUTED_VALUE"""),39559.666666666664)</f>
        <v>39559.66667</v>
      </c>
      <c r="B269" s="1">
        <f>IFERROR(__xludf.DUMMYFUNCTION("""COMPUTED_VALUE"""),0.75)</f>
        <v>0.75</v>
      </c>
      <c r="C269" s="1">
        <f>IFERROR(__xludf.DUMMYFUNCTION("""COMPUTED_VALUE"""),0.75)</f>
        <v>0.75</v>
      </c>
      <c r="D269" s="1">
        <f>IFERROR(__xludf.DUMMYFUNCTION("""COMPUTED_VALUE"""),0.73)</f>
        <v>0.73</v>
      </c>
      <c r="E269" s="1">
        <f>IFERROR(__xludf.DUMMYFUNCTION("""COMPUTED_VALUE"""),0.74)</f>
        <v>0.74</v>
      </c>
      <c r="F269" s="1">
        <f>IFERROR(__xludf.DUMMYFUNCTION("""COMPUTED_VALUE"""),70921.0)</f>
        <v>70921</v>
      </c>
    </row>
    <row r="270">
      <c r="A270" s="2">
        <f>IFERROR(__xludf.DUMMYFUNCTION("""COMPUTED_VALUE"""),39560.666666666664)</f>
        <v>39560.66667</v>
      </c>
      <c r="B270" s="1">
        <f>IFERROR(__xludf.DUMMYFUNCTION("""COMPUTED_VALUE"""),0.74)</f>
        <v>0.74</v>
      </c>
      <c r="C270" s="1">
        <f>IFERROR(__xludf.DUMMYFUNCTION("""COMPUTED_VALUE"""),0.74)</f>
        <v>0.74</v>
      </c>
      <c r="D270" s="1">
        <f>IFERROR(__xludf.DUMMYFUNCTION("""COMPUTED_VALUE"""),0.72)</f>
        <v>0.72</v>
      </c>
      <c r="E270" s="1">
        <f>IFERROR(__xludf.DUMMYFUNCTION("""COMPUTED_VALUE"""),0.73)</f>
        <v>0.73</v>
      </c>
      <c r="F270" s="1">
        <f>IFERROR(__xludf.DUMMYFUNCTION("""COMPUTED_VALUE"""),148532.0)</f>
        <v>148532</v>
      </c>
    </row>
    <row r="271">
      <c r="A271" s="2">
        <f>IFERROR(__xludf.DUMMYFUNCTION("""COMPUTED_VALUE"""),39561.666666666664)</f>
        <v>39561.66667</v>
      </c>
      <c r="B271" s="1">
        <f>IFERROR(__xludf.DUMMYFUNCTION("""COMPUTED_VALUE"""),0.73)</f>
        <v>0.73</v>
      </c>
      <c r="C271" s="1">
        <f>IFERROR(__xludf.DUMMYFUNCTION("""COMPUTED_VALUE"""),0.74)</f>
        <v>0.74</v>
      </c>
      <c r="D271" s="1">
        <f>IFERROR(__xludf.DUMMYFUNCTION("""COMPUTED_VALUE"""),0.72)</f>
        <v>0.72</v>
      </c>
      <c r="E271" s="1">
        <f>IFERROR(__xludf.DUMMYFUNCTION("""COMPUTED_VALUE"""),0.74)</f>
        <v>0.74</v>
      </c>
      <c r="F271" s="1">
        <f>IFERROR(__xludf.DUMMYFUNCTION("""COMPUTED_VALUE"""),90085.0)</f>
        <v>90085</v>
      </c>
    </row>
    <row r="272">
      <c r="A272" s="2">
        <f>IFERROR(__xludf.DUMMYFUNCTION("""COMPUTED_VALUE"""),39562.666666666664)</f>
        <v>39562.66667</v>
      </c>
      <c r="B272" s="1">
        <f>IFERROR(__xludf.DUMMYFUNCTION("""COMPUTED_VALUE"""),0.74)</f>
        <v>0.74</v>
      </c>
      <c r="C272" s="1">
        <f>IFERROR(__xludf.DUMMYFUNCTION("""COMPUTED_VALUE"""),0.74)</f>
        <v>0.74</v>
      </c>
      <c r="D272" s="1">
        <f>IFERROR(__xludf.DUMMYFUNCTION("""COMPUTED_VALUE"""),0.72)</f>
        <v>0.72</v>
      </c>
      <c r="E272" s="1">
        <f>IFERROR(__xludf.DUMMYFUNCTION("""COMPUTED_VALUE"""),0.74)</f>
        <v>0.74</v>
      </c>
      <c r="F272" s="1">
        <f>IFERROR(__xludf.DUMMYFUNCTION("""COMPUTED_VALUE"""),110406.0)</f>
        <v>110406</v>
      </c>
    </row>
    <row r="273">
      <c r="A273" s="2">
        <f>IFERROR(__xludf.DUMMYFUNCTION("""COMPUTED_VALUE"""),39563.666666666664)</f>
        <v>39563.66667</v>
      </c>
      <c r="B273" s="1">
        <f>IFERROR(__xludf.DUMMYFUNCTION("""COMPUTED_VALUE"""),0.73)</f>
        <v>0.73</v>
      </c>
      <c r="C273" s="1">
        <f>IFERROR(__xludf.DUMMYFUNCTION("""COMPUTED_VALUE"""),0.74)</f>
        <v>0.74</v>
      </c>
      <c r="D273" s="1">
        <f>IFERROR(__xludf.DUMMYFUNCTION("""COMPUTED_VALUE"""),0.73)</f>
        <v>0.73</v>
      </c>
      <c r="E273" s="1">
        <f>IFERROR(__xludf.DUMMYFUNCTION("""COMPUTED_VALUE"""),0.74)</f>
        <v>0.74</v>
      </c>
      <c r="F273" s="1">
        <f>IFERROR(__xludf.DUMMYFUNCTION("""COMPUTED_VALUE"""),56119.0)</f>
        <v>56119</v>
      </c>
    </row>
    <row r="274">
      <c r="A274" s="2">
        <f>IFERROR(__xludf.DUMMYFUNCTION("""COMPUTED_VALUE"""),39566.666666666664)</f>
        <v>39566.66667</v>
      </c>
      <c r="B274" s="1">
        <f>IFERROR(__xludf.DUMMYFUNCTION("""COMPUTED_VALUE"""),0.73)</f>
        <v>0.73</v>
      </c>
      <c r="C274" s="1">
        <f>IFERROR(__xludf.DUMMYFUNCTION("""COMPUTED_VALUE"""),0.75)</f>
        <v>0.75</v>
      </c>
      <c r="D274" s="1">
        <f>IFERROR(__xludf.DUMMYFUNCTION("""COMPUTED_VALUE"""),0.71)</f>
        <v>0.71</v>
      </c>
      <c r="E274" s="1">
        <f>IFERROR(__xludf.DUMMYFUNCTION("""COMPUTED_VALUE"""),0.75)</f>
        <v>0.75</v>
      </c>
      <c r="F274" s="1">
        <f>IFERROR(__xludf.DUMMYFUNCTION("""COMPUTED_VALUE"""),84935.0)</f>
        <v>84935</v>
      </c>
    </row>
    <row r="275">
      <c r="A275" s="2">
        <f>IFERROR(__xludf.DUMMYFUNCTION("""COMPUTED_VALUE"""),39567.666666666664)</f>
        <v>39567.66667</v>
      </c>
      <c r="B275" s="1">
        <f>IFERROR(__xludf.DUMMYFUNCTION("""COMPUTED_VALUE"""),0.75)</f>
        <v>0.75</v>
      </c>
      <c r="C275" s="1">
        <f>IFERROR(__xludf.DUMMYFUNCTION("""COMPUTED_VALUE"""),0.76)</f>
        <v>0.76</v>
      </c>
      <c r="D275" s="1">
        <f>IFERROR(__xludf.DUMMYFUNCTION("""COMPUTED_VALUE"""),0.74)</f>
        <v>0.74</v>
      </c>
      <c r="E275" s="1">
        <f>IFERROR(__xludf.DUMMYFUNCTION("""COMPUTED_VALUE"""),0.76)</f>
        <v>0.76</v>
      </c>
      <c r="F275" s="1">
        <f>IFERROR(__xludf.DUMMYFUNCTION("""COMPUTED_VALUE"""),86261.0)</f>
        <v>86261</v>
      </c>
    </row>
    <row r="276">
      <c r="A276" s="2">
        <f>IFERROR(__xludf.DUMMYFUNCTION("""COMPUTED_VALUE"""),39568.666666666664)</f>
        <v>39568.66667</v>
      </c>
      <c r="B276" s="1">
        <f>IFERROR(__xludf.DUMMYFUNCTION("""COMPUTED_VALUE"""),0.75)</f>
        <v>0.75</v>
      </c>
      <c r="C276" s="1">
        <f>IFERROR(__xludf.DUMMYFUNCTION("""COMPUTED_VALUE"""),0.78)</f>
        <v>0.78</v>
      </c>
      <c r="D276" s="1">
        <f>IFERROR(__xludf.DUMMYFUNCTION("""COMPUTED_VALUE"""),0.72)</f>
        <v>0.72</v>
      </c>
      <c r="E276" s="1">
        <f>IFERROR(__xludf.DUMMYFUNCTION("""COMPUTED_VALUE"""),0.75)</f>
        <v>0.75</v>
      </c>
      <c r="F276" s="1">
        <f>IFERROR(__xludf.DUMMYFUNCTION("""COMPUTED_VALUE"""),384025.0)</f>
        <v>384025</v>
      </c>
    </row>
    <row r="277">
      <c r="A277" s="2">
        <f>IFERROR(__xludf.DUMMYFUNCTION("""COMPUTED_VALUE"""),39569.666666666664)</f>
        <v>39569.66667</v>
      </c>
      <c r="B277" s="1">
        <f>IFERROR(__xludf.DUMMYFUNCTION("""COMPUTED_VALUE"""),0.74)</f>
        <v>0.74</v>
      </c>
      <c r="C277" s="1">
        <f>IFERROR(__xludf.DUMMYFUNCTION("""COMPUTED_VALUE"""),0.75)</f>
        <v>0.75</v>
      </c>
      <c r="D277" s="1">
        <f>IFERROR(__xludf.DUMMYFUNCTION("""COMPUTED_VALUE"""),0.73)</f>
        <v>0.73</v>
      </c>
      <c r="E277" s="1">
        <f>IFERROR(__xludf.DUMMYFUNCTION("""COMPUTED_VALUE"""),0.75)</f>
        <v>0.75</v>
      </c>
      <c r="F277" s="1">
        <f>IFERROR(__xludf.DUMMYFUNCTION("""COMPUTED_VALUE"""),130731.0)</f>
        <v>130731</v>
      </c>
    </row>
    <row r="278">
      <c r="A278" s="2">
        <f>IFERROR(__xludf.DUMMYFUNCTION("""COMPUTED_VALUE"""),39570.666666666664)</f>
        <v>39570.66667</v>
      </c>
      <c r="B278" s="1">
        <f>IFERROR(__xludf.DUMMYFUNCTION("""COMPUTED_VALUE"""),0.75)</f>
        <v>0.75</v>
      </c>
      <c r="C278" s="1">
        <f>IFERROR(__xludf.DUMMYFUNCTION("""COMPUTED_VALUE"""),0.75)</f>
        <v>0.75</v>
      </c>
      <c r="D278" s="1">
        <f>IFERROR(__xludf.DUMMYFUNCTION("""COMPUTED_VALUE"""),0.73)</f>
        <v>0.73</v>
      </c>
      <c r="E278" s="1">
        <f>IFERROR(__xludf.DUMMYFUNCTION("""COMPUTED_VALUE"""),0.73)</f>
        <v>0.73</v>
      </c>
      <c r="F278" s="1">
        <f>IFERROR(__xludf.DUMMYFUNCTION("""COMPUTED_VALUE"""),133115.0)</f>
        <v>133115</v>
      </c>
    </row>
    <row r="279">
      <c r="A279" s="2">
        <f>IFERROR(__xludf.DUMMYFUNCTION("""COMPUTED_VALUE"""),39573.666666666664)</f>
        <v>39573.66667</v>
      </c>
      <c r="B279" s="1">
        <f>IFERROR(__xludf.DUMMYFUNCTION("""COMPUTED_VALUE"""),0.73)</f>
        <v>0.73</v>
      </c>
      <c r="C279" s="1">
        <f>IFERROR(__xludf.DUMMYFUNCTION("""COMPUTED_VALUE"""),0.73)</f>
        <v>0.73</v>
      </c>
      <c r="D279" s="1">
        <f>IFERROR(__xludf.DUMMYFUNCTION("""COMPUTED_VALUE"""),0.72)</f>
        <v>0.72</v>
      </c>
      <c r="E279" s="1">
        <f>IFERROR(__xludf.DUMMYFUNCTION("""COMPUTED_VALUE"""),0.73)</f>
        <v>0.73</v>
      </c>
      <c r="F279" s="1">
        <f>IFERROR(__xludf.DUMMYFUNCTION("""COMPUTED_VALUE"""),107025.0)</f>
        <v>107025</v>
      </c>
    </row>
    <row r="280">
      <c r="A280" s="2">
        <f>IFERROR(__xludf.DUMMYFUNCTION("""COMPUTED_VALUE"""),39574.666666666664)</f>
        <v>39574.66667</v>
      </c>
      <c r="B280" s="1">
        <f>IFERROR(__xludf.DUMMYFUNCTION("""COMPUTED_VALUE"""),0.73)</f>
        <v>0.73</v>
      </c>
      <c r="C280" s="1">
        <f>IFERROR(__xludf.DUMMYFUNCTION("""COMPUTED_VALUE"""),0.73)</f>
        <v>0.73</v>
      </c>
      <c r="D280" s="1">
        <f>IFERROR(__xludf.DUMMYFUNCTION("""COMPUTED_VALUE"""),0.72)</f>
        <v>0.72</v>
      </c>
      <c r="E280" s="1">
        <f>IFERROR(__xludf.DUMMYFUNCTION("""COMPUTED_VALUE"""),0.73)</f>
        <v>0.73</v>
      </c>
      <c r="F280" s="1">
        <f>IFERROR(__xludf.DUMMYFUNCTION("""COMPUTED_VALUE"""),49379.0)</f>
        <v>49379</v>
      </c>
    </row>
    <row r="281">
      <c r="A281" s="2">
        <f>IFERROR(__xludf.DUMMYFUNCTION("""COMPUTED_VALUE"""),39575.666666666664)</f>
        <v>39575.66667</v>
      </c>
      <c r="B281" s="1">
        <f>IFERROR(__xludf.DUMMYFUNCTION("""COMPUTED_VALUE"""),0.73)</f>
        <v>0.73</v>
      </c>
      <c r="C281" s="1">
        <f>IFERROR(__xludf.DUMMYFUNCTION("""COMPUTED_VALUE"""),0.76)</f>
        <v>0.76</v>
      </c>
      <c r="D281" s="1">
        <f>IFERROR(__xludf.DUMMYFUNCTION("""COMPUTED_VALUE"""),0.73)</f>
        <v>0.73</v>
      </c>
      <c r="E281" s="1">
        <f>IFERROR(__xludf.DUMMYFUNCTION("""COMPUTED_VALUE"""),0.74)</f>
        <v>0.74</v>
      </c>
      <c r="F281" s="1">
        <f>IFERROR(__xludf.DUMMYFUNCTION("""COMPUTED_VALUE"""),152467.0)</f>
        <v>152467</v>
      </c>
    </row>
    <row r="282">
      <c r="A282" s="2">
        <f>IFERROR(__xludf.DUMMYFUNCTION("""COMPUTED_VALUE"""),39576.666666666664)</f>
        <v>39576.66667</v>
      </c>
      <c r="B282" s="1">
        <f>IFERROR(__xludf.DUMMYFUNCTION("""COMPUTED_VALUE"""),0.74)</f>
        <v>0.74</v>
      </c>
      <c r="C282" s="1">
        <f>IFERROR(__xludf.DUMMYFUNCTION("""COMPUTED_VALUE"""),0.75)</f>
        <v>0.75</v>
      </c>
      <c r="D282" s="1">
        <f>IFERROR(__xludf.DUMMYFUNCTION("""COMPUTED_VALUE"""),0.74)</f>
        <v>0.74</v>
      </c>
      <c r="E282" s="1">
        <f>IFERROR(__xludf.DUMMYFUNCTION("""COMPUTED_VALUE"""),0.75)</f>
        <v>0.75</v>
      </c>
      <c r="F282" s="1">
        <f>IFERROR(__xludf.DUMMYFUNCTION("""COMPUTED_VALUE"""),127597.0)</f>
        <v>127597</v>
      </c>
    </row>
    <row r="283">
      <c r="A283" s="2">
        <f>IFERROR(__xludf.DUMMYFUNCTION("""COMPUTED_VALUE"""),39577.666666666664)</f>
        <v>39577.66667</v>
      </c>
      <c r="B283" s="1">
        <f>IFERROR(__xludf.DUMMYFUNCTION("""COMPUTED_VALUE"""),0.74)</f>
        <v>0.74</v>
      </c>
      <c r="C283" s="1">
        <f>IFERROR(__xludf.DUMMYFUNCTION("""COMPUTED_VALUE"""),0.76)</f>
        <v>0.76</v>
      </c>
      <c r="D283" s="1">
        <f>IFERROR(__xludf.DUMMYFUNCTION("""COMPUTED_VALUE"""),0.74)</f>
        <v>0.74</v>
      </c>
      <c r="E283" s="1">
        <f>IFERROR(__xludf.DUMMYFUNCTION("""COMPUTED_VALUE"""),0.75)</f>
        <v>0.75</v>
      </c>
      <c r="F283" s="1">
        <f>IFERROR(__xludf.DUMMYFUNCTION("""COMPUTED_VALUE"""),238161.0)</f>
        <v>238161</v>
      </c>
    </row>
    <row r="284">
      <c r="A284" s="2">
        <f>IFERROR(__xludf.DUMMYFUNCTION("""COMPUTED_VALUE"""),39580.666666666664)</f>
        <v>39580.66667</v>
      </c>
      <c r="B284" s="1">
        <f>IFERROR(__xludf.DUMMYFUNCTION("""COMPUTED_VALUE"""),0.75)</f>
        <v>0.75</v>
      </c>
      <c r="C284" s="1">
        <f>IFERROR(__xludf.DUMMYFUNCTION("""COMPUTED_VALUE"""),0.76)</f>
        <v>0.76</v>
      </c>
      <c r="D284" s="1">
        <f>IFERROR(__xludf.DUMMYFUNCTION("""COMPUTED_VALUE"""),0.74)</f>
        <v>0.74</v>
      </c>
      <c r="E284" s="1">
        <f>IFERROR(__xludf.DUMMYFUNCTION("""COMPUTED_VALUE"""),0.75)</f>
        <v>0.75</v>
      </c>
      <c r="F284" s="1">
        <f>IFERROR(__xludf.DUMMYFUNCTION("""COMPUTED_VALUE"""),102332.0)</f>
        <v>102332</v>
      </c>
    </row>
    <row r="285">
      <c r="A285" s="2">
        <f>IFERROR(__xludf.DUMMYFUNCTION("""COMPUTED_VALUE"""),39581.666666666664)</f>
        <v>39581.66667</v>
      </c>
      <c r="B285" s="1">
        <f>IFERROR(__xludf.DUMMYFUNCTION("""COMPUTED_VALUE"""),0.75)</f>
        <v>0.75</v>
      </c>
      <c r="C285" s="1">
        <f>IFERROR(__xludf.DUMMYFUNCTION("""COMPUTED_VALUE"""),0.76)</f>
        <v>0.76</v>
      </c>
      <c r="D285" s="1">
        <f>IFERROR(__xludf.DUMMYFUNCTION("""COMPUTED_VALUE"""),0.74)</f>
        <v>0.74</v>
      </c>
      <c r="E285" s="1">
        <f>IFERROR(__xludf.DUMMYFUNCTION("""COMPUTED_VALUE"""),0.74)</f>
        <v>0.74</v>
      </c>
      <c r="F285" s="1">
        <f>IFERROR(__xludf.DUMMYFUNCTION("""COMPUTED_VALUE"""),58155.0)</f>
        <v>58155</v>
      </c>
    </row>
    <row r="286">
      <c r="A286" s="2">
        <f>IFERROR(__xludf.DUMMYFUNCTION("""COMPUTED_VALUE"""),39582.666666666664)</f>
        <v>39582.66667</v>
      </c>
      <c r="B286" s="1">
        <f>IFERROR(__xludf.DUMMYFUNCTION("""COMPUTED_VALUE"""),0.74)</f>
        <v>0.74</v>
      </c>
      <c r="C286" s="1">
        <f>IFERROR(__xludf.DUMMYFUNCTION("""COMPUTED_VALUE"""),0.76)</f>
        <v>0.76</v>
      </c>
      <c r="D286" s="1">
        <f>IFERROR(__xludf.DUMMYFUNCTION("""COMPUTED_VALUE"""),0.74)</f>
        <v>0.74</v>
      </c>
      <c r="E286" s="1">
        <f>IFERROR(__xludf.DUMMYFUNCTION("""COMPUTED_VALUE"""),0.75)</f>
        <v>0.75</v>
      </c>
      <c r="F286" s="1">
        <f>IFERROR(__xludf.DUMMYFUNCTION("""COMPUTED_VALUE"""),330152.0)</f>
        <v>330152</v>
      </c>
    </row>
    <row r="287">
      <c r="A287" s="2">
        <f>IFERROR(__xludf.DUMMYFUNCTION("""COMPUTED_VALUE"""),39583.666666666664)</f>
        <v>39583.66667</v>
      </c>
      <c r="B287" s="1">
        <f>IFERROR(__xludf.DUMMYFUNCTION("""COMPUTED_VALUE"""),0.75)</f>
        <v>0.75</v>
      </c>
      <c r="C287" s="1">
        <f>IFERROR(__xludf.DUMMYFUNCTION("""COMPUTED_VALUE"""),0.75)</f>
        <v>0.75</v>
      </c>
      <c r="D287" s="1">
        <f>IFERROR(__xludf.DUMMYFUNCTION("""COMPUTED_VALUE"""),0.74)</f>
        <v>0.74</v>
      </c>
      <c r="E287" s="1">
        <f>IFERROR(__xludf.DUMMYFUNCTION("""COMPUTED_VALUE"""),0.75)</f>
        <v>0.75</v>
      </c>
      <c r="F287" s="1">
        <f>IFERROR(__xludf.DUMMYFUNCTION("""COMPUTED_VALUE"""),124571.0)</f>
        <v>124571</v>
      </c>
    </row>
    <row r="288">
      <c r="A288" s="2">
        <f>IFERROR(__xludf.DUMMYFUNCTION("""COMPUTED_VALUE"""),39584.666666666664)</f>
        <v>39584.66667</v>
      </c>
      <c r="B288" s="1">
        <f>IFERROR(__xludf.DUMMYFUNCTION("""COMPUTED_VALUE"""),0.75)</f>
        <v>0.75</v>
      </c>
      <c r="C288" s="1">
        <f>IFERROR(__xludf.DUMMYFUNCTION("""COMPUTED_VALUE"""),0.75)</f>
        <v>0.75</v>
      </c>
      <c r="D288" s="1">
        <f>IFERROR(__xludf.DUMMYFUNCTION("""COMPUTED_VALUE"""),0.75)</f>
        <v>0.75</v>
      </c>
      <c r="E288" s="1">
        <f>IFERROR(__xludf.DUMMYFUNCTION("""COMPUTED_VALUE"""),0.75)</f>
        <v>0.75</v>
      </c>
      <c r="F288" s="1">
        <f>IFERROR(__xludf.DUMMYFUNCTION("""COMPUTED_VALUE"""),111868.0)</f>
        <v>111868</v>
      </c>
    </row>
    <row r="289">
      <c r="A289" s="2">
        <f>IFERROR(__xludf.DUMMYFUNCTION("""COMPUTED_VALUE"""),39587.666666666664)</f>
        <v>39587.66667</v>
      </c>
      <c r="B289" s="1">
        <f>IFERROR(__xludf.DUMMYFUNCTION("""COMPUTED_VALUE"""),0.74)</f>
        <v>0.74</v>
      </c>
      <c r="C289" s="1">
        <f>IFERROR(__xludf.DUMMYFUNCTION("""COMPUTED_VALUE"""),0.75)</f>
        <v>0.75</v>
      </c>
      <c r="D289" s="1">
        <f>IFERROR(__xludf.DUMMYFUNCTION("""COMPUTED_VALUE"""),0.74)</f>
        <v>0.74</v>
      </c>
      <c r="E289" s="1">
        <f>IFERROR(__xludf.DUMMYFUNCTION("""COMPUTED_VALUE"""),0.75)</f>
        <v>0.75</v>
      </c>
      <c r="F289" s="1">
        <f>IFERROR(__xludf.DUMMYFUNCTION("""COMPUTED_VALUE"""),105134.0)</f>
        <v>105134</v>
      </c>
    </row>
    <row r="290">
      <c r="A290" s="2">
        <f>IFERROR(__xludf.DUMMYFUNCTION("""COMPUTED_VALUE"""),39588.666666666664)</f>
        <v>39588.66667</v>
      </c>
      <c r="B290" s="1">
        <f>IFERROR(__xludf.DUMMYFUNCTION("""COMPUTED_VALUE"""),0.74)</f>
        <v>0.74</v>
      </c>
      <c r="C290" s="1">
        <f>IFERROR(__xludf.DUMMYFUNCTION("""COMPUTED_VALUE"""),0.75)</f>
        <v>0.75</v>
      </c>
      <c r="D290" s="1">
        <f>IFERROR(__xludf.DUMMYFUNCTION("""COMPUTED_VALUE"""),0.72)</f>
        <v>0.72</v>
      </c>
      <c r="E290" s="1">
        <f>IFERROR(__xludf.DUMMYFUNCTION("""COMPUTED_VALUE"""),0.72)</f>
        <v>0.72</v>
      </c>
      <c r="F290" s="1">
        <f>IFERROR(__xludf.DUMMYFUNCTION("""COMPUTED_VALUE"""),94898.0)</f>
        <v>94898</v>
      </c>
    </row>
    <row r="291">
      <c r="A291" s="2">
        <f>IFERROR(__xludf.DUMMYFUNCTION("""COMPUTED_VALUE"""),39589.666666666664)</f>
        <v>39589.66667</v>
      </c>
      <c r="B291" s="1">
        <f>IFERROR(__xludf.DUMMYFUNCTION("""COMPUTED_VALUE"""),0.73)</f>
        <v>0.73</v>
      </c>
      <c r="C291" s="1">
        <f>IFERROR(__xludf.DUMMYFUNCTION("""COMPUTED_VALUE"""),0.75)</f>
        <v>0.75</v>
      </c>
      <c r="D291" s="1">
        <f>IFERROR(__xludf.DUMMYFUNCTION("""COMPUTED_VALUE"""),0.73)</f>
        <v>0.73</v>
      </c>
      <c r="E291" s="1">
        <f>IFERROR(__xludf.DUMMYFUNCTION("""COMPUTED_VALUE"""),0.73)</f>
        <v>0.73</v>
      </c>
      <c r="F291" s="1">
        <f>IFERROR(__xludf.DUMMYFUNCTION("""COMPUTED_VALUE"""),79608.0)</f>
        <v>79608</v>
      </c>
    </row>
    <row r="292">
      <c r="A292" s="2">
        <f>IFERROR(__xludf.DUMMYFUNCTION("""COMPUTED_VALUE"""),39590.666666666664)</f>
        <v>39590.66667</v>
      </c>
      <c r="B292" s="1">
        <f>IFERROR(__xludf.DUMMYFUNCTION("""COMPUTED_VALUE"""),0.73)</f>
        <v>0.73</v>
      </c>
      <c r="C292" s="1">
        <f>IFERROR(__xludf.DUMMYFUNCTION("""COMPUTED_VALUE"""),0.74)</f>
        <v>0.74</v>
      </c>
      <c r="D292" s="1">
        <f>IFERROR(__xludf.DUMMYFUNCTION("""COMPUTED_VALUE"""),0.73)</f>
        <v>0.73</v>
      </c>
      <c r="E292" s="1">
        <f>IFERROR(__xludf.DUMMYFUNCTION("""COMPUTED_VALUE"""),0.73)</f>
        <v>0.73</v>
      </c>
      <c r="F292" s="1">
        <f>IFERROR(__xludf.DUMMYFUNCTION("""COMPUTED_VALUE"""),154096.0)</f>
        <v>154096</v>
      </c>
    </row>
    <row r="293">
      <c r="A293" s="2">
        <f>IFERROR(__xludf.DUMMYFUNCTION("""COMPUTED_VALUE"""),39591.666666666664)</f>
        <v>39591.66667</v>
      </c>
      <c r="B293" s="1">
        <f>IFERROR(__xludf.DUMMYFUNCTION("""COMPUTED_VALUE"""),0.73)</f>
        <v>0.73</v>
      </c>
      <c r="C293" s="1">
        <f>IFERROR(__xludf.DUMMYFUNCTION("""COMPUTED_VALUE"""),0.74)</f>
        <v>0.74</v>
      </c>
      <c r="D293" s="1">
        <f>IFERROR(__xludf.DUMMYFUNCTION("""COMPUTED_VALUE"""),0.72)</f>
        <v>0.72</v>
      </c>
      <c r="E293" s="1">
        <f>IFERROR(__xludf.DUMMYFUNCTION("""COMPUTED_VALUE"""),0.73)</f>
        <v>0.73</v>
      </c>
      <c r="F293" s="1">
        <f>IFERROR(__xludf.DUMMYFUNCTION("""COMPUTED_VALUE"""),54455.0)</f>
        <v>54455</v>
      </c>
    </row>
    <row r="294">
      <c r="A294" s="2">
        <f>IFERROR(__xludf.DUMMYFUNCTION("""COMPUTED_VALUE"""),39595.666666666664)</f>
        <v>39595.66667</v>
      </c>
      <c r="B294" s="1">
        <f>IFERROR(__xludf.DUMMYFUNCTION("""COMPUTED_VALUE"""),0.73)</f>
        <v>0.73</v>
      </c>
      <c r="C294" s="1">
        <f>IFERROR(__xludf.DUMMYFUNCTION("""COMPUTED_VALUE"""),0.73)</f>
        <v>0.73</v>
      </c>
      <c r="D294" s="1">
        <f>IFERROR(__xludf.DUMMYFUNCTION("""COMPUTED_VALUE"""),0.72)</f>
        <v>0.72</v>
      </c>
      <c r="E294" s="1">
        <f>IFERROR(__xludf.DUMMYFUNCTION("""COMPUTED_VALUE"""),0.72)</f>
        <v>0.72</v>
      </c>
      <c r="F294" s="1">
        <f>IFERROR(__xludf.DUMMYFUNCTION("""COMPUTED_VALUE"""),109458.0)</f>
        <v>109458</v>
      </c>
    </row>
    <row r="295">
      <c r="A295" s="2">
        <f>IFERROR(__xludf.DUMMYFUNCTION("""COMPUTED_VALUE"""),39596.666666666664)</f>
        <v>39596.66667</v>
      </c>
      <c r="B295" s="1">
        <f>IFERROR(__xludf.DUMMYFUNCTION("""COMPUTED_VALUE"""),0.73)</f>
        <v>0.73</v>
      </c>
      <c r="C295" s="1">
        <f>IFERROR(__xludf.DUMMYFUNCTION("""COMPUTED_VALUE"""),0.73)</f>
        <v>0.73</v>
      </c>
      <c r="D295" s="1">
        <f>IFERROR(__xludf.DUMMYFUNCTION("""COMPUTED_VALUE"""),0.72)</f>
        <v>0.72</v>
      </c>
      <c r="E295" s="1">
        <f>IFERROR(__xludf.DUMMYFUNCTION("""COMPUTED_VALUE"""),0.72)</f>
        <v>0.72</v>
      </c>
      <c r="F295" s="1">
        <f>IFERROR(__xludf.DUMMYFUNCTION("""COMPUTED_VALUE"""),55928.0)</f>
        <v>55928</v>
      </c>
    </row>
    <row r="296">
      <c r="A296" s="2">
        <f>IFERROR(__xludf.DUMMYFUNCTION("""COMPUTED_VALUE"""),39597.666666666664)</f>
        <v>39597.66667</v>
      </c>
      <c r="B296" s="1">
        <f>IFERROR(__xludf.DUMMYFUNCTION("""COMPUTED_VALUE"""),0.72)</f>
        <v>0.72</v>
      </c>
      <c r="C296" s="1">
        <f>IFERROR(__xludf.DUMMYFUNCTION("""COMPUTED_VALUE"""),0.73)</f>
        <v>0.73</v>
      </c>
      <c r="D296" s="1">
        <f>IFERROR(__xludf.DUMMYFUNCTION("""COMPUTED_VALUE"""),0.71)</f>
        <v>0.71</v>
      </c>
      <c r="E296" s="1">
        <f>IFERROR(__xludf.DUMMYFUNCTION("""COMPUTED_VALUE"""),0.72)</f>
        <v>0.72</v>
      </c>
      <c r="F296" s="1">
        <f>IFERROR(__xludf.DUMMYFUNCTION("""COMPUTED_VALUE"""),86639.0)</f>
        <v>86639</v>
      </c>
    </row>
    <row r="297">
      <c r="A297" s="2">
        <f>IFERROR(__xludf.DUMMYFUNCTION("""COMPUTED_VALUE"""),39598.666666666664)</f>
        <v>39598.66667</v>
      </c>
      <c r="B297" s="1">
        <f>IFERROR(__xludf.DUMMYFUNCTION("""COMPUTED_VALUE"""),0.72)</f>
        <v>0.72</v>
      </c>
      <c r="C297" s="1">
        <f>IFERROR(__xludf.DUMMYFUNCTION("""COMPUTED_VALUE"""),0.73)</f>
        <v>0.73</v>
      </c>
      <c r="D297" s="1">
        <f>IFERROR(__xludf.DUMMYFUNCTION("""COMPUTED_VALUE"""),0.71)</f>
        <v>0.71</v>
      </c>
      <c r="E297" s="1">
        <f>IFERROR(__xludf.DUMMYFUNCTION("""COMPUTED_VALUE"""),0.72)</f>
        <v>0.72</v>
      </c>
      <c r="F297" s="1">
        <f>IFERROR(__xludf.DUMMYFUNCTION("""COMPUTED_VALUE"""),213713.0)</f>
        <v>213713</v>
      </c>
    </row>
    <row r="298">
      <c r="A298" s="2">
        <f>IFERROR(__xludf.DUMMYFUNCTION("""COMPUTED_VALUE"""),39601.666666666664)</f>
        <v>39601.66667</v>
      </c>
      <c r="B298" s="1">
        <f>IFERROR(__xludf.DUMMYFUNCTION("""COMPUTED_VALUE"""),0.72)</f>
        <v>0.72</v>
      </c>
      <c r="C298" s="1">
        <f>IFERROR(__xludf.DUMMYFUNCTION("""COMPUTED_VALUE"""),0.73)</f>
        <v>0.73</v>
      </c>
      <c r="D298" s="1">
        <f>IFERROR(__xludf.DUMMYFUNCTION("""COMPUTED_VALUE"""),0.71)</f>
        <v>0.71</v>
      </c>
      <c r="E298" s="1">
        <f>IFERROR(__xludf.DUMMYFUNCTION("""COMPUTED_VALUE"""),0.72)</f>
        <v>0.72</v>
      </c>
      <c r="F298" s="1">
        <f>IFERROR(__xludf.DUMMYFUNCTION("""COMPUTED_VALUE"""),124394.0)</f>
        <v>124394</v>
      </c>
    </row>
    <row r="299">
      <c r="A299" s="2">
        <f>IFERROR(__xludf.DUMMYFUNCTION("""COMPUTED_VALUE"""),39602.666666666664)</f>
        <v>39602.66667</v>
      </c>
      <c r="B299" s="1">
        <f>IFERROR(__xludf.DUMMYFUNCTION("""COMPUTED_VALUE"""),0.72)</f>
        <v>0.72</v>
      </c>
      <c r="C299" s="1">
        <f>IFERROR(__xludf.DUMMYFUNCTION("""COMPUTED_VALUE"""),0.73)</f>
        <v>0.73</v>
      </c>
      <c r="D299" s="1">
        <f>IFERROR(__xludf.DUMMYFUNCTION("""COMPUTED_VALUE"""),0.7)</f>
        <v>0.7</v>
      </c>
      <c r="E299" s="1">
        <f>IFERROR(__xludf.DUMMYFUNCTION("""COMPUTED_VALUE"""),0.71)</f>
        <v>0.71</v>
      </c>
      <c r="F299" s="1">
        <f>IFERROR(__xludf.DUMMYFUNCTION("""COMPUTED_VALUE"""),172267.0)</f>
        <v>172267</v>
      </c>
    </row>
    <row r="300">
      <c r="A300" s="2">
        <f>IFERROR(__xludf.DUMMYFUNCTION("""COMPUTED_VALUE"""),39603.666666666664)</f>
        <v>39603.66667</v>
      </c>
      <c r="B300" s="1">
        <f>IFERROR(__xludf.DUMMYFUNCTION("""COMPUTED_VALUE"""),0.7)</f>
        <v>0.7</v>
      </c>
      <c r="C300" s="1">
        <f>IFERROR(__xludf.DUMMYFUNCTION("""COMPUTED_VALUE"""),0.73)</f>
        <v>0.73</v>
      </c>
      <c r="D300" s="1">
        <f>IFERROR(__xludf.DUMMYFUNCTION("""COMPUTED_VALUE"""),0.69)</f>
        <v>0.69</v>
      </c>
      <c r="E300" s="1">
        <f>IFERROR(__xludf.DUMMYFUNCTION("""COMPUTED_VALUE"""),0.72)</f>
        <v>0.72</v>
      </c>
      <c r="F300" s="1">
        <f>IFERROR(__xludf.DUMMYFUNCTION("""COMPUTED_VALUE"""),84572.0)</f>
        <v>84572</v>
      </c>
    </row>
    <row r="301">
      <c r="A301" s="2">
        <f>IFERROR(__xludf.DUMMYFUNCTION("""COMPUTED_VALUE"""),39604.666666666664)</f>
        <v>39604.66667</v>
      </c>
      <c r="B301" s="1">
        <f>IFERROR(__xludf.DUMMYFUNCTION("""COMPUTED_VALUE"""),0.72)</f>
        <v>0.72</v>
      </c>
      <c r="C301" s="1">
        <f>IFERROR(__xludf.DUMMYFUNCTION("""COMPUTED_VALUE"""),0.73)</f>
        <v>0.73</v>
      </c>
      <c r="D301" s="1">
        <f>IFERROR(__xludf.DUMMYFUNCTION("""COMPUTED_VALUE"""),0.71)</f>
        <v>0.71</v>
      </c>
      <c r="E301" s="1">
        <f>IFERROR(__xludf.DUMMYFUNCTION("""COMPUTED_VALUE"""),0.73)</f>
        <v>0.73</v>
      </c>
      <c r="F301" s="1">
        <f>IFERROR(__xludf.DUMMYFUNCTION("""COMPUTED_VALUE"""),162959.0)</f>
        <v>162959</v>
      </c>
    </row>
    <row r="302">
      <c r="A302" s="2">
        <f>IFERROR(__xludf.DUMMYFUNCTION("""COMPUTED_VALUE"""),39605.666666666664)</f>
        <v>39605.66667</v>
      </c>
      <c r="B302" s="1">
        <f>IFERROR(__xludf.DUMMYFUNCTION("""COMPUTED_VALUE"""),0.73)</f>
        <v>0.73</v>
      </c>
      <c r="C302" s="1">
        <f>IFERROR(__xludf.DUMMYFUNCTION("""COMPUTED_VALUE"""),0.74)</f>
        <v>0.74</v>
      </c>
      <c r="D302" s="1">
        <f>IFERROR(__xludf.DUMMYFUNCTION("""COMPUTED_VALUE"""),0.72)</f>
        <v>0.72</v>
      </c>
      <c r="E302" s="1">
        <f>IFERROR(__xludf.DUMMYFUNCTION("""COMPUTED_VALUE"""),0.73)</f>
        <v>0.73</v>
      </c>
      <c r="F302" s="1">
        <f>IFERROR(__xludf.DUMMYFUNCTION("""COMPUTED_VALUE"""),109737.0)</f>
        <v>109737</v>
      </c>
    </row>
    <row r="303">
      <c r="A303" s="2">
        <f>IFERROR(__xludf.DUMMYFUNCTION("""COMPUTED_VALUE"""),39608.666666666664)</f>
        <v>39608.66667</v>
      </c>
      <c r="B303" s="1">
        <f>IFERROR(__xludf.DUMMYFUNCTION("""COMPUTED_VALUE"""),0.73)</f>
        <v>0.73</v>
      </c>
      <c r="C303" s="1">
        <f>IFERROR(__xludf.DUMMYFUNCTION("""COMPUTED_VALUE"""),0.74)</f>
        <v>0.74</v>
      </c>
      <c r="D303" s="1">
        <f>IFERROR(__xludf.DUMMYFUNCTION("""COMPUTED_VALUE"""),0.73)</f>
        <v>0.73</v>
      </c>
      <c r="E303" s="1">
        <f>IFERROR(__xludf.DUMMYFUNCTION("""COMPUTED_VALUE"""),0.74)</f>
        <v>0.74</v>
      </c>
      <c r="F303" s="1">
        <f>IFERROR(__xludf.DUMMYFUNCTION("""COMPUTED_VALUE"""),181907.0)</f>
        <v>181907</v>
      </c>
    </row>
    <row r="304">
      <c r="A304" s="2">
        <f>IFERROR(__xludf.DUMMYFUNCTION("""COMPUTED_VALUE"""),39609.666666666664)</f>
        <v>39609.66667</v>
      </c>
      <c r="B304" s="1">
        <f>IFERROR(__xludf.DUMMYFUNCTION("""COMPUTED_VALUE"""),0.73)</f>
        <v>0.73</v>
      </c>
      <c r="C304" s="1">
        <f>IFERROR(__xludf.DUMMYFUNCTION("""COMPUTED_VALUE"""),0.75)</f>
        <v>0.75</v>
      </c>
      <c r="D304" s="1">
        <f>IFERROR(__xludf.DUMMYFUNCTION("""COMPUTED_VALUE"""),0.73)</f>
        <v>0.73</v>
      </c>
      <c r="E304" s="1">
        <f>IFERROR(__xludf.DUMMYFUNCTION("""COMPUTED_VALUE"""),0.74)</f>
        <v>0.74</v>
      </c>
      <c r="F304" s="1">
        <f>IFERROR(__xludf.DUMMYFUNCTION("""COMPUTED_VALUE"""),95320.0)</f>
        <v>95320</v>
      </c>
    </row>
    <row r="305">
      <c r="A305" s="2">
        <f>IFERROR(__xludf.DUMMYFUNCTION("""COMPUTED_VALUE"""),39610.666666666664)</f>
        <v>39610.66667</v>
      </c>
      <c r="B305" s="1">
        <f>IFERROR(__xludf.DUMMYFUNCTION("""COMPUTED_VALUE"""),0.74)</f>
        <v>0.74</v>
      </c>
      <c r="C305" s="1">
        <f>IFERROR(__xludf.DUMMYFUNCTION("""COMPUTED_VALUE"""),0.75)</f>
        <v>0.75</v>
      </c>
      <c r="D305" s="1">
        <f>IFERROR(__xludf.DUMMYFUNCTION("""COMPUTED_VALUE"""),0.74)</f>
        <v>0.74</v>
      </c>
      <c r="E305" s="1">
        <f>IFERROR(__xludf.DUMMYFUNCTION("""COMPUTED_VALUE"""),0.75)</f>
        <v>0.75</v>
      </c>
      <c r="F305" s="1">
        <f>IFERROR(__xludf.DUMMYFUNCTION("""COMPUTED_VALUE"""),165069.0)</f>
        <v>165069</v>
      </c>
    </row>
    <row r="306">
      <c r="A306" s="2">
        <f>IFERROR(__xludf.DUMMYFUNCTION("""COMPUTED_VALUE"""),39611.666666666664)</f>
        <v>39611.66667</v>
      </c>
      <c r="B306" s="1">
        <f>IFERROR(__xludf.DUMMYFUNCTION("""COMPUTED_VALUE"""),0.75)</f>
        <v>0.75</v>
      </c>
      <c r="C306" s="1">
        <f>IFERROR(__xludf.DUMMYFUNCTION("""COMPUTED_VALUE"""),0.76)</f>
        <v>0.76</v>
      </c>
      <c r="D306" s="1">
        <f>IFERROR(__xludf.DUMMYFUNCTION("""COMPUTED_VALUE"""),0.75)</f>
        <v>0.75</v>
      </c>
      <c r="E306" s="1">
        <f>IFERROR(__xludf.DUMMYFUNCTION("""COMPUTED_VALUE"""),0.75)</f>
        <v>0.75</v>
      </c>
      <c r="F306" s="1">
        <f>IFERROR(__xludf.DUMMYFUNCTION("""COMPUTED_VALUE"""),99487.0)</f>
        <v>99487</v>
      </c>
    </row>
    <row r="307">
      <c r="A307" s="2">
        <f>IFERROR(__xludf.DUMMYFUNCTION("""COMPUTED_VALUE"""),39612.666666666664)</f>
        <v>39612.66667</v>
      </c>
      <c r="B307" s="1">
        <f>IFERROR(__xludf.DUMMYFUNCTION("""COMPUTED_VALUE"""),0.75)</f>
        <v>0.75</v>
      </c>
      <c r="C307" s="1">
        <f>IFERROR(__xludf.DUMMYFUNCTION("""COMPUTED_VALUE"""),0.77)</f>
        <v>0.77</v>
      </c>
      <c r="D307" s="1">
        <f>IFERROR(__xludf.DUMMYFUNCTION("""COMPUTED_VALUE"""),0.75)</f>
        <v>0.75</v>
      </c>
      <c r="E307" s="1">
        <f>IFERROR(__xludf.DUMMYFUNCTION("""COMPUTED_VALUE"""),0.76)</f>
        <v>0.76</v>
      </c>
      <c r="F307" s="1">
        <f>IFERROR(__xludf.DUMMYFUNCTION("""COMPUTED_VALUE"""),53377.0)</f>
        <v>53377</v>
      </c>
    </row>
    <row r="308">
      <c r="A308" s="2">
        <f>IFERROR(__xludf.DUMMYFUNCTION("""COMPUTED_VALUE"""),39615.666666666664)</f>
        <v>39615.66667</v>
      </c>
      <c r="B308" s="1">
        <f>IFERROR(__xludf.DUMMYFUNCTION("""COMPUTED_VALUE"""),0.76)</f>
        <v>0.76</v>
      </c>
      <c r="C308" s="1">
        <f>IFERROR(__xludf.DUMMYFUNCTION("""COMPUTED_VALUE"""),0.77)</f>
        <v>0.77</v>
      </c>
      <c r="D308" s="1">
        <f>IFERROR(__xludf.DUMMYFUNCTION("""COMPUTED_VALUE"""),0.75)</f>
        <v>0.75</v>
      </c>
      <c r="E308" s="1">
        <f>IFERROR(__xludf.DUMMYFUNCTION("""COMPUTED_VALUE"""),0.77)</f>
        <v>0.77</v>
      </c>
      <c r="F308" s="1">
        <f>IFERROR(__xludf.DUMMYFUNCTION("""COMPUTED_VALUE"""),50029.0)</f>
        <v>50029</v>
      </c>
    </row>
    <row r="309">
      <c r="A309" s="2">
        <f>IFERROR(__xludf.DUMMYFUNCTION("""COMPUTED_VALUE"""),39616.666666666664)</f>
        <v>39616.66667</v>
      </c>
      <c r="B309" s="1">
        <f>IFERROR(__xludf.DUMMYFUNCTION("""COMPUTED_VALUE"""),0.77)</f>
        <v>0.77</v>
      </c>
      <c r="C309" s="1">
        <f>IFERROR(__xludf.DUMMYFUNCTION("""COMPUTED_VALUE"""),0.78)</f>
        <v>0.78</v>
      </c>
      <c r="D309" s="1">
        <f>IFERROR(__xludf.DUMMYFUNCTION("""COMPUTED_VALUE"""),0.76)</f>
        <v>0.76</v>
      </c>
      <c r="E309" s="1">
        <f>IFERROR(__xludf.DUMMYFUNCTION("""COMPUTED_VALUE"""),0.76)</f>
        <v>0.76</v>
      </c>
      <c r="F309" s="1">
        <f>IFERROR(__xludf.DUMMYFUNCTION("""COMPUTED_VALUE"""),79954.0)</f>
        <v>79954</v>
      </c>
    </row>
    <row r="310">
      <c r="A310" s="2">
        <f>IFERROR(__xludf.DUMMYFUNCTION("""COMPUTED_VALUE"""),39617.666666666664)</f>
        <v>39617.66667</v>
      </c>
      <c r="B310" s="1">
        <f>IFERROR(__xludf.DUMMYFUNCTION("""COMPUTED_VALUE"""),0.76)</f>
        <v>0.76</v>
      </c>
      <c r="C310" s="1">
        <f>IFERROR(__xludf.DUMMYFUNCTION("""COMPUTED_VALUE"""),0.77)</f>
        <v>0.77</v>
      </c>
      <c r="D310" s="1">
        <f>IFERROR(__xludf.DUMMYFUNCTION("""COMPUTED_VALUE"""),0.75)</f>
        <v>0.75</v>
      </c>
      <c r="E310" s="1">
        <f>IFERROR(__xludf.DUMMYFUNCTION("""COMPUTED_VALUE"""),0.76)</f>
        <v>0.76</v>
      </c>
      <c r="F310" s="1">
        <f>IFERROR(__xludf.DUMMYFUNCTION("""COMPUTED_VALUE"""),61464.0)</f>
        <v>61464</v>
      </c>
    </row>
    <row r="311">
      <c r="A311" s="2">
        <f>IFERROR(__xludf.DUMMYFUNCTION("""COMPUTED_VALUE"""),39618.666666666664)</f>
        <v>39618.66667</v>
      </c>
      <c r="B311" s="1">
        <f>IFERROR(__xludf.DUMMYFUNCTION("""COMPUTED_VALUE"""),0.76)</f>
        <v>0.76</v>
      </c>
      <c r="C311" s="1">
        <f>IFERROR(__xludf.DUMMYFUNCTION("""COMPUTED_VALUE"""),0.76)</f>
        <v>0.76</v>
      </c>
      <c r="D311" s="1">
        <f>IFERROR(__xludf.DUMMYFUNCTION("""COMPUTED_VALUE"""),0.75)</f>
        <v>0.75</v>
      </c>
      <c r="E311" s="1">
        <f>IFERROR(__xludf.DUMMYFUNCTION("""COMPUTED_VALUE"""),0.76)</f>
        <v>0.76</v>
      </c>
      <c r="F311" s="1">
        <f>IFERROR(__xludf.DUMMYFUNCTION("""COMPUTED_VALUE"""),57451.0)</f>
        <v>57451</v>
      </c>
    </row>
    <row r="312">
      <c r="A312" s="2">
        <f>IFERROR(__xludf.DUMMYFUNCTION("""COMPUTED_VALUE"""),39619.666666666664)</f>
        <v>39619.66667</v>
      </c>
      <c r="B312" s="1">
        <f>IFERROR(__xludf.DUMMYFUNCTION("""COMPUTED_VALUE"""),0.76)</f>
        <v>0.76</v>
      </c>
      <c r="C312" s="1">
        <f>IFERROR(__xludf.DUMMYFUNCTION("""COMPUTED_VALUE"""),0.77)</f>
        <v>0.77</v>
      </c>
      <c r="D312" s="1">
        <f>IFERROR(__xludf.DUMMYFUNCTION("""COMPUTED_VALUE"""),0.76)</f>
        <v>0.76</v>
      </c>
      <c r="E312" s="1">
        <f>IFERROR(__xludf.DUMMYFUNCTION("""COMPUTED_VALUE"""),0.76)</f>
        <v>0.76</v>
      </c>
      <c r="F312" s="1">
        <f>IFERROR(__xludf.DUMMYFUNCTION("""COMPUTED_VALUE"""),152343.0)</f>
        <v>152343</v>
      </c>
    </row>
    <row r="313">
      <c r="A313" s="2">
        <f>IFERROR(__xludf.DUMMYFUNCTION("""COMPUTED_VALUE"""),39622.666666666664)</f>
        <v>39622.66667</v>
      </c>
      <c r="B313" s="1">
        <f>IFERROR(__xludf.DUMMYFUNCTION("""COMPUTED_VALUE"""),0.76)</f>
        <v>0.76</v>
      </c>
      <c r="C313" s="1">
        <f>IFERROR(__xludf.DUMMYFUNCTION("""COMPUTED_VALUE"""),0.77)</f>
        <v>0.77</v>
      </c>
      <c r="D313" s="1">
        <f>IFERROR(__xludf.DUMMYFUNCTION("""COMPUTED_VALUE"""),0.76)</f>
        <v>0.76</v>
      </c>
      <c r="E313" s="1">
        <f>IFERROR(__xludf.DUMMYFUNCTION("""COMPUTED_VALUE"""),0.76)</f>
        <v>0.76</v>
      </c>
      <c r="F313" s="1">
        <f>IFERROR(__xludf.DUMMYFUNCTION("""COMPUTED_VALUE"""),75226.0)</f>
        <v>75226</v>
      </c>
    </row>
    <row r="314">
      <c r="A314" s="2">
        <f>IFERROR(__xludf.DUMMYFUNCTION("""COMPUTED_VALUE"""),39623.666666666664)</f>
        <v>39623.66667</v>
      </c>
      <c r="B314" s="1">
        <f>IFERROR(__xludf.DUMMYFUNCTION("""COMPUTED_VALUE"""),0.76)</f>
        <v>0.76</v>
      </c>
      <c r="C314" s="1">
        <f>IFERROR(__xludf.DUMMYFUNCTION("""COMPUTED_VALUE"""),0.77)</f>
        <v>0.77</v>
      </c>
      <c r="D314" s="1">
        <f>IFERROR(__xludf.DUMMYFUNCTION("""COMPUTED_VALUE"""),0.76)</f>
        <v>0.76</v>
      </c>
      <c r="E314" s="1">
        <f>IFERROR(__xludf.DUMMYFUNCTION("""COMPUTED_VALUE"""),0.76)</f>
        <v>0.76</v>
      </c>
      <c r="F314" s="1">
        <f>IFERROR(__xludf.DUMMYFUNCTION("""COMPUTED_VALUE"""),99505.0)</f>
        <v>99505</v>
      </c>
    </row>
    <row r="315">
      <c r="A315" s="2">
        <f>IFERROR(__xludf.DUMMYFUNCTION("""COMPUTED_VALUE"""),39624.666666666664)</f>
        <v>39624.66667</v>
      </c>
      <c r="B315" s="1">
        <f>IFERROR(__xludf.DUMMYFUNCTION("""COMPUTED_VALUE"""),0.76)</f>
        <v>0.76</v>
      </c>
      <c r="C315" s="1">
        <f>IFERROR(__xludf.DUMMYFUNCTION("""COMPUTED_VALUE"""),0.79)</f>
        <v>0.79</v>
      </c>
      <c r="D315" s="1">
        <f>IFERROR(__xludf.DUMMYFUNCTION("""COMPUTED_VALUE"""),0.76)</f>
        <v>0.76</v>
      </c>
      <c r="E315" s="1">
        <f>IFERROR(__xludf.DUMMYFUNCTION("""COMPUTED_VALUE"""),0.78)</f>
        <v>0.78</v>
      </c>
      <c r="F315" s="1">
        <f>IFERROR(__xludf.DUMMYFUNCTION("""COMPUTED_VALUE"""),108159.0)</f>
        <v>108159</v>
      </c>
    </row>
    <row r="316">
      <c r="A316" s="2">
        <f>IFERROR(__xludf.DUMMYFUNCTION("""COMPUTED_VALUE"""),39625.666666666664)</f>
        <v>39625.66667</v>
      </c>
      <c r="B316" s="1">
        <f>IFERROR(__xludf.DUMMYFUNCTION("""COMPUTED_VALUE"""),0.78)</f>
        <v>0.78</v>
      </c>
      <c r="C316" s="1">
        <f>IFERROR(__xludf.DUMMYFUNCTION("""COMPUTED_VALUE"""),0.78)</f>
        <v>0.78</v>
      </c>
      <c r="D316" s="1">
        <f>IFERROR(__xludf.DUMMYFUNCTION("""COMPUTED_VALUE"""),0.75)</f>
        <v>0.75</v>
      </c>
      <c r="E316" s="1">
        <f>IFERROR(__xludf.DUMMYFUNCTION("""COMPUTED_VALUE"""),0.76)</f>
        <v>0.76</v>
      </c>
      <c r="F316" s="1">
        <f>IFERROR(__xludf.DUMMYFUNCTION("""COMPUTED_VALUE"""),232758.0)</f>
        <v>232758</v>
      </c>
    </row>
    <row r="317">
      <c r="A317" s="2">
        <f>IFERROR(__xludf.DUMMYFUNCTION("""COMPUTED_VALUE"""),39626.666666666664)</f>
        <v>39626.66667</v>
      </c>
      <c r="B317" s="1">
        <f>IFERROR(__xludf.DUMMYFUNCTION("""COMPUTED_VALUE"""),0.76)</f>
        <v>0.76</v>
      </c>
      <c r="C317" s="1">
        <f>IFERROR(__xludf.DUMMYFUNCTION("""COMPUTED_VALUE"""),0.76)</f>
        <v>0.76</v>
      </c>
      <c r="D317" s="1">
        <f>IFERROR(__xludf.DUMMYFUNCTION("""COMPUTED_VALUE"""),0.72)</f>
        <v>0.72</v>
      </c>
      <c r="E317" s="1">
        <f>IFERROR(__xludf.DUMMYFUNCTION("""COMPUTED_VALUE"""),0.73)</f>
        <v>0.73</v>
      </c>
      <c r="F317" s="1">
        <f>IFERROR(__xludf.DUMMYFUNCTION("""COMPUTED_VALUE"""),1634424.0)</f>
        <v>1634424</v>
      </c>
    </row>
    <row r="318">
      <c r="A318" s="2">
        <f>IFERROR(__xludf.DUMMYFUNCTION("""COMPUTED_VALUE"""),39629.666666666664)</f>
        <v>39629.66667</v>
      </c>
      <c r="B318" s="1">
        <f>IFERROR(__xludf.DUMMYFUNCTION("""COMPUTED_VALUE"""),0.73)</f>
        <v>0.73</v>
      </c>
      <c r="C318" s="1">
        <f>IFERROR(__xludf.DUMMYFUNCTION("""COMPUTED_VALUE"""),0.77)</f>
        <v>0.77</v>
      </c>
      <c r="D318" s="1">
        <f>IFERROR(__xludf.DUMMYFUNCTION("""COMPUTED_VALUE"""),0.71)</f>
        <v>0.71</v>
      </c>
      <c r="E318" s="1">
        <f>IFERROR(__xludf.DUMMYFUNCTION("""COMPUTED_VALUE"""),0.74)</f>
        <v>0.74</v>
      </c>
      <c r="F318" s="1">
        <f>IFERROR(__xludf.DUMMYFUNCTION("""COMPUTED_VALUE"""),337270.0)</f>
        <v>337270</v>
      </c>
    </row>
    <row r="319">
      <c r="A319" s="2">
        <f>IFERROR(__xludf.DUMMYFUNCTION("""COMPUTED_VALUE"""),39630.666666666664)</f>
        <v>39630.66667</v>
      </c>
      <c r="B319" s="1">
        <f>IFERROR(__xludf.DUMMYFUNCTION("""COMPUTED_VALUE"""),0.73)</f>
        <v>0.73</v>
      </c>
      <c r="C319" s="1">
        <f>IFERROR(__xludf.DUMMYFUNCTION("""COMPUTED_VALUE"""),0.75)</f>
        <v>0.75</v>
      </c>
      <c r="D319" s="1">
        <f>IFERROR(__xludf.DUMMYFUNCTION("""COMPUTED_VALUE"""),0.71)</f>
        <v>0.71</v>
      </c>
      <c r="E319" s="1">
        <f>IFERROR(__xludf.DUMMYFUNCTION("""COMPUTED_VALUE"""),0.75)</f>
        <v>0.75</v>
      </c>
      <c r="F319" s="1">
        <f>IFERROR(__xludf.DUMMYFUNCTION("""COMPUTED_VALUE"""),180278.0)</f>
        <v>180278</v>
      </c>
    </row>
    <row r="320">
      <c r="A320" s="2">
        <f>IFERROR(__xludf.DUMMYFUNCTION("""COMPUTED_VALUE"""),39631.666666666664)</f>
        <v>39631.66667</v>
      </c>
      <c r="B320" s="1">
        <f>IFERROR(__xludf.DUMMYFUNCTION("""COMPUTED_VALUE"""),0.75)</f>
        <v>0.75</v>
      </c>
      <c r="C320" s="1">
        <f>IFERROR(__xludf.DUMMYFUNCTION("""COMPUTED_VALUE"""),0.77)</f>
        <v>0.77</v>
      </c>
      <c r="D320" s="1">
        <f>IFERROR(__xludf.DUMMYFUNCTION("""COMPUTED_VALUE"""),0.75)</f>
        <v>0.75</v>
      </c>
      <c r="E320" s="1">
        <f>IFERROR(__xludf.DUMMYFUNCTION("""COMPUTED_VALUE"""),0.76)</f>
        <v>0.76</v>
      </c>
      <c r="F320" s="1">
        <f>IFERROR(__xludf.DUMMYFUNCTION("""COMPUTED_VALUE"""),125873.0)</f>
        <v>125873</v>
      </c>
    </row>
    <row r="321">
      <c r="A321" s="2">
        <f>IFERROR(__xludf.DUMMYFUNCTION("""COMPUTED_VALUE"""),39632.666666666664)</f>
        <v>39632.66667</v>
      </c>
      <c r="B321" s="1">
        <f>IFERROR(__xludf.DUMMYFUNCTION("""COMPUTED_VALUE"""),0.76)</f>
        <v>0.76</v>
      </c>
      <c r="C321" s="1">
        <f>IFERROR(__xludf.DUMMYFUNCTION("""COMPUTED_VALUE"""),0.76)</f>
        <v>0.76</v>
      </c>
      <c r="D321" s="1">
        <f>IFERROR(__xludf.DUMMYFUNCTION("""COMPUTED_VALUE"""),0.75)</f>
        <v>0.75</v>
      </c>
      <c r="E321" s="1">
        <f>IFERROR(__xludf.DUMMYFUNCTION("""COMPUTED_VALUE"""),0.76)</f>
        <v>0.76</v>
      </c>
      <c r="F321" s="1">
        <f>IFERROR(__xludf.DUMMYFUNCTION("""COMPUTED_VALUE"""),50826.0)</f>
        <v>50826</v>
      </c>
    </row>
    <row r="322">
      <c r="A322" s="2">
        <f>IFERROR(__xludf.DUMMYFUNCTION("""COMPUTED_VALUE"""),39636.666666666664)</f>
        <v>39636.66667</v>
      </c>
      <c r="B322" s="1">
        <f>IFERROR(__xludf.DUMMYFUNCTION("""COMPUTED_VALUE"""),0.76)</f>
        <v>0.76</v>
      </c>
      <c r="C322" s="1">
        <f>IFERROR(__xludf.DUMMYFUNCTION("""COMPUTED_VALUE"""),0.76)</f>
        <v>0.76</v>
      </c>
      <c r="D322" s="1">
        <f>IFERROR(__xludf.DUMMYFUNCTION("""COMPUTED_VALUE"""),0.75)</f>
        <v>0.75</v>
      </c>
      <c r="E322" s="1">
        <f>IFERROR(__xludf.DUMMYFUNCTION("""COMPUTED_VALUE"""),0.76)</f>
        <v>0.76</v>
      </c>
      <c r="F322" s="1">
        <f>IFERROR(__xludf.DUMMYFUNCTION("""COMPUTED_VALUE"""),88622.0)</f>
        <v>88622</v>
      </c>
    </row>
    <row r="323">
      <c r="A323" s="2">
        <f>IFERROR(__xludf.DUMMYFUNCTION("""COMPUTED_VALUE"""),39637.666666666664)</f>
        <v>39637.66667</v>
      </c>
      <c r="B323" s="1">
        <f>IFERROR(__xludf.DUMMYFUNCTION("""COMPUTED_VALUE"""),0.76)</f>
        <v>0.76</v>
      </c>
      <c r="C323" s="1">
        <f>IFERROR(__xludf.DUMMYFUNCTION("""COMPUTED_VALUE"""),0.77)</f>
        <v>0.77</v>
      </c>
      <c r="D323" s="1">
        <f>IFERROR(__xludf.DUMMYFUNCTION("""COMPUTED_VALUE"""),0.75)</f>
        <v>0.75</v>
      </c>
      <c r="E323" s="1">
        <f>IFERROR(__xludf.DUMMYFUNCTION("""COMPUTED_VALUE"""),0.77)</f>
        <v>0.77</v>
      </c>
      <c r="F323" s="1">
        <f>IFERROR(__xludf.DUMMYFUNCTION("""COMPUTED_VALUE"""),113008.0)</f>
        <v>113008</v>
      </c>
    </row>
    <row r="324">
      <c r="A324" s="2">
        <f>IFERROR(__xludf.DUMMYFUNCTION("""COMPUTED_VALUE"""),39638.666666666664)</f>
        <v>39638.66667</v>
      </c>
      <c r="B324" s="1">
        <f>IFERROR(__xludf.DUMMYFUNCTION("""COMPUTED_VALUE"""),0.77)</f>
        <v>0.77</v>
      </c>
      <c r="C324" s="1">
        <f>IFERROR(__xludf.DUMMYFUNCTION("""COMPUTED_VALUE"""),0.77)</f>
        <v>0.77</v>
      </c>
      <c r="D324" s="1">
        <f>IFERROR(__xludf.DUMMYFUNCTION("""COMPUTED_VALUE"""),0.74)</f>
        <v>0.74</v>
      </c>
      <c r="E324" s="1">
        <f>IFERROR(__xludf.DUMMYFUNCTION("""COMPUTED_VALUE"""),0.76)</f>
        <v>0.76</v>
      </c>
      <c r="F324" s="1">
        <f>IFERROR(__xludf.DUMMYFUNCTION("""COMPUTED_VALUE"""),53491.0)</f>
        <v>53491</v>
      </c>
    </row>
    <row r="325">
      <c r="A325" s="2">
        <f>IFERROR(__xludf.DUMMYFUNCTION("""COMPUTED_VALUE"""),39639.666666666664)</f>
        <v>39639.66667</v>
      </c>
      <c r="B325" s="1">
        <f>IFERROR(__xludf.DUMMYFUNCTION("""COMPUTED_VALUE"""),0.76)</f>
        <v>0.76</v>
      </c>
      <c r="C325" s="1">
        <f>IFERROR(__xludf.DUMMYFUNCTION("""COMPUTED_VALUE"""),0.77)</f>
        <v>0.77</v>
      </c>
      <c r="D325" s="1">
        <f>IFERROR(__xludf.DUMMYFUNCTION("""COMPUTED_VALUE"""),0.76)</f>
        <v>0.76</v>
      </c>
      <c r="E325" s="1">
        <f>IFERROR(__xludf.DUMMYFUNCTION("""COMPUTED_VALUE"""),0.77)</f>
        <v>0.77</v>
      </c>
      <c r="F325" s="1">
        <f>IFERROR(__xludf.DUMMYFUNCTION("""COMPUTED_VALUE"""),60386.0)</f>
        <v>60386</v>
      </c>
    </row>
    <row r="326">
      <c r="A326" s="2">
        <f>IFERROR(__xludf.DUMMYFUNCTION("""COMPUTED_VALUE"""),39640.666666666664)</f>
        <v>39640.66667</v>
      </c>
      <c r="B326" s="1">
        <f>IFERROR(__xludf.DUMMYFUNCTION("""COMPUTED_VALUE"""),0.76)</f>
        <v>0.76</v>
      </c>
      <c r="C326" s="1">
        <f>IFERROR(__xludf.DUMMYFUNCTION("""COMPUTED_VALUE"""),0.77)</f>
        <v>0.77</v>
      </c>
      <c r="D326" s="1">
        <f>IFERROR(__xludf.DUMMYFUNCTION("""COMPUTED_VALUE"""),0.72)</f>
        <v>0.72</v>
      </c>
      <c r="E326" s="1">
        <f>IFERROR(__xludf.DUMMYFUNCTION("""COMPUTED_VALUE"""),0.77)</f>
        <v>0.77</v>
      </c>
      <c r="F326" s="1">
        <f>IFERROR(__xludf.DUMMYFUNCTION("""COMPUTED_VALUE"""),110580.0)</f>
        <v>110580</v>
      </c>
    </row>
    <row r="327">
      <c r="A327" s="2">
        <f>IFERROR(__xludf.DUMMYFUNCTION("""COMPUTED_VALUE"""),39643.666666666664)</f>
        <v>39643.66667</v>
      </c>
      <c r="B327" s="1">
        <f>IFERROR(__xludf.DUMMYFUNCTION("""COMPUTED_VALUE"""),0.77)</f>
        <v>0.77</v>
      </c>
      <c r="C327" s="1">
        <f>IFERROR(__xludf.DUMMYFUNCTION("""COMPUTED_VALUE"""),0.78)</f>
        <v>0.78</v>
      </c>
      <c r="D327" s="1">
        <f>IFERROR(__xludf.DUMMYFUNCTION("""COMPUTED_VALUE"""),0.75)</f>
        <v>0.75</v>
      </c>
      <c r="E327" s="1">
        <f>IFERROR(__xludf.DUMMYFUNCTION("""COMPUTED_VALUE"""),0.75)</f>
        <v>0.75</v>
      </c>
      <c r="F327" s="1">
        <f>IFERROR(__xludf.DUMMYFUNCTION("""COMPUTED_VALUE"""),139066.0)</f>
        <v>139066</v>
      </c>
    </row>
    <row r="328">
      <c r="A328" s="2">
        <f>IFERROR(__xludf.DUMMYFUNCTION("""COMPUTED_VALUE"""),39644.666666666664)</f>
        <v>39644.66667</v>
      </c>
      <c r="B328" s="1">
        <f>IFERROR(__xludf.DUMMYFUNCTION("""COMPUTED_VALUE"""),0.75)</f>
        <v>0.75</v>
      </c>
      <c r="C328" s="1">
        <f>IFERROR(__xludf.DUMMYFUNCTION("""COMPUTED_VALUE"""),0.78)</f>
        <v>0.78</v>
      </c>
      <c r="D328" s="1">
        <f>IFERROR(__xludf.DUMMYFUNCTION("""COMPUTED_VALUE"""),0.74)</f>
        <v>0.74</v>
      </c>
      <c r="E328" s="1">
        <f>IFERROR(__xludf.DUMMYFUNCTION("""COMPUTED_VALUE"""),0.76)</f>
        <v>0.76</v>
      </c>
      <c r="F328" s="1">
        <f>IFERROR(__xludf.DUMMYFUNCTION("""COMPUTED_VALUE"""),59022.0)</f>
        <v>59022</v>
      </c>
    </row>
    <row r="329">
      <c r="A329" s="2">
        <f>IFERROR(__xludf.DUMMYFUNCTION("""COMPUTED_VALUE"""),39645.666666666664)</f>
        <v>39645.66667</v>
      </c>
      <c r="B329" s="1">
        <f>IFERROR(__xludf.DUMMYFUNCTION("""COMPUTED_VALUE"""),0.77)</f>
        <v>0.77</v>
      </c>
      <c r="C329" s="1">
        <f>IFERROR(__xludf.DUMMYFUNCTION("""COMPUTED_VALUE"""),0.78)</f>
        <v>0.78</v>
      </c>
      <c r="D329" s="1">
        <f>IFERROR(__xludf.DUMMYFUNCTION("""COMPUTED_VALUE"""),0.75)</f>
        <v>0.75</v>
      </c>
      <c r="E329" s="1">
        <f>IFERROR(__xludf.DUMMYFUNCTION("""COMPUTED_VALUE"""),0.77)</f>
        <v>0.77</v>
      </c>
      <c r="F329" s="1">
        <f>IFERROR(__xludf.DUMMYFUNCTION("""COMPUTED_VALUE"""),70354.0)</f>
        <v>70354</v>
      </c>
    </row>
    <row r="330">
      <c r="A330" s="2">
        <f>IFERROR(__xludf.DUMMYFUNCTION("""COMPUTED_VALUE"""),39646.666666666664)</f>
        <v>39646.66667</v>
      </c>
      <c r="B330" s="1">
        <f>IFERROR(__xludf.DUMMYFUNCTION("""COMPUTED_VALUE"""),0.78)</f>
        <v>0.78</v>
      </c>
      <c r="C330" s="1">
        <f>IFERROR(__xludf.DUMMYFUNCTION("""COMPUTED_VALUE"""),0.78)</f>
        <v>0.78</v>
      </c>
      <c r="D330" s="1">
        <f>IFERROR(__xludf.DUMMYFUNCTION("""COMPUTED_VALUE"""),0.77)</f>
        <v>0.77</v>
      </c>
      <c r="E330" s="1">
        <f>IFERROR(__xludf.DUMMYFUNCTION("""COMPUTED_VALUE"""),0.78)</f>
        <v>0.78</v>
      </c>
      <c r="F330" s="1">
        <f>IFERROR(__xludf.DUMMYFUNCTION("""COMPUTED_VALUE"""),39710.0)</f>
        <v>39710</v>
      </c>
    </row>
    <row r="331">
      <c r="A331" s="2">
        <f>IFERROR(__xludf.DUMMYFUNCTION("""COMPUTED_VALUE"""),39647.666666666664)</f>
        <v>39647.66667</v>
      </c>
      <c r="B331" s="1">
        <f>IFERROR(__xludf.DUMMYFUNCTION("""COMPUTED_VALUE"""),0.78)</f>
        <v>0.78</v>
      </c>
      <c r="C331" s="1">
        <f>IFERROR(__xludf.DUMMYFUNCTION("""COMPUTED_VALUE"""),0.78)</f>
        <v>0.78</v>
      </c>
      <c r="D331" s="1">
        <f>IFERROR(__xludf.DUMMYFUNCTION("""COMPUTED_VALUE"""),0.76)</f>
        <v>0.76</v>
      </c>
      <c r="E331" s="1">
        <f>IFERROR(__xludf.DUMMYFUNCTION("""COMPUTED_VALUE"""),0.76)</f>
        <v>0.76</v>
      </c>
      <c r="F331" s="1">
        <f>IFERROR(__xludf.DUMMYFUNCTION("""COMPUTED_VALUE"""),60759.0)</f>
        <v>60759</v>
      </c>
    </row>
    <row r="332">
      <c r="A332" s="2">
        <f>IFERROR(__xludf.DUMMYFUNCTION("""COMPUTED_VALUE"""),39650.666666666664)</f>
        <v>39650.66667</v>
      </c>
      <c r="B332" s="1">
        <f>IFERROR(__xludf.DUMMYFUNCTION("""COMPUTED_VALUE"""),0.77)</f>
        <v>0.77</v>
      </c>
      <c r="C332" s="1">
        <f>IFERROR(__xludf.DUMMYFUNCTION("""COMPUTED_VALUE"""),0.77)</f>
        <v>0.77</v>
      </c>
      <c r="D332" s="1">
        <f>IFERROR(__xludf.DUMMYFUNCTION("""COMPUTED_VALUE"""),0.77)</f>
        <v>0.77</v>
      </c>
      <c r="E332" s="1">
        <f>IFERROR(__xludf.DUMMYFUNCTION("""COMPUTED_VALUE"""),0.77)</f>
        <v>0.77</v>
      </c>
      <c r="F332" s="1">
        <f>IFERROR(__xludf.DUMMYFUNCTION("""COMPUTED_VALUE"""),18467.0)</f>
        <v>18467</v>
      </c>
    </row>
    <row r="333">
      <c r="A333" s="2">
        <f>IFERROR(__xludf.DUMMYFUNCTION("""COMPUTED_VALUE"""),39651.666666666664)</f>
        <v>39651.66667</v>
      </c>
      <c r="B333" s="1">
        <f>IFERROR(__xludf.DUMMYFUNCTION("""COMPUTED_VALUE"""),0.76)</f>
        <v>0.76</v>
      </c>
      <c r="C333" s="1">
        <f>IFERROR(__xludf.DUMMYFUNCTION("""COMPUTED_VALUE"""),0.78)</f>
        <v>0.78</v>
      </c>
      <c r="D333" s="1">
        <f>IFERROR(__xludf.DUMMYFUNCTION("""COMPUTED_VALUE"""),0.76)</f>
        <v>0.76</v>
      </c>
      <c r="E333" s="1">
        <f>IFERROR(__xludf.DUMMYFUNCTION("""COMPUTED_VALUE"""),0.78)</f>
        <v>0.78</v>
      </c>
      <c r="F333" s="1">
        <f>IFERROR(__xludf.DUMMYFUNCTION("""COMPUTED_VALUE"""),61887.0)</f>
        <v>61887</v>
      </c>
    </row>
    <row r="334">
      <c r="A334" s="2">
        <f>IFERROR(__xludf.DUMMYFUNCTION("""COMPUTED_VALUE"""),39652.666666666664)</f>
        <v>39652.66667</v>
      </c>
      <c r="B334" s="1">
        <f>IFERROR(__xludf.DUMMYFUNCTION("""COMPUTED_VALUE"""),0.78)</f>
        <v>0.78</v>
      </c>
      <c r="C334" s="1">
        <f>IFERROR(__xludf.DUMMYFUNCTION("""COMPUTED_VALUE"""),0.78)</f>
        <v>0.78</v>
      </c>
      <c r="D334" s="1">
        <f>IFERROR(__xludf.DUMMYFUNCTION("""COMPUTED_VALUE"""),0.77)</f>
        <v>0.77</v>
      </c>
      <c r="E334" s="1">
        <f>IFERROR(__xludf.DUMMYFUNCTION("""COMPUTED_VALUE"""),0.78)</f>
        <v>0.78</v>
      </c>
      <c r="F334" s="1">
        <f>IFERROR(__xludf.DUMMYFUNCTION("""COMPUTED_VALUE"""),47233.0)</f>
        <v>47233</v>
      </c>
    </row>
    <row r="335">
      <c r="A335" s="2">
        <f>IFERROR(__xludf.DUMMYFUNCTION("""COMPUTED_VALUE"""),39653.666666666664)</f>
        <v>39653.66667</v>
      </c>
      <c r="B335" s="1">
        <f>IFERROR(__xludf.DUMMYFUNCTION("""COMPUTED_VALUE"""),0.78)</f>
        <v>0.78</v>
      </c>
      <c r="C335" s="1">
        <f>IFERROR(__xludf.DUMMYFUNCTION("""COMPUTED_VALUE"""),0.78)</f>
        <v>0.78</v>
      </c>
      <c r="D335" s="1">
        <f>IFERROR(__xludf.DUMMYFUNCTION("""COMPUTED_VALUE"""),0.77)</f>
        <v>0.77</v>
      </c>
      <c r="E335" s="1">
        <f>IFERROR(__xludf.DUMMYFUNCTION("""COMPUTED_VALUE"""),0.77)</f>
        <v>0.77</v>
      </c>
      <c r="F335" s="1">
        <f>IFERROR(__xludf.DUMMYFUNCTION("""COMPUTED_VALUE"""),42275.0)</f>
        <v>42275</v>
      </c>
    </row>
    <row r="336">
      <c r="A336" s="2">
        <f>IFERROR(__xludf.DUMMYFUNCTION("""COMPUTED_VALUE"""),39654.666666666664)</f>
        <v>39654.66667</v>
      </c>
      <c r="B336" s="1">
        <f>IFERROR(__xludf.DUMMYFUNCTION("""COMPUTED_VALUE"""),0.78)</f>
        <v>0.78</v>
      </c>
      <c r="C336" s="1">
        <f>IFERROR(__xludf.DUMMYFUNCTION("""COMPUTED_VALUE"""),0.79)</f>
        <v>0.79</v>
      </c>
      <c r="D336" s="1">
        <f>IFERROR(__xludf.DUMMYFUNCTION("""COMPUTED_VALUE"""),0.78)</f>
        <v>0.78</v>
      </c>
      <c r="E336" s="1">
        <f>IFERROR(__xludf.DUMMYFUNCTION("""COMPUTED_VALUE"""),0.78)</f>
        <v>0.78</v>
      </c>
      <c r="F336" s="1">
        <f>IFERROR(__xludf.DUMMYFUNCTION("""COMPUTED_VALUE"""),61094.0)</f>
        <v>61094</v>
      </c>
    </row>
    <row r="337">
      <c r="A337" s="2">
        <f>IFERROR(__xludf.DUMMYFUNCTION("""COMPUTED_VALUE"""),39657.666666666664)</f>
        <v>39657.66667</v>
      </c>
      <c r="B337" s="1">
        <f>IFERROR(__xludf.DUMMYFUNCTION("""COMPUTED_VALUE"""),0.78)</f>
        <v>0.78</v>
      </c>
      <c r="C337" s="1">
        <f>IFERROR(__xludf.DUMMYFUNCTION("""COMPUTED_VALUE"""),0.79)</f>
        <v>0.79</v>
      </c>
      <c r="D337" s="1">
        <f>IFERROR(__xludf.DUMMYFUNCTION("""COMPUTED_VALUE"""),0.78)</f>
        <v>0.78</v>
      </c>
      <c r="E337" s="1">
        <f>IFERROR(__xludf.DUMMYFUNCTION("""COMPUTED_VALUE"""),0.78)</f>
        <v>0.78</v>
      </c>
      <c r="F337" s="1">
        <f>IFERROR(__xludf.DUMMYFUNCTION("""COMPUTED_VALUE"""),40590.0)</f>
        <v>40590</v>
      </c>
    </row>
    <row r="338">
      <c r="A338" s="2">
        <f>IFERROR(__xludf.DUMMYFUNCTION("""COMPUTED_VALUE"""),39658.666666666664)</f>
        <v>39658.66667</v>
      </c>
      <c r="B338" s="1">
        <f>IFERROR(__xludf.DUMMYFUNCTION("""COMPUTED_VALUE"""),0.78)</f>
        <v>0.78</v>
      </c>
      <c r="C338" s="1">
        <f>IFERROR(__xludf.DUMMYFUNCTION("""COMPUTED_VALUE"""),0.79)</f>
        <v>0.79</v>
      </c>
      <c r="D338" s="1">
        <f>IFERROR(__xludf.DUMMYFUNCTION("""COMPUTED_VALUE"""),0.78)</f>
        <v>0.78</v>
      </c>
      <c r="E338" s="1">
        <f>IFERROR(__xludf.DUMMYFUNCTION("""COMPUTED_VALUE"""),0.78)</f>
        <v>0.78</v>
      </c>
      <c r="F338" s="1">
        <f>IFERROR(__xludf.DUMMYFUNCTION("""COMPUTED_VALUE"""),39757.0)</f>
        <v>39757</v>
      </c>
    </row>
    <row r="339">
      <c r="A339" s="2">
        <f>IFERROR(__xludf.DUMMYFUNCTION("""COMPUTED_VALUE"""),39659.666666666664)</f>
        <v>39659.66667</v>
      </c>
      <c r="B339" s="1">
        <f>IFERROR(__xludf.DUMMYFUNCTION("""COMPUTED_VALUE"""),0.79)</f>
        <v>0.79</v>
      </c>
      <c r="C339" s="1">
        <f>IFERROR(__xludf.DUMMYFUNCTION("""COMPUTED_VALUE"""),0.79)</f>
        <v>0.79</v>
      </c>
      <c r="D339" s="1">
        <f>IFERROR(__xludf.DUMMYFUNCTION("""COMPUTED_VALUE"""),0.75)</f>
        <v>0.75</v>
      </c>
      <c r="E339" s="1">
        <f>IFERROR(__xludf.DUMMYFUNCTION("""COMPUTED_VALUE"""),0.79)</f>
        <v>0.79</v>
      </c>
      <c r="F339" s="1">
        <f>IFERROR(__xludf.DUMMYFUNCTION("""COMPUTED_VALUE"""),67707.0)</f>
        <v>67707</v>
      </c>
    </row>
    <row r="340">
      <c r="A340" s="2">
        <f>IFERROR(__xludf.DUMMYFUNCTION("""COMPUTED_VALUE"""),39660.666666666664)</f>
        <v>39660.66667</v>
      </c>
      <c r="B340" s="1">
        <f>IFERROR(__xludf.DUMMYFUNCTION("""COMPUTED_VALUE"""),0.78)</f>
        <v>0.78</v>
      </c>
      <c r="C340" s="1">
        <f>IFERROR(__xludf.DUMMYFUNCTION("""COMPUTED_VALUE"""),0.79)</f>
        <v>0.79</v>
      </c>
      <c r="D340" s="1">
        <f>IFERROR(__xludf.DUMMYFUNCTION("""COMPUTED_VALUE"""),0.78)</f>
        <v>0.78</v>
      </c>
      <c r="E340" s="1">
        <f>IFERROR(__xludf.DUMMYFUNCTION("""COMPUTED_VALUE"""),0.79)</f>
        <v>0.79</v>
      </c>
      <c r="F340" s="1">
        <f>IFERROR(__xludf.DUMMYFUNCTION("""COMPUTED_VALUE"""),101993.0)</f>
        <v>101993</v>
      </c>
    </row>
    <row r="341">
      <c r="A341" s="2">
        <f>IFERROR(__xludf.DUMMYFUNCTION("""COMPUTED_VALUE"""),39661.666666666664)</f>
        <v>39661.66667</v>
      </c>
      <c r="B341" s="1">
        <f>IFERROR(__xludf.DUMMYFUNCTION("""COMPUTED_VALUE"""),0.8)</f>
        <v>0.8</v>
      </c>
      <c r="C341" s="1">
        <f>IFERROR(__xludf.DUMMYFUNCTION("""COMPUTED_VALUE"""),0.8)</f>
        <v>0.8</v>
      </c>
      <c r="D341" s="1">
        <f>IFERROR(__xludf.DUMMYFUNCTION("""COMPUTED_VALUE"""),0.79)</f>
        <v>0.79</v>
      </c>
      <c r="E341" s="1">
        <f>IFERROR(__xludf.DUMMYFUNCTION("""COMPUTED_VALUE"""),0.79)</f>
        <v>0.79</v>
      </c>
      <c r="F341" s="1">
        <f>IFERROR(__xludf.DUMMYFUNCTION("""COMPUTED_VALUE"""),72775.0)</f>
        <v>72775</v>
      </c>
    </row>
    <row r="342">
      <c r="A342" s="2">
        <f>IFERROR(__xludf.DUMMYFUNCTION("""COMPUTED_VALUE"""),39664.666666666664)</f>
        <v>39664.66667</v>
      </c>
      <c r="B342" s="1">
        <f>IFERROR(__xludf.DUMMYFUNCTION("""COMPUTED_VALUE"""),0.79)</f>
        <v>0.79</v>
      </c>
      <c r="C342" s="1">
        <f>IFERROR(__xludf.DUMMYFUNCTION("""COMPUTED_VALUE"""),0.79)</f>
        <v>0.79</v>
      </c>
      <c r="D342" s="1">
        <f>IFERROR(__xludf.DUMMYFUNCTION("""COMPUTED_VALUE"""),0.76)</f>
        <v>0.76</v>
      </c>
      <c r="E342" s="1">
        <f>IFERROR(__xludf.DUMMYFUNCTION("""COMPUTED_VALUE"""),0.79)</f>
        <v>0.79</v>
      </c>
      <c r="F342" s="1">
        <f>IFERROR(__xludf.DUMMYFUNCTION("""COMPUTED_VALUE"""),78492.0)</f>
        <v>78492</v>
      </c>
    </row>
    <row r="343">
      <c r="A343" s="2">
        <f>IFERROR(__xludf.DUMMYFUNCTION("""COMPUTED_VALUE"""),39665.666666666664)</f>
        <v>39665.66667</v>
      </c>
      <c r="B343" s="1">
        <f>IFERROR(__xludf.DUMMYFUNCTION("""COMPUTED_VALUE"""),0.79)</f>
        <v>0.79</v>
      </c>
      <c r="C343" s="1">
        <f>IFERROR(__xludf.DUMMYFUNCTION("""COMPUTED_VALUE"""),0.8)</f>
        <v>0.8</v>
      </c>
      <c r="D343" s="1">
        <f>IFERROR(__xludf.DUMMYFUNCTION("""COMPUTED_VALUE"""),0.78)</f>
        <v>0.78</v>
      </c>
      <c r="E343" s="1">
        <f>IFERROR(__xludf.DUMMYFUNCTION("""COMPUTED_VALUE"""),0.79)</f>
        <v>0.79</v>
      </c>
      <c r="F343" s="1">
        <f>IFERROR(__xludf.DUMMYFUNCTION("""COMPUTED_VALUE"""),58796.0)</f>
        <v>58796</v>
      </c>
    </row>
    <row r="344">
      <c r="A344" s="2">
        <f>IFERROR(__xludf.DUMMYFUNCTION("""COMPUTED_VALUE"""),39666.666666666664)</f>
        <v>39666.66667</v>
      </c>
      <c r="B344" s="1">
        <f>IFERROR(__xludf.DUMMYFUNCTION("""COMPUTED_VALUE"""),0.79)</f>
        <v>0.79</v>
      </c>
      <c r="C344" s="1">
        <f>IFERROR(__xludf.DUMMYFUNCTION("""COMPUTED_VALUE"""),0.8)</f>
        <v>0.8</v>
      </c>
      <c r="D344" s="1">
        <f>IFERROR(__xludf.DUMMYFUNCTION("""COMPUTED_VALUE"""),0.77)</f>
        <v>0.77</v>
      </c>
      <c r="E344" s="1">
        <f>IFERROR(__xludf.DUMMYFUNCTION("""COMPUTED_VALUE"""),0.79)</f>
        <v>0.79</v>
      </c>
      <c r="F344" s="1">
        <f>IFERROR(__xludf.DUMMYFUNCTION("""COMPUTED_VALUE"""),110996.0)</f>
        <v>110996</v>
      </c>
    </row>
    <row r="345">
      <c r="A345" s="2">
        <f>IFERROR(__xludf.DUMMYFUNCTION("""COMPUTED_VALUE"""),39667.666666666664)</f>
        <v>39667.66667</v>
      </c>
      <c r="B345" s="1">
        <f>IFERROR(__xludf.DUMMYFUNCTION("""COMPUTED_VALUE"""),0.81)</f>
        <v>0.81</v>
      </c>
      <c r="C345" s="1">
        <f>IFERROR(__xludf.DUMMYFUNCTION("""COMPUTED_VALUE"""),0.9)</f>
        <v>0.9</v>
      </c>
      <c r="D345" s="1">
        <f>IFERROR(__xludf.DUMMYFUNCTION("""COMPUTED_VALUE"""),0.81)</f>
        <v>0.81</v>
      </c>
      <c r="E345" s="1">
        <f>IFERROR(__xludf.DUMMYFUNCTION("""COMPUTED_VALUE"""),0.9)</f>
        <v>0.9</v>
      </c>
      <c r="F345" s="1">
        <f>IFERROR(__xludf.DUMMYFUNCTION("""COMPUTED_VALUE"""),638454.0)</f>
        <v>638454</v>
      </c>
    </row>
    <row r="346">
      <c r="A346" s="2">
        <f>IFERROR(__xludf.DUMMYFUNCTION("""COMPUTED_VALUE"""),39668.666666666664)</f>
        <v>39668.66667</v>
      </c>
      <c r="B346" s="1">
        <f>IFERROR(__xludf.DUMMYFUNCTION("""COMPUTED_VALUE"""),0.88)</f>
        <v>0.88</v>
      </c>
      <c r="C346" s="1">
        <f>IFERROR(__xludf.DUMMYFUNCTION("""COMPUTED_VALUE"""),0.93)</f>
        <v>0.93</v>
      </c>
      <c r="D346" s="1">
        <f>IFERROR(__xludf.DUMMYFUNCTION("""COMPUTED_VALUE"""),0.88)</f>
        <v>0.88</v>
      </c>
      <c r="E346" s="1">
        <f>IFERROR(__xludf.DUMMYFUNCTION("""COMPUTED_VALUE"""),0.9)</f>
        <v>0.9</v>
      </c>
      <c r="F346" s="1">
        <f>IFERROR(__xludf.DUMMYFUNCTION("""COMPUTED_VALUE"""),288972.0)</f>
        <v>288972</v>
      </c>
    </row>
    <row r="347">
      <c r="A347" s="2">
        <f>IFERROR(__xludf.DUMMYFUNCTION("""COMPUTED_VALUE"""),39671.666666666664)</f>
        <v>39671.66667</v>
      </c>
      <c r="B347" s="1">
        <f>IFERROR(__xludf.DUMMYFUNCTION("""COMPUTED_VALUE"""),0.9)</f>
        <v>0.9</v>
      </c>
      <c r="C347" s="1">
        <f>IFERROR(__xludf.DUMMYFUNCTION("""COMPUTED_VALUE"""),0.91)</f>
        <v>0.91</v>
      </c>
      <c r="D347" s="1">
        <f>IFERROR(__xludf.DUMMYFUNCTION("""COMPUTED_VALUE"""),0.88)</f>
        <v>0.88</v>
      </c>
      <c r="E347" s="1">
        <f>IFERROR(__xludf.DUMMYFUNCTION("""COMPUTED_VALUE"""),0.9)</f>
        <v>0.9</v>
      </c>
      <c r="F347" s="1">
        <f>IFERROR(__xludf.DUMMYFUNCTION("""COMPUTED_VALUE"""),236426.0)</f>
        <v>236426</v>
      </c>
    </row>
    <row r="348">
      <c r="A348" s="2">
        <f>IFERROR(__xludf.DUMMYFUNCTION("""COMPUTED_VALUE"""),39672.666666666664)</f>
        <v>39672.66667</v>
      </c>
      <c r="B348" s="1">
        <f>IFERROR(__xludf.DUMMYFUNCTION("""COMPUTED_VALUE"""),0.9)</f>
        <v>0.9</v>
      </c>
      <c r="C348" s="1">
        <f>IFERROR(__xludf.DUMMYFUNCTION("""COMPUTED_VALUE"""),0.91)</f>
        <v>0.91</v>
      </c>
      <c r="D348" s="1">
        <f>IFERROR(__xludf.DUMMYFUNCTION("""COMPUTED_VALUE"""),0.88)</f>
        <v>0.88</v>
      </c>
      <c r="E348" s="1">
        <f>IFERROR(__xludf.DUMMYFUNCTION("""COMPUTED_VALUE"""),0.9)</f>
        <v>0.9</v>
      </c>
      <c r="F348" s="1">
        <f>IFERROR(__xludf.DUMMYFUNCTION("""COMPUTED_VALUE"""),370035.0)</f>
        <v>370035</v>
      </c>
    </row>
    <row r="349">
      <c r="A349" s="2">
        <f>IFERROR(__xludf.DUMMYFUNCTION("""COMPUTED_VALUE"""),39673.666666666664)</f>
        <v>39673.66667</v>
      </c>
      <c r="B349" s="1">
        <f>IFERROR(__xludf.DUMMYFUNCTION("""COMPUTED_VALUE"""),0.9)</f>
        <v>0.9</v>
      </c>
      <c r="C349" s="1">
        <f>IFERROR(__xludf.DUMMYFUNCTION("""COMPUTED_VALUE"""),0.9)</f>
        <v>0.9</v>
      </c>
      <c r="D349" s="1">
        <f>IFERROR(__xludf.DUMMYFUNCTION("""COMPUTED_VALUE"""),0.88)</f>
        <v>0.88</v>
      </c>
      <c r="E349" s="1">
        <f>IFERROR(__xludf.DUMMYFUNCTION("""COMPUTED_VALUE"""),0.9)</f>
        <v>0.9</v>
      </c>
      <c r="F349" s="1">
        <f>IFERROR(__xludf.DUMMYFUNCTION("""COMPUTED_VALUE"""),92619.0)</f>
        <v>92619</v>
      </c>
    </row>
    <row r="350">
      <c r="A350" s="2">
        <f>IFERROR(__xludf.DUMMYFUNCTION("""COMPUTED_VALUE"""),39674.666666666664)</f>
        <v>39674.66667</v>
      </c>
      <c r="B350" s="1">
        <f>IFERROR(__xludf.DUMMYFUNCTION("""COMPUTED_VALUE"""),0.89)</f>
        <v>0.89</v>
      </c>
      <c r="C350" s="1">
        <f>IFERROR(__xludf.DUMMYFUNCTION("""COMPUTED_VALUE"""),0.9)</f>
        <v>0.9</v>
      </c>
      <c r="D350" s="1">
        <f>IFERROR(__xludf.DUMMYFUNCTION("""COMPUTED_VALUE"""),0.86)</f>
        <v>0.86</v>
      </c>
      <c r="E350" s="1">
        <f>IFERROR(__xludf.DUMMYFUNCTION("""COMPUTED_VALUE"""),0.9)</f>
        <v>0.9</v>
      </c>
      <c r="F350" s="1">
        <f>IFERROR(__xludf.DUMMYFUNCTION("""COMPUTED_VALUE"""),62791.0)</f>
        <v>62791</v>
      </c>
    </row>
    <row r="351">
      <c r="A351" s="2">
        <f>IFERROR(__xludf.DUMMYFUNCTION("""COMPUTED_VALUE"""),39675.666666666664)</f>
        <v>39675.66667</v>
      </c>
      <c r="B351" s="1">
        <f>IFERROR(__xludf.DUMMYFUNCTION("""COMPUTED_VALUE"""),0.9)</f>
        <v>0.9</v>
      </c>
      <c r="C351" s="1">
        <f>IFERROR(__xludf.DUMMYFUNCTION("""COMPUTED_VALUE"""),0.9)</f>
        <v>0.9</v>
      </c>
      <c r="D351" s="1">
        <f>IFERROR(__xludf.DUMMYFUNCTION("""COMPUTED_VALUE"""),0.88)</f>
        <v>0.88</v>
      </c>
      <c r="E351" s="1">
        <f>IFERROR(__xludf.DUMMYFUNCTION("""COMPUTED_VALUE"""),0.9)</f>
        <v>0.9</v>
      </c>
      <c r="F351" s="1">
        <f>IFERROR(__xludf.DUMMYFUNCTION("""COMPUTED_VALUE"""),264732.0)</f>
        <v>264732</v>
      </c>
    </row>
    <row r="352">
      <c r="A352" s="2">
        <f>IFERROR(__xludf.DUMMYFUNCTION("""COMPUTED_VALUE"""),39678.666666666664)</f>
        <v>39678.66667</v>
      </c>
      <c r="B352" s="1">
        <f>IFERROR(__xludf.DUMMYFUNCTION("""COMPUTED_VALUE"""),0.9)</f>
        <v>0.9</v>
      </c>
      <c r="C352" s="1">
        <f>IFERROR(__xludf.DUMMYFUNCTION("""COMPUTED_VALUE"""),0.94)</f>
        <v>0.94</v>
      </c>
      <c r="D352" s="1">
        <f>IFERROR(__xludf.DUMMYFUNCTION("""COMPUTED_VALUE"""),0.9)</f>
        <v>0.9</v>
      </c>
      <c r="E352" s="1">
        <f>IFERROR(__xludf.DUMMYFUNCTION("""COMPUTED_VALUE"""),0.93)</f>
        <v>0.93</v>
      </c>
      <c r="F352" s="1">
        <f>IFERROR(__xludf.DUMMYFUNCTION("""COMPUTED_VALUE"""),416529.0)</f>
        <v>416529</v>
      </c>
    </row>
    <row r="353">
      <c r="A353" s="2">
        <f>IFERROR(__xludf.DUMMYFUNCTION("""COMPUTED_VALUE"""),39679.666666666664)</f>
        <v>39679.66667</v>
      </c>
      <c r="B353" s="1">
        <f>IFERROR(__xludf.DUMMYFUNCTION("""COMPUTED_VALUE"""),0.93)</f>
        <v>0.93</v>
      </c>
      <c r="C353" s="1">
        <f>IFERROR(__xludf.DUMMYFUNCTION("""COMPUTED_VALUE"""),0.96)</f>
        <v>0.96</v>
      </c>
      <c r="D353" s="1">
        <f>IFERROR(__xludf.DUMMYFUNCTION("""COMPUTED_VALUE"""),0.88)</f>
        <v>0.88</v>
      </c>
      <c r="E353" s="1">
        <f>IFERROR(__xludf.DUMMYFUNCTION("""COMPUTED_VALUE"""),0.95)</f>
        <v>0.95</v>
      </c>
      <c r="F353" s="1">
        <f>IFERROR(__xludf.DUMMYFUNCTION("""COMPUTED_VALUE"""),309355.0)</f>
        <v>309355</v>
      </c>
    </row>
    <row r="354">
      <c r="A354" s="2">
        <f>IFERROR(__xludf.DUMMYFUNCTION("""COMPUTED_VALUE"""),39680.666666666664)</f>
        <v>39680.66667</v>
      </c>
      <c r="B354" s="1">
        <f>IFERROR(__xludf.DUMMYFUNCTION("""COMPUTED_VALUE"""),0.96)</f>
        <v>0.96</v>
      </c>
      <c r="C354" s="1">
        <f>IFERROR(__xludf.DUMMYFUNCTION("""COMPUTED_VALUE"""),0.97)</f>
        <v>0.97</v>
      </c>
      <c r="D354" s="1">
        <f>IFERROR(__xludf.DUMMYFUNCTION("""COMPUTED_VALUE"""),0.95)</f>
        <v>0.95</v>
      </c>
      <c r="E354" s="1">
        <f>IFERROR(__xludf.DUMMYFUNCTION("""COMPUTED_VALUE"""),0.96)</f>
        <v>0.96</v>
      </c>
      <c r="F354" s="1">
        <f>IFERROR(__xludf.DUMMYFUNCTION("""COMPUTED_VALUE"""),189644.0)</f>
        <v>189644</v>
      </c>
    </row>
    <row r="355">
      <c r="A355" s="2">
        <f>IFERROR(__xludf.DUMMYFUNCTION("""COMPUTED_VALUE"""),39681.666666666664)</f>
        <v>39681.66667</v>
      </c>
      <c r="B355" s="1">
        <f>IFERROR(__xludf.DUMMYFUNCTION("""COMPUTED_VALUE"""),0.96)</f>
        <v>0.96</v>
      </c>
      <c r="C355" s="1">
        <f>IFERROR(__xludf.DUMMYFUNCTION("""COMPUTED_VALUE"""),0.98)</f>
        <v>0.98</v>
      </c>
      <c r="D355" s="1">
        <f>IFERROR(__xludf.DUMMYFUNCTION("""COMPUTED_VALUE"""),0.95)</f>
        <v>0.95</v>
      </c>
      <c r="E355" s="1">
        <f>IFERROR(__xludf.DUMMYFUNCTION("""COMPUTED_VALUE"""),0.98)</f>
        <v>0.98</v>
      </c>
      <c r="F355" s="1">
        <f>IFERROR(__xludf.DUMMYFUNCTION("""COMPUTED_VALUE"""),241208.0)</f>
        <v>241208</v>
      </c>
    </row>
    <row r="356">
      <c r="A356" s="2">
        <f>IFERROR(__xludf.DUMMYFUNCTION("""COMPUTED_VALUE"""),39682.666666666664)</f>
        <v>39682.66667</v>
      </c>
      <c r="B356" s="1">
        <f>IFERROR(__xludf.DUMMYFUNCTION("""COMPUTED_VALUE"""),0.98)</f>
        <v>0.98</v>
      </c>
      <c r="C356" s="1">
        <f>IFERROR(__xludf.DUMMYFUNCTION("""COMPUTED_VALUE"""),1.01)</f>
        <v>1.01</v>
      </c>
      <c r="D356" s="1">
        <f>IFERROR(__xludf.DUMMYFUNCTION("""COMPUTED_VALUE"""),0.97)</f>
        <v>0.97</v>
      </c>
      <c r="E356" s="1">
        <f>IFERROR(__xludf.DUMMYFUNCTION("""COMPUTED_VALUE"""),1.01)</f>
        <v>1.01</v>
      </c>
      <c r="F356" s="1">
        <f>IFERROR(__xludf.DUMMYFUNCTION("""COMPUTED_VALUE"""),362708.0)</f>
        <v>362708</v>
      </c>
    </row>
    <row r="357">
      <c r="A357" s="2">
        <f>IFERROR(__xludf.DUMMYFUNCTION("""COMPUTED_VALUE"""),39685.666666666664)</f>
        <v>39685.66667</v>
      </c>
      <c r="B357" s="1">
        <f>IFERROR(__xludf.DUMMYFUNCTION("""COMPUTED_VALUE"""),1.01)</f>
        <v>1.01</v>
      </c>
      <c r="C357" s="1">
        <f>IFERROR(__xludf.DUMMYFUNCTION("""COMPUTED_VALUE"""),1.01)</f>
        <v>1.01</v>
      </c>
      <c r="D357" s="1">
        <f>IFERROR(__xludf.DUMMYFUNCTION("""COMPUTED_VALUE"""),1.0)</f>
        <v>1</v>
      </c>
      <c r="E357" s="1">
        <f>IFERROR(__xludf.DUMMYFUNCTION("""COMPUTED_VALUE"""),1.01)</f>
        <v>1.01</v>
      </c>
      <c r="F357" s="1">
        <f>IFERROR(__xludf.DUMMYFUNCTION("""COMPUTED_VALUE"""),359105.0)</f>
        <v>359105</v>
      </c>
    </row>
    <row r="358">
      <c r="A358" s="2">
        <f>IFERROR(__xludf.DUMMYFUNCTION("""COMPUTED_VALUE"""),39686.666666666664)</f>
        <v>39686.66667</v>
      </c>
      <c r="B358" s="1">
        <f>IFERROR(__xludf.DUMMYFUNCTION("""COMPUTED_VALUE"""),1.01)</f>
        <v>1.01</v>
      </c>
      <c r="C358" s="1">
        <f>IFERROR(__xludf.DUMMYFUNCTION("""COMPUTED_VALUE"""),1.07)</f>
        <v>1.07</v>
      </c>
      <c r="D358" s="1">
        <f>IFERROR(__xludf.DUMMYFUNCTION("""COMPUTED_VALUE"""),1.0)</f>
        <v>1</v>
      </c>
      <c r="E358" s="1">
        <f>IFERROR(__xludf.DUMMYFUNCTION("""COMPUTED_VALUE"""),1.07)</f>
        <v>1.07</v>
      </c>
      <c r="F358" s="1">
        <f>IFERROR(__xludf.DUMMYFUNCTION("""COMPUTED_VALUE"""),476830.0)</f>
        <v>476830</v>
      </c>
    </row>
    <row r="359">
      <c r="A359" s="2">
        <f>IFERROR(__xludf.DUMMYFUNCTION("""COMPUTED_VALUE"""),39687.666666666664)</f>
        <v>39687.66667</v>
      </c>
      <c r="B359" s="1">
        <f>IFERROR(__xludf.DUMMYFUNCTION("""COMPUTED_VALUE"""),1.07)</f>
        <v>1.07</v>
      </c>
      <c r="C359" s="1">
        <f>IFERROR(__xludf.DUMMYFUNCTION("""COMPUTED_VALUE"""),1.07)</f>
        <v>1.07</v>
      </c>
      <c r="D359" s="1">
        <f>IFERROR(__xludf.DUMMYFUNCTION("""COMPUTED_VALUE"""),1.03)</f>
        <v>1.03</v>
      </c>
      <c r="E359" s="1">
        <f>IFERROR(__xludf.DUMMYFUNCTION("""COMPUTED_VALUE"""),1.04)</f>
        <v>1.04</v>
      </c>
      <c r="F359" s="1">
        <f>IFERROR(__xludf.DUMMYFUNCTION("""COMPUTED_VALUE"""),385484.0)</f>
        <v>385484</v>
      </c>
    </row>
    <row r="360">
      <c r="A360" s="2">
        <f>IFERROR(__xludf.DUMMYFUNCTION("""COMPUTED_VALUE"""),39688.666666666664)</f>
        <v>39688.66667</v>
      </c>
      <c r="B360" s="1">
        <f>IFERROR(__xludf.DUMMYFUNCTION("""COMPUTED_VALUE"""),1.04)</f>
        <v>1.04</v>
      </c>
      <c r="C360" s="1">
        <f>IFERROR(__xludf.DUMMYFUNCTION("""COMPUTED_VALUE"""),1.04)</f>
        <v>1.04</v>
      </c>
      <c r="D360" s="1">
        <f>IFERROR(__xludf.DUMMYFUNCTION("""COMPUTED_VALUE"""),1.0)</f>
        <v>1</v>
      </c>
      <c r="E360" s="1">
        <f>IFERROR(__xludf.DUMMYFUNCTION("""COMPUTED_VALUE"""),1.01)</f>
        <v>1.01</v>
      </c>
      <c r="F360" s="1">
        <f>IFERROR(__xludf.DUMMYFUNCTION("""COMPUTED_VALUE"""),370269.0)</f>
        <v>370269</v>
      </c>
    </row>
    <row r="361">
      <c r="A361" s="2">
        <f>IFERROR(__xludf.DUMMYFUNCTION("""COMPUTED_VALUE"""),39689.666666666664)</f>
        <v>39689.66667</v>
      </c>
      <c r="B361" s="1">
        <f>IFERROR(__xludf.DUMMYFUNCTION("""COMPUTED_VALUE"""),1.01)</f>
        <v>1.01</v>
      </c>
      <c r="C361" s="1">
        <f>IFERROR(__xludf.DUMMYFUNCTION("""COMPUTED_VALUE"""),1.02)</f>
        <v>1.02</v>
      </c>
      <c r="D361" s="1">
        <f>IFERROR(__xludf.DUMMYFUNCTION("""COMPUTED_VALUE"""),0.98)</f>
        <v>0.98</v>
      </c>
      <c r="E361" s="1">
        <f>IFERROR(__xludf.DUMMYFUNCTION("""COMPUTED_VALUE"""),1.0)</f>
        <v>1</v>
      </c>
      <c r="F361" s="1">
        <f>IFERROR(__xludf.DUMMYFUNCTION("""COMPUTED_VALUE"""),297694.0)</f>
        <v>297694</v>
      </c>
    </row>
    <row r="362">
      <c r="A362" s="2">
        <f>IFERROR(__xludf.DUMMYFUNCTION("""COMPUTED_VALUE"""),39693.666666666664)</f>
        <v>39693.66667</v>
      </c>
      <c r="B362" s="1">
        <f>IFERROR(__xludf.DUMMYFUNCTION("""COMPUTED_VALUE"""),1.0)</f>
        <v>1</v>
      </c>
      <c r="C362" s="1">
        <f>IFERROR(__xludf.DUMMYFUNCTION("""COMPUTED_VALUE"""),1.04)</f>
        <v>1.04</v>
      </c>
      <c r="D362" s="1">
        <f>IFERROR(__xludf.DUMMYFUNCTION("""COMPUTED_VALUE"""),0.99)</f>
        <v>0.99</v>
      </c>
      <c r="E362" s="1">
        <f>IFERROR(__xludf.DUMMYFUNCTION("""COMPUTED_VALUE"""),1.01)</f>
        <v>1.01</v>
      </c>
      <c r="F362" s="1">
        <f>IFERROR(__xludf.DUMMYFUNCTION("""COMPUTED_VALUE"""),225537.0)</f>
        <v>225537</v>
      </c>
    </row>
    <row r="363">
      <c r="A363" s="2">
        <f>IFERROR(__xludf.DUMMYFUNCTION("""COMPUTED_VALUE"""),39694.666666666664)</f>
        <v>39694.66667</v>
      </c>
      <c r="B363" s="1">
        <f>IFERROR(__xludf.DUMMYFUNCTION("""COMPUTED_VALUE"""),1.01)</f>
        <v>1.01</v>
      </c>
      <c r="C363" s="1">
        <f>IFERROR(__xludf.DUMMYFUNCTION("""COMPUTED_VALUE"""),1.08)</f>
        <v>1.08</v>
      </c>
      <c r="D363" s="1">
        <f>IFERROR(__xludf.DUMMYFUNCTION("""COMPUTED_VALUE"""),0.99)</f>
        <v>0.99</v>
      </c>
      <c r="E363" s="1">
        <f>IFERROR(__xludf.DUMMYFUNCTION("""COMPUTED_VALUE"""),1.06)</f>
        <v>1.06</v>
      </c>
      <c r="F363" s="1">
        <f>IFERROR(__xludf.DUMMYFUNCTION("""COMPUTED_VALUE"""),1038998.0)</f>
        <v>1038998</v>
      </c>
    </row>
    <row r="364">
      <c r="A364" s="2">
        <f>IFERROR(__xludf.DUMMYFUNCTION("""COMPUTED_VALUE"""),39695.666666666664)</f>
        <v>39695.66667</v>
      </c>
      <c r="B364" s="1">
        <f>IFERROR(__xludf.DUMMYFUNCTION("""COMPUTED_VALUE"""),1.06)</f>
        <v>1.06</v>
      </c>
      <c r="C364" s="1">
        <f>IFERROR(__xludf.DUMMYFUNCTION("""COMPUTED_VALUE"""),1.09)</f>
        <v>1.09</v>
      </c>
      <c r="D364" s="1">
        <f>IFERROR(__xludf.DUMMYFUNCTION("""COMPUTED_VALUE"""),1.03)</f>
        <v>1.03</v>
      </c>
      <c r="E364" s="1">
        <f>IFERROR(__xludf.DUMMYFUNCTION("""COMPUTED_VALUE"""),1.05)</f>
        <v>1.05</v>
      </c>
      <c r="F364" s="1">
        <f>IFERROR(__xludf.DUMMYFUNCTION("""COMPUTED_VALUE"""),312895.0)</f>
        <v>312895</v>
      </c>
    </row>
    <row r="365">
      <c r="A365" s="2">
        <f>IFERROR(__xludf.DUMMYFUNCTION("""COMPUTED_VALUE"""),39696.666666666664)</f>
        <v>39696.66667</v>
      </c>
      <c r="B365" s="1">
        <f>IFERROR(__xludf.DUMMYFUNCTION("""COMPUTED_VALUE"""),1.05)</f>
        <v>1.05</v>
      </c>
      <c r="C365" s="1">
        <f>IFERROR(__xludf.DUMMYFUNCTION("""COMPUTED_VALUE"""),1.06)</f>
        <v>1.06</v>
      </c>
      <c r="D365" s="1">
        <f>IFERROR(__xludf.DUMMYFUNCTION("""COMPUTED_VALUE"""),1.02)</f>
        <v>1.02</v>
      </c>
      <c r="E365" s="1">
        <f>IFERROR(__xludf.DUMMYFUNCTION("""COMPUTED_VALUE"""),1.05)</f>
        <v>1.05</v>
      </c>
      <c r="F365" s="1">
        <f>IFERROR(__xludf.DUMMYFUNCTION("""COMPUTED_VALUE"""),258263.0)</f>
        <v>258263</v>
      </c>
    </row>
    <row r="366">
      <c r="A366" s="2">
        <f>IFERROR(__xludf.DUMMYFUNCTION("""COMPUTED_VALUE"""),39699.666666666664)</f>
        <v>39699.66667</v>
      </c>
      <c r="B366" s="1">
        <f>IFERROR(__xludf.DUMMYFUNCTION("""COMPUTED_VALUE"""),1.05)</f>
        <v>1.05</v>
      </c>
      <c r="C366" s="1">
        <f>IFERROR(__xludf.DUMMYFUNCTION("""COMPUTED_VALUE"""),1.09)</f>
        <v>1.09</v>
      </c>
      <c r="D366" s="1">
        <f>IFERROR(__xludf.DUMMYFUNCTION("""COMPUTED_VALUE"""),1.05)</f>
        <v>1.05</v>
      </c>
      <c r="E366" s="1">
        <f>IFERROR(__xludf.DUMMYFUNCTION("""COMPUTED_VALUE"""),1.06)</f>
        <v>1.06</v>
      </c>
      <c r="F366" s="1">
        <f>IFERROR(__xludf.DUMMYFUNCTION("""COMPUTED_VALUE"""),345043.0)</f>
        <v>345043</v>
      </c>
    </row>
    <row r="367">
      <c r="A367" s="2">
        <f>IFERROR(__xludf.DUMMYFUNCTION("""COMPUTED_VALUE"""),39700.666666666664)</f>
        <v>39700.66667</v>
      </c>
      <c r="B367" s="1">
        <f>IFERROR(__xludf.DUMMYFUNCTION("""COMPUTED_VALUE"""),1.06)</f>
        <v>1.06</v>
      </c>
      <c r="C367" s="1">
        <f>IFERROR(__xludf.DUMMYFUNCTION("""COMPUTED_VALUE"""),1.08)</f>
        <v>1.08</v>
      </c>
      <c r="D367" s="1">
        <f>IFERROR(__xludf.DUMMYFUNCTION("""COMPUTED_VALUE"""),1.04)</f>
        <v>1.04</v>
      </c>
      <c r="E367" s="1">
        <f>IFERROR(__xludf.DUMMYFUNCTION("""COMPUTED_VALUE"""),1.06)</f>
        <v>1.06</v>
      </c>
      <c r="F367" s="1">
        <f>IFERROR(__xludf.DUMMYFUNCTION("""COMPUTED_VALUE"""),263950.0)</f>
        <v>263950</v>
      </c>
    </row>
    <row r="368">
      <c r="A368" s="2">
        <f>IFERROR(__xludf.DUMMYFUNCTION("""COMPUTED_VALUE"""),39701.666666666664)</f>
        <v>39701.66667</v>
      </c>
      <c r="B368" s="1">
        <f>IFERROR(__xludf.DUMMYFUNCTION("""COMPUTED_VALUE"""),1.07)</f>
        <v>1.07</v>
      </c>
      <c r="C368" s="1">
        <f>IFERROR(__xludf.DUMMYFUNCTION("""COMPUTED_VALUE"""),1.09)</f>
        <v>1.09</v>
      </c>
      <c r="D368" s="1">
        <f>IFERROR(__xludf.DUMMYFUNCTION("""COMPUTED_VALUE"""),1.06)</f>
        <v>1.06</v>
      </c>
      <c r="E368" s="1">
        <f>IFERROR(__xludf.DUMMYFUNCTION("""COMPUTED_VALUE"""),1.07)</f>
        <v>1.07</v>
      </c>
      <c r="F368" s="1">
        <f>IFERROR(__xludf.DUMMYFUNCTION("""COMPUTED_VALUE"""),225803.0)</f>
        <v>225803</v>
      </c>
    </row>
    <row r="369">
      <c r="A369" s="2">
        <f>IFERROR(__xludf.DUMMYFUNCTION("""COMPUTED_VALUE"""),39702.666666666664)</f>
        <v>39702.66667</v>
      </c>
      <c r="B369" s="1">
        <f>IFERROR(__xludf.DUMMYFUNCTION("""COMPUTED_VALUE"""),1.05)</f>
        <v>1.05</v>
      </c>
      <c r="C369" s="1">
        <f>IFERROR(__xludf.DUMMYFUNCTION("""COMPUTED_VALUE"""),1.08)</f>
        <v>1.08</v>
      </c>
      <c r="D369" s="1">
        <f>IFERROR(__xludf.DUMMYFUNCTION("""COMPUTED_VALUE"""),1.04)</f>
        <v>1.04</v>
      </c>
      <c r="E369" s="1">
        <f>IFERROR(__xludf.DUMMYFUNCTION("""COMPUTED_VALUE"""),1.08)</f>
        <v>1.08</v>
      </c>
      <c r="F369" s="1">
        <f>IFERROR(__xludf.DUMMYFUNCTION("""COMPUTED_VALUE"""),245935.0)</f>
        <v>245935</v>
      </c>
    </row>
    <row r="370">
      <c r="A370" s="2">
        <f>IFERROR(__xludf.DUMMYFUNCTION("""COMPUTED_VALUE"""),39703.666666666664)</f>
        <v>39703.66667</v>
      </c>
      <c r="B370" s="1">
        <f>IFERROR(__xludf.DUMMYFUNCTION("""COMPUTED_VALUE"""),1.07)</f>
        <v>1.07</v>
      </c>
      <c r="C370" s="1">
        <f>IFERROR(__xludf.DUMMYFUNCTION("""COMPUTED_VALUE"""),1.07)</f>
        <v>1.07</v>
      </c>
      <c r="D370" s="1">
        <f>IFERROR(__xludf.DUMMYFUNCTION("""COMPUTED_VALUE"""),1.05)</f>
        <v>1.05</v>
      </c>
      <c r="E370" s="1">
        <f>IFERROR(__xludf.DUMMYFUNCTION("""COMPUTED_VALUE"""),1.06)</f>
        <v>1.06</v>
      </c>
      <c r="F370" s="1">
        <f>IFERROR(__xludf.DUMMYFUNCTION("""COMPUTED_VALUE"""),168608.0)</f>
        <v>168608</v>
      </c>
    </row>
    <row r="371">
      <c r="A371" s="2">
        <f>IFERROR(__xludf.DUMMYFUNCTION("""COMPUTED_VALUE"""),39706.666666666664)</f>
        <v>39706.66667</v>
      </c>
      <c r="B371" s="1">
        <f>IFERROR(__xludf.DUMMYFUNCTION("""COMPUTED_VALUE"""),1.03)</f>
        <v>1.03</v>
      </c>
      <c r="C371" s="1">
        <f>IFERROR(__xludf.DUMMYFUNCTION("""COMPUTED_VALUE"""),1.04)</f>
        <v>1.04</v>
      </c>
      <c r="D371" s="1">
        <f>IFERROR(__xludf.DUMMYFUNCTION("""COMPUTED_VALUE"""),0.99)</f>
        <v>0.99</v>
      </c>
      <c r="E371" s="1">
        <f>IFERROR(__xludf.DUMMYFUNCTION("""COMPUTED_VALUE"""),0.99)</f>
        <v>0.99</v>
      </c>
      <c r="F371" s="1">
        <f>IFERROR(__xludf.DUMMYFUNCTION("""COMPUTED_VALUE"""),244332.0)</f>
        <v>244332</v>
      </c>
    </row>
    <row r="372">
      <c r="A372" s="2">
        <f>IFERROR(__xludf.DUMMYFUNCTION("""COMPUTED_VALUE"""),39707.666666666664)</f>
        <v>39707.66667</v>
      </c>
      <c r="B372" s="1">
        <f>IFERROR(__xludf.DUMMYFUNCTION("""COMPUTED_VALUE"""),0.98)</f>
        <v>0.98</v>
      </c>
      <c r="C372" s="1">
        <f>IFERROR(__xludf.DUMMYFUNCTION("""COMPUTED_VALUE"""),1.02)</f>
        <v>1.02</v>
      </c>
      <c r="D372" s="1">
        <f>IFERROR(__xludf.DUMMYFUNCTION("""COMPUTED_VALUE"""),0.98)</f>
        <v>0.98</v>
      </c>
      <c r="E372" s="1">
        <f>IFERROR(__xludf.DUMMYFUNCTION("""COMPUTED_VALUE"""),1.02)</f>
        <v>1.02</v>
      </c>
      <c r="F372" s="1">
        <f>IFERROR(__xludf.DUMMYFUNCTION("""COMPUTED_VALUE"""),161514.0)</f>
        <v>161514</v>
      </c>
    </row>
    <row r="373">
      <c r="A373" s="2">
        <f>IFERROR(__xludf.DUMMYFUNCTION("""COMPUTED_VALUE"""),39708.666666666664)</f>
        <v>39708.66667</v>
      </c>
      <c r="B373" s="1">
        <f>IFERROR(__xludf.DUMMYFUNCTION("""COMPUTED_VALUE"""),1.01)</f>
        <v>1.01</v>
      </c>
      <c r="C373" s="1">
        <f>IFERROR(__xludf.DUMMYFUNCTION("""COMPUTED_VALUE"""),1.01)</f>
        <v>1.01</v>
      </c>
      <c r="D373" s="1">
        <f>IFERROR(__xludf.DUMMYFUNCTION("""COMPUTED_VALUE"""),0.98)</f>
        <v>0.98</v>
      </c>
      <c r="E373" s="1">
        <f>IFERROR(__xludf.DUMMYFUNCTION("""COMPUTED_VALUE"""),0.98)</f>
        <v>0.98</v>
      </c>
      <c r="F373" s="1">
        <f>IFERROR(__xludf.DUMMYFUNCTION("""COMPUTED_VALUE"""),137851.0)</f>
        <v>137851</v>
      </c>
    </row>
    <row r="374">
      <c r="A374" s="2">
        <f>IFERROR(__xludf.DUMMYFUNCTION("""COMPUTED_VALUE"""),39709.666666666664)</f>
        <v>39709.66667</v>
      </c>
      <c r="B374" s="1">
        <f>IFERROR(__xludf.DUMMYFUNCTION("""COMPUTED_VALUE"""),0.98)</f>
        <v>0.98</v>
      </c>
      <c r="C374" s="1">
        <f>IFERROR(__xludf.DUMMYFUNCTION("""COMPUTED_VALUE"""),1.01)</f>
        <v>1.01</v>
      </c>
      <c r="D374" s="1">
        <f>IFERROR(__xludf.DUMMYFUNCTION("""COMPUTED_VALUE"""),0.93)</f>
        <v>0.93</v>
      </c>
      <c r="E374" s="1">
        <f>IFERROR(__xludf.DUMMYFUNCTION("""COMPUTED_VALUE"""),0.99)</f>
        <v>0.99</v>
      </c>
      <c r="F374" s="1">
        <f>IFERROR(__xludf.DUMMYFUNCTION("""COMPUTED_VALUE"""),364644.0)</f>
        <v>364644</v>
      </c>
    </row>
    <row r="375">
      <c r="A375" s="2">
        <f>IFERROR(__xludf.DUMMYFUNCTION("""COMPUTED_VALUE"""),39710.666666666664)</f>
        <v>39710.66667</v>
      </c>
      <c r="B375" s="1">
        <f>IFERROR(__xludf.DUMMYFUNCTION("""COMPUTED_VALUE"""),1.0)</f>
        <v>1</v>
      </c>
      <c r="C375" s="1">
        <f>IFERROR(__xludf.DUMMYFUNCTION("""COMPUTED_VALUE"""),1.05)</f>
        <v>1.05</v>
      </c>
      <c r="D375" s="1">
        <f>IFERROR(__xludf.DUMMYFUNCTION("""COMPUTED_VALUE"""),1.0)</f>
        <v>1</v>
      </c>
      <c r="E375" s="1">
        <f>IFERROR(__xludf.DUMMYFUNCTION("""COMPUTED_VALUE"""),1.04)</f>
        <v>1.04</v>
      </c>
      <c r="F375" s="1">
        <f>IFERROR(__xludf.DUMMYFUNCTION("""COMPUTED_VALUE"""),460025.0)</f>
        <v>460025</v>
      </c>
    </row>
    <row r="376">
      <c r="A376" s="2">
        <f>IFERROR(__xludf.DUMMYFUNCTION("""COMPUTED_VALUE"""),39713.666666666664)</f>
        <v>39713.66667</v>
      </c>
      <c r="B376" s="1">
        <f>IFERROR(__xludf.DUMMYFUNCTION("""COMPUTED_VALUE"""),1.04)</f>
        <v>1.04</v>
      </c>
      <c r="C376" s="1">
        <f>IFERROR(__xludf.DUMMYFUNCTION("""COMPUTED_VALUE"""),1.06)</f>
        <v>1.06</v>
      </c>
      <c r="D376" s="1">
        <f>IFERROR(__xludf.DUMMYFUNCTION("""COMPUTED_VALUE"""),1.0)</f>
        <v>1</v>
      </c>
      <c r="E376" s="1">
        <f>IFERROR(__xludf.DUMMYFUNCTION("""COMPUTED_VALUE"""),1.04)</f>
        <v>1.04</v>
      </c>
      <c r="F376" s="1">
        <f>IFERROR(__xludf.DUMMYFUNCTION("""COMPUTED_VALUE"""),280572.0)</f>
        <v>280572</v>
      </c>
    </row>
    <row r="377">
      <c r="A377" s="2">
        <f>IFERROR(__xludf.DUMMYFUNCTION("""COMPUTED_VALUE"""),39714.666666666664)</f>
        <v>39714.66667</v>
      </c>
      <c r="B377" s="1">
        <f>IFERROR(__xludf.DUMMYFUNCTION("""COMPUTED_VALUE"""),1.05)</f>
        <v>1.05</v>
      </c>
      <c r="C377" s="1">
        <f>IFERROR(__xludf.DUMMYFUNCTION("""COMPUTED_VALUE"""),1.06)</f>
        <v>1.06</v>
      </c>
      <c r="D377" s="1">
        <f>IFERROR(__xludf.DUMMYFUNCTION("""COMPUTED_VALUE"""),1.02)</f>
        <v>1.02</v>
      </c>
      <c r="E377" s="1">
        <f>IFERROR(__xludf.DUMMYFUNCTION("""COMPUTED_VALUE"""),1.03)</f>
        <v>1.03</v>
      </c>
      <c r="F377" s="1">
        <f>IFERROR(__xludf.DUMMYFUNCTION("""COMPUTED_VALUE"""),155682.0)</f>
        <v>155682</v>
      </c>
    </row>
    <row r="378">
      <c r="A378" s="2">
        <f>IFERROR(__xludf.DUMMYFUNCTION("""COMPUTED_VALUE"""),39715.666666666664)</f>
        <v>39715.66667</v>
      </c>
      <c r="B378" s="1">
        <f>IFERROR(__xludf.DUMMYFUNCTION("""COMPUTED_VALUE"""),1.04)</f>
        <v>1.04</v>
      </c>
      <c r="C378" s="1">
        <f>IFERROR(__xludf.DUMMYFUNCTION("""COMPUTED_VALUE"""),1.05)</f>
        <v>1.05</v>
      </c>
      <c r="D378" s="1">
        <f>IFERROR(__xludf.DUMMYFUNCTION("""COMPUTED_VALUE"""),0.97)</f>
        <v>0.97</v>
      </c>
      <c r="E378" s="1">
        <f>IFERROR(__xludf.DUMMYFUNCTION("""COMPUTED_VALUE"""),0.98)</f>
        <v>0.98</v>
      </c>
      <c r="F378" s="1">
        <f>IFERROR(__xludf.DUMMYFUNCTION("""COMPUTED_VALUE"""),272725.0)</f>
        <v>272725</v>
      </c>
    </row>
    <row r="379">
      <c r="A379" s="2">
        <f>IFERROR(__xludf.DUMMYFUNCTION("""COMPUTED_VALUE"""),39716.666666666664)</f>
        <v>39716.66667</v>
      </c>
      <c r="B379" s="1">
        <f>IFERROR(__xludf.DUMMYFUNCTION("""COMPUTED_VALUE"""),0.96)</f>
        <v>0.96</v>
      </c>
      <c r="C379" s="1">
        <f>IFERROR(__xludf.DUMMYFUNCTION("""COMPUTED_VALUE"""),0.97)</f>
        <v>0.97</v>
      </c>
      <c r="D379" s="1">
        <f>IFERROR(__xludf.DUMMYFUNCTION("""COMPUTED_VALUE"""),0.91)</f>
        <v>0.91</v>
      </c>
      <c r="E379" s="1">
        <f>IFERROR(__xludf.DUMMYFUNCTION("""COMPUTED_VALUE"""),0.93)</f>
        <v>0.93</v>
      </c>
      <c r="F379" s="1">
        <f>IFERROR(__xludf.DUMMYFUNCTION("""COMPUTED_VALUE"""),435557.0)</f>
        <v>435557</v>
      </c>
    </row>
    <row r="380">
      <c r="A380" s="2">
        <f>IFERROR(__xludf.DUMMYFUNCTION("""COMPUTED_VALUE"""),39717.666666666664)</f>
        <v>39717.66667</v>
      </c>
      <c r="B380" s="1">
        <f>IFERROR(__xludf.DUMMYFUNCTION("""COMPUTED_VALUE"""),0.92)</f>
        <v>0.92</v>
      </c>
      <c r="C380" s="1">
        <f>IFERROR(__xludf.DUMMYFUNCTION("""COMPUTED_VALUE"""),0.95)</f>
        <v>0.95</v>
      </c>
      <c r="D380" s="1">
        <f>IFERROR(__xludf.DUMMYFUNCTION("""COMPUTED_VALUE"""),0.88)</f>
        <v>0.88</v>
      </c>
      <c r="E380" s="1">
        <f>IFERROR(__xludf.DUMMYFUNCTION("""COMPUTED_VALUE"""),0.94)</f>
        <v>0.94</v>
      </c>
      <c r="F380" s="1">
        <f>IFERROR(__xludf.DUMMYFUNCTION("""COMPUTED_VALUE"""),156141.0)</f>
        <v>156141</v>
      </c>
    </row>
    <row r="381">
      <c r="A381" s="2">
        <f>IFERROR(__xludf.DUMMYFUNCTION("""COMPUTED_VALUE"""),39720.666666666664)</f>
        <v>39720.66667</v>
      </c>
      <c r="B381" s="1">
        <f>IFERROR(__xludf.DUMMYFUNCTION("""COMPUTED_VALUE"""),0.93)</f>
        <v>0.93</v>
      </c>
      <c r="C381" s="1">
        <f>IFERROR(__xludf.DUMMYFUNCTION("""COMPUTED_VALUE"""),0.93)</f>
        <v>0.93</v>
      </c>
      <c r="D381" s="1">
        <f>IFERROR(__xludf.DUMMYFUNCTION("""COMPUTED_VALUE"""),0.85)</f>
        <v>0.85</v>
      </c>
      <c r="E381" s="1">
        <f>IFERROR(__xludf.DUMMYFUNCTION("""COMPUTED_VALUE"""),0.85)</f>
        <v>0.85</v>
      </c>
      <c r="F381" s="1">
        <f>IFERROR(__xludf.DUMMYFUNCTION("""COMPUTED_VALUE"""),187898.0)</f>
        <v>187898</v>
      </c>
    </row>
    <row r="382">
      <c r="A382" s="2">
        <f>IFERROR(__xludf.DUMMYFUNCTION("""COMPUTED_VALUE"""),39721.666666666664)</f>
        <v>39721.66667</v>
      </c>
      <c r="B382" s="1">
        <f>IFERROR(__xludf.DUMMYFUNCTION("""COMPUTED_VALUE"""),0.85)</f>
        <v>0.85</v>
      </c>
      <c r="C382" s="1">
        <f>IFERROR(__xludf.DUMMYFUNCTION("""COMPUTED_VALUE"""),0.93)</f>
        <v>0.93</v>
      </c>
      <c r="D382" s="1">
        <f>IFERROR(__xludf.DUMMYFUNCTION("""COMPUTED_VALUE"""),0.85)</f>
        <v>0.85</v>
      </c>
      <c r="E382" s="1">
        <f>IFERROR(__xludf.DUMMYFUNCTION("""COMPUTED_VALUE"""),0.9)</f>
        <v>0.9</v>
      </c>
      <c r="F382" s="1">
        <f>IFERROR(__xludf.DUMMYFUNCTION("""COMPUTED_VALUE"""),168211.0)</f>
        <v>168211</v>
      </c>
    </row>
    <row r="383">
      <c r="A383" s="2">
        <f>IFERROR(__xludf.DUMMYFUNCTION("""COMPUTED_VALUE"""),39722.666666666664)</f>
        <v>39722.66667</v>
      </c>
      <c r="B383" s="1">
        <f>IFERROR(__xludf.DUMMYFUNCTION("""COMPUTED_VALUE"""),0.9)</f>
        <v>0.9</v>
      </c>
      <c r="C383" s="1">
        <f>IFERROR(__xludf.DUMMYFUNCTION("""COMPUTED_VALUE"""),0.91)</f>
        <v>0.91</v>
      </c>
      <c r="D383" s="1">
        <f>IFERROR(__xludf.DUMMYFUNCTION("""COMPUTED_VALUE"""),0.89)</f>
        <v>0.89</v>
      </c>
      <c r="E383" s="1">
        <f>IFERROR(__xludf.DUMMYFUNCTION("""COMPUTED_VALUE"""),0.91)</f>
        <v>0.91</v>
      </c>
      <c r="F383" s="1">
        <f>IFERROR(__xludf.DUMMYFUNCTION("""COMPUTED_VALUE"""),129957.0)</f>
        <v>129957</v>
      </c>
    </row>
    <row r="384">
      <c r="A384" s="2">
        <f>IFERROR(__xludf.DUMMYFUNCTION("""COMPUTED_VALUE"""),39723.666666666664)</f>
        <v>39723.66667</v>
      </c>
      <c r="B384" s="1">
        <f>IFERROR(__xludf.DUMMYFUNCTION("""COMPUTED_VALUE"""),0.9)</f>
        <v>0.9</v>
      </c>
      <c r="C384" s="1">
        <f>IFERROR(__xludf.DUMMYFUNCTION("""COMPUTED_VALUE"""),0.92)</f>
        <v>0.92</v>
      </c>
      <c r="D384" s="1">
        <f>IFERROR(__xludf.DUMMYFUNCTION("""COMPUTED_VALUE"""),0.86)</f>
        <v>0.86</v>
      </c>
      <c r="E384" s="1">
        <f>IFERROR(__xludf.DUMMYFUNCTION("""COMPUTED_VALUE"""),0.89)</f>
        <v>0.89</v>
      </c>
      <c r="F384" s="1">
        <f>IFERROR(__xludf.DUMMYFUNCTION("""COMPUTED_VALUE"""),191825.0)</f>
        <v>191825</v>
      </c>
    </row>
    <row r="385">
      <c r="A385" s="2">
        <f>IFERROR(__xludf.DUMMYFUNCTION("""COMPUTED_VALUE"""),39724.666666666664)</f>
        <v>39724.66667</v>
      </c>
      <c r="B385" s="1">
        <f>IFERROR(__xludf.DUMMYFUNCTION("""COMPUTED_VALUE"""),0.9)</f>
        <v>0.9</v>
      </c>
      <c r="C385" s="1">
        <f>IFERROR(__xludf.DUMMYFUNCTION("""COMPUTED_VALUE"""),0.91)</f>
        <v>0.91</v>
      </c>
      <c r="D385" s="1">
        <f>IFERROR(__xludf.DUMMYFUNCTION("""COMPUTED_VALUE"""),0.88)</f>
        <v>0.88</v>
      </c>
      <c r="E385" s="1">
        <f>IFERROR(__xludf.DUMMYFUNCTION("""COMPUTED_VALUE"""),0.88)</f>
        <v>0.88</v>
      </c>
      <c r="F385" s="1">
        <f>IFERROR(__xludf.DUMMYFUNCTION("""COMPUTED_VALUE"""),145448.0)</f>
        <v>145448</v>
      </c>
    </row>
    <row r="386">
      <c r="A386" s="2">
        <f>IFERROR(__xludf.DUMMYFUNCTION("""COMPUTED_VALUE"""),39727.666666666664)</f>
        <v>39727.66667</v>
      </c>
      <c r="B386" s="1">
        <f>IFERROR(__xludf.DUMMYFUNCTION("""COMPUTED_VALUE"""),0.87)</f>
        <v>0.87</v>
      </c>
      <c r="C386" s="1">
        <f>IFERROR(__xludf.DUMMYFUNCTION("""COMPUTED_VALUE"""),0.89)</f>
        <v>0.89</v>
      </c>
      <c r="D386" s="1">
        <f>IFERROR(__xludf.DUMMYFUNCTION("""COMPUTED_VALUE"""),0.76)</f>
        <v>0.76</v>
      </c>
      <c r="E386" s="1">
        <f>IFERROR(__xludf.DUMMYFUNCTION("""COMPUTED_VALUE"""),0.77)</f>
        <v>0.77</v>
      </c>
      <c r="F386" s="1">
        <f>IFERROR(__xludf.DUMMYFUNCTION("""COMPUTED_VALUE"""),274697.0)</f>
        <v>274697</v>
      </c>
    </row>
    <row r="387">
      <c r="A387" s="2">
        <f>IFERROR(__xludf.DUMMYFUNCTION("""COMPUTED_VALUE"""),39728.666666666664)</f>
        <v>39728.66667</v>
      </c>
      <c r="B387" s="1">
        <f>IFERROR(__xludf.DUMMYFUNCTION("""COMPUTED_VALUE"""),0.78)</f>
        <v>0.78</v>
      </c>
      <c r="C387" s="1">
        <f>IFERROR(__xludf.DUMMYFUNCTION("""COMPUTED_VALUE"""),0.82)</f>
        <v>0.82</v>
      </c>
      <c r="D387" s="1">
        <f>IFERROR(__xludf.DUMMYFUNCTION("""COMPUTED_VALUE"""),0.73)</f>
        <v>0.73</v>
      </c>
      <c r="E387" s="1">
        <f>IFERROR(__xludf.DUMMYFUNCTION("""COMPUTED_VALUE"""),0.73)</f>
        <v>0.73</v>
      </c>
      <c r="F387" s="1">
        <f>IFERROR(__xludf.DUMMYFUNCTION("""COMPUTED_VALUE"""),284965.0)</f>
        <v>284965</v>
      </c>
    </row>
    <row r="388">
      <c r="A388" s="2">
        <f>IFERROR(__xludf.DUMMYFUNCTION("""COMPUTED_VALUE"""),39729.666666666664)</f>
        <v>39729.66667</v>
      </c>
      <c r="B388" s="1">
        <f>IFERROR(__xludf.DUMMYFUNCTION("""COMPUTED_VALUE"""),0.72)</f>
        <v>0.72</v>
      </c>
      <c r="C388" s="1">
        <f>IFERROR(__xludf.DUMMYFUNCTION("""COMPUTED_VALUE"""),0.73)</f>
        <v>0.73</v>
      </c>
      <c r="D388" s="1">
        <f>IFERROR(__xludf.DUMMYFUNCTION("""COMPUTED_VALUE"""),0.67)</f>
        <v>0.67</v>
      </c>
      <c r="E388" s="1">
        <f>IFERROR(__xludf.DUMMYFUNCTION("""COMPUTED_VALUE"""),0.68)</f>
        <v>0.68</v>
      </c>
      <c r="F388" s="1">
        <f>IFERROR(__xludf.DUMMYFUNCTION("""COMPUTED_VALUE"""),342344.0)</f>
        <v>342344</v>
      </c>
    </row>
    <row r="389">
      <c r="A389" s="2">
        <f>IFERROR(__xludf.DUMMYFUNCTION("""COMPUTED_VALUE"""),39730.666666666664)</f>
        <v>39730.66667</v>
      </c>
      <c r="B389" s="1">
        <f>IFERROR(__xludf.DUMMYFUNCTION("""COMPUTED_VALUE"""),0.69)</f>
        <v>0.69</v>
      </c>
      <c r="C389" s="1">
        <f>IFERROR(__xludf.DUMMYFUNCTION("""COMPUTED_VALUE"""),0.71)</f>
        <v>0.71</v>
      </c>
      <c r="D389" s="1">
        <f>IFERROR(__xludf.DUMMYFUNCTION("""COMPUTED_VALUE"""),0.67)</f>
        <v>0.67</v>
      </c>
      <c r="E389" s="1">
        <f>IFERROR(__xludf.DUMMYFUNCTION("""COMPUTED_VALUE"""),0.67)</f>
        <v>0.67</v>
      </c>
      <c r="F389" s="1">
        <f>IFERROR(__xludf.DUMMYFUNCTION("""COMPUTED_VALUE"""),199934.0)</f>
        <v>199934</v>
      </c>
    </row>
    <row r="390">
      <c r="A390" s="2">
        <f>IFERROR(__xludf.DUMMYFUNCTION("""COMPUTED_VALUE"""),39731.666666666664)</f>
        <v>39731.66667</v>
      </c>
      <c r="B390" s="1">
        <f>IFERROR(__xludf.DUMMYFUNCTION("""COMPUTED_VALUE"""),0.66)</f>
        <v>0.66</v>
      </c>
      <c r="C390" s="1">
        <f>IFERROR(__xludf.DUMMYFUNCTION("""COMPUTED_VALUE"""),0.75)</f>
        <v>0.75</v>
      </c>
      <c r="D390" s="1">
        <f>IFERROR(__xludf.DUMMYFUNCTION("""COMPUTED_VALUE"""),0.65)</f>
        <v>0.65</v>
      </c>
      <c r="E390" s="1">
        <f>IFERROR(__xludf.DUMMYFUNCTION("""COMPUTED_VALUE"""),0.71)</f>
        <v>0.71</v>
      </c>
      <c r="F390" s="1">
        <f>IFERROR(__xludf.DUMMYFUNCTION("""COMPUTED_VALUE"""),210533.0)</f>
        <v>210533</v>
      </c>
    </row>
    <row r="391">
      <c r="A391" s="2">
        <f>IFERROR(__xludf.DUMMYFUNCTION("""COMPUTED_VALUE"""),39734.666666666664)</f>
        <v>39734.66667</v>
      </c>
      <c r="B391" s="1">
        <f>IFERROR(__xludf.DUMMYFUNCTION("""COMPUTED_VALUE"""),0.73)</f>
        <v>0.73</v>
      </c>
      <c r="C391" s="1">
        <f>IFERROR(__xludf.DUMMYFUNCTION("""COMPUTED_VALUE"""),0.8)</f>
        <v>0.8</v>
      </c>
      <c r="D391" s="1">
        <f>IFERROR(__xludf.DUMMYFUNCTION("""COMPUTED_VALUE"""),0.73)</f>
        <v>0.73</v>
      </c>
      <c r="E391" s="1">
        <f>IFERROR(__xludf.DUMMYFUNCTION("""COMPUTED_VALUE"""),0.8)</f>
        <v>0.8</v>
      </c>
      <c r="F391" s="1">
        <f>IFERROR(__xludf.DUMMYFUNCTION("""COMPUTED_VALUE"""),316772.0)</f>
        <v>316772</v>
      </c>
    </row>
    <row r="392">
      <c r="A392" s="2">
        <f>IFERROR(__xludf.DUMMYFUNCTION("""COMPUTED_VALUE"""),39735.666666666664)</f>
        <v>39735.66667</v>
      </c>
      <c r="B392" s="1">
        <f>IFERROR(__xludf.DUMMYFUNCTION("""COMPUTED_VALUE"""),0.83)</f>
        <v>0.83</v>
      </c>
      <c r="C392" s="1">
        <f>IFERROR(__xludf.DUMMYFUNCTION("""COMPUTED_VALUE"""),0.89)</f>
        <v>0.89</v>
      </c>
      <c r="D392" s="1">
        <f>IFERROR(__xludf.DUMMYFUNCTION("""COMPUTED_VALUE"""),0.75)</f>
        <v>0.75</v>
      </c>
      <c r="E392" s="1">
        <f>IFERROR(__xludf.DUMMYFUNCTION("""COMPUTED_VALUE"""),0.79)</f>
        <v>0.79</v>
      </c>
      <c r="F392" s="1">
        <f>IFERROR(__xludf.DUMMYFUNCTION("""COMPUTED_VALUE"""),190135.0)</f>
        <v>190135</v>
      </c>
    </row>
    <row r="393">
      <c r="A393" s="2">
        <f>IFERROR(__xludf.DUMMYFUNCTION("""COMPUTED_VALUE"""),39736.666666666664)</f>
        <v>39736.66667</v>
      </c>
      <c r="B393" s="1">
        <f>IFERROR(__xludf.DUMMYFUNCTION("""COMPUTED_VALUE"""),0.78)</f>
        <v>0.78</v>
      </c>
      <c r="C393" s="1">
        <f>IFERROR(__xludf.DUMMYFUNCTION("""COMPUTED_VALUE"""),0.79)</f>
        <v>0.79</v>
      </c>
      <c r="D393" s="1">
        <f>IFERROR(__xludf.DUMMYFUNCTION("""COMPUTED_VALUE"""),0.71)</f>
        <v>0.71</v>
      </c>
      <c r="E393" s="1">
        <f>IFERROR(__xludf.DUMMYFUNCTION("""COMPUTED_VALUE"""),0.72)</f>
        <v>0.72</v>
      </c>
      <c r="F393" s="1">
        <f>IFERROR(__xludf.DUMMYFUNCTION("""COMPUTED_VALUE"""),216818.0)</f>
        <v>216818</v>
      </c>
    </row>
    <row r="394">
      <c r="A394" s="2">
        <f>IFERROR(__xludf.DUMMYFUNCTION("""COMPUTED_VALUE"""),39737.666666666664)</f>
        <v>39737.66667</v>
      </c>
      <c r="B394" s="1">
        <f>IFERROR(__xludf.DUMMYFUNCTION("""COMPUTED_VALUE"""),0.72)</f>
        <v>0.72</v>
      </c>
      <c r="C394" s="1">
        <f>IFERROR(__xludf.DUMMYFUNCTION("""COMPUTED_VALUE"""),0.79)</f>
        <v>0.79</v>
      </c>
      <c r="D394" s="1">
        <f>IFERROR(__xludf.DUMMYFUNCTION("""COMPUTED_VALUE"""),0.72)</f>
        <v>0.72</v>
      </c>
      <c r="E394" s="1">
        <f>IFERROR(__xludf.DUMMYFUNCTION("""COMPUTED_VALUE"""),0.78)</f>
        <v>0.78</v>
      </c>
      <c r="F394" s="1">
        <f>IFERROR(__xludf.DUMMYFUNCTION("""COMPUTED_VALUE"""),304529.0)</f>
        <v>304529</v>
      </c>
    </row>
    <row r="395">
      <c r="A395" s="2">
        <f>IFERROR(__xludf.DUMMYFUNCTION("""COMPUTED_VALUE"""),39738.666666666664)</f>
        <v>39738.66667</v>
      </c>
      <c r="B395" s="1">
        <f>IFERROR(__xludf.DUMMYFUNCTION("""COMPUTED_VALUE"""),0.76)</f>
        <v>0.76</v>
      </c>
      <c r="C395" s="1">
        <f>IFERROR(__xludf.DUMMYFUNCTION("""COMPUTED_VALUE"""),0.8)</f>
        <v>0.8</v>
      </c>
      <c r="D395" s="1">
        <f>IFERROR(__xludf.DUMMYFUNCTION("""COMPUTED_VALUE"""),0.73)</f>
        <v>0.73</v>
      </c>
      <c r="E395" s="1">
        <f>IFERROR(__xludf.DUMMYFUNCTION("""COMPUTED_VALUE"""),0.78)</f>
        <v>0.78</v>
      </c>
      <c r="F395" s="1">
        <f>IFERROR(__xludf.DUMMYFUNCTION("""COMPUTED_VALUE"""),249223.0)</f>
        <v>249223</v>
      </c>
    </row>
    <row r="396">
      <c r="A396" s="2">
        <f>IFERROR(__xludf.DUMMYFUNCTION("""COMPUTED_VALUE"""),39741.666666666664)</f>
        <v>39741.66667</v>
      </c>
      <c r="B396" s="1">
        <f>IFERROR(__xludf.DUMMYFUNCTION("""COMPUTED_VALUE"""),0.79)</f>
        <v>0.79</v>
      </c>
      <c r="C396" s="1">
        <f>IFERROR(__xludf.DUMMYFUNCTION("""COMPUTED_VALUE"""),0.81)</f>
        <v>0.81</v>
      </c>
      <c r="D396" s="1">
        <f>IFERROR(__xludf.DUMMYFUNCTION("""COMPUTED_VALUE"""),0.76)</f>
        <v>0.76</v>
      </c>
      <c r="E396" s="1">
        <f>IFERROR(__xludf.DUMMYFUNCTION("""COMPUTED_VALUE"""),0.79)</f>
        <v>0.79</v>
      </c>
      <c r="F396" s="1">
        <f>IFERROR(__xludf.DUMMYFUNCTION("""COMPUTED_VALUE"""),70726.0)</f>
        <v>70726</v>
      </c>
    </row>
    <row r="397">
      <c r="A397" s="2">
        <f>IFERROR(__xludf.DUMMYFUNCTION("""COMPUTED_VALUE"""),39742.666666666664)</f>
        <v>39742.66667</v>
      </c>
      <c r="B397" s="1">
        <f>IFERROR(__xludf.DUMMYFUNCTION("""COMPUTED_VALUE"""),0.78)</f>
        <v>0.78</v>
      </c>
      <c r="C397" s="1">
        <f>IFERROR(__xludf.DUMMYFUNCTION("""COMPUTED_VALUE"""),0.82)</f>
        <v>0.82</v>
      </c>
      <c r="D397" s="1">
        <f>IFERROR(__xludf.DUMMYFUNCTION("""COMPUTED_VALUE"""),0.76)</f>
        <v>0.76</v>
      </c>
      <c r="E397" s="1">
        <f>IFERROR(__xludf.DUMMYFUNCTION("""COMPUTED_VALUE"""),0.76)</f>
        <v>0.76</v>
      </c>
      <c r="F397" s="1">
        <f>IFERROR(__xludf.DUMMYFUNCTION("""COMPUTED_VALUE"""),104146.0)</f>
        <v>104146</v>
      </c>
    </row>
    <row r="398">
      <c r="A398" s="2">
        <f>IFERROR(__xludf.DUMMYFUNCTION("""COMPUTED_VALUE"""),39743.666666666664)</f>
        <v>39743.66667</v>
      </c>
      <c r="B398" s="1">
        <f>IFERROR(__xludf.DUMMYFUNCTION("""COMPUTED_VALUE"""),0.75)</f>
        <v>0.75</v>
      </c>
      <c r="C398" s="1">
        <f>IFERROR(__xludf.DUMMYFUNCTION("""COMPUTED_VALUE"""),0.75)</f>
        <v>0.75</v>
      </c>
      <c r="D398" s="1">
        <f>IFERROR(__xludf.DUMMYFUNCTION("""COMPUTED_VALUE"""),0.67)</f>
        <v>0.67</v>
      </c>
      <c r="E398" s="1">
        <f>IFERROR(__xludf.DUMMYFUNCTION("""COMPUTED_VALUE"""),0.67)</f>
        <v>0.67</v>
      </c>
      <c r="F398" s="1">
        <f>IFERROR(__xludf.DUMMYFUNCTION("""COMPUTED_VALUE"""),137295.0)</f>
        <v>137295</v>
      </c>
    </row>
    <row r="399">
      <c r="A399" s="2">
        <f>IFERROR(__xludf.DUMMYFUNCTION("""COMPUTED_VALUE"""),39744.666666666664)</f>
        <v>39744.66667</v>
      </c>
      <c r="B399" s="1">
        <f>IFERROR(__xludf.DUMMYFUNCTION("""COMPUTED_VALUE"""),0.67)</f>
        <v>0.67</v>
      </c>
      <c r="C399" s="1">
        <f>IFERROR(__xludf.DUMMYFUNCTION("""COMPUTED_VALUE"""),0.7)</f>
        <v>0.7</v>
      </c>
      <c r="D399" s="1">
        <f>IFERROR(__xludf.DUMMYFUNCTION("""COMPUTED_VALUE"""),0.66)</f>
        <v>0.66</v>
      </c>
      <c r="E399" s="1">
        <f>IFERROR(__xludf.DUMMYFUNCTION("""COMPUTED_VALUE"""),0.69)</f>
        <v>0.69</v>
      </c>
      <c r="F399" s="1">
        <f>IFERROR(__xludf.DUMMYFUNCTION("""COMPUTED_VALUE"""),164849.0)</f>
        <v>164849</v>
      </c>
    </row>
    <row r="400">
      <c r="A400" s="2">
        <f>IFERROR(__xludf.DUMMYFUNCTION("""COMPUTED_VALUE"""),39745.666666666664)</f>
        <v>39745.66667</v>
      </c>
      <c r="B400" s="1">
        <f>IFERROR(__xludf.DUMMYFUNCTION("""COMPUTED_VALUE"""),0.66)</f>
        <v>0.66</v>
      </c>
      <c r="C400" s="1">
        <f>IFERROR(__xludf.DUMMYFUNCTION("""COMPUTED_VALUE"""),0.67)</f>
        <v>0.67</v>
      </c>
      <c r="D400" s="1">
        <f>IFERROR(__xludf.DUMMYFUNCTION("""COMPUTED_VALUE"""),0.61)</f>
        <v>0.61</v>
      </c>
      <c r="E400" s="1">
        <f>IFERROR(__xludf.DUMMYFUNCTION("""COMPUTED_VALUE"""),0.61)</f>
        <v>0.61</v>
      </c>
      <c r="F400" s="1">
        <f>IFERROR(__xludf.DUMMYFUNCTION("""COMPUTED_VALUE"""),189868.0)</f>
        <v>189868</v>
      </c>
    </row>
    <row r="401">
      <c r="A401" s="2">
        <f>IFERROR(__xludf.DUMMYFUNCTION("""COMPUTED_VALUE"""),39748.666666666664)</f>
        <v>39748.66667</v>
      </c>
      <c r="B401" s="1">
        <f>IFERROR(__xludf.DUMMYFUNCTION("""COMPUTED_VALUE"""),0.62)</f>
        <v>0.62</v>
      </c>
      <c r="C401" s="1">
        <f>IFERROR(__xludf.DUMMYFUNCTION("""COMPUTED_VALUE"""),0.64)</f>
        <v>0.64</v>
      </c>
      <c r="D401" s="1">
        <f>IFERROR(__xludf.DUMMYFUNCTION("""COMPUTED_VALUE"""),0.6)</f>
        <v>0.6</v>
      </c>
      <c r="E401" s="1">
        <f>IFERROR(__xludf.DUMMYFUNCTION("""COMPUTED_VALUE"""),0.6)</f>
        <v>0.6</v>
      </c>
      <c r="F401" s="1">
        <f>IFERROR(__xludf.DUMMYFUNCTION("""COMPUTED_VALUE"""),243340.0)</f>
        <v>243340</v>
      </c>
    </row>
    <row r="402">
      <c r="A402" s="2">
        <f>IFERROR(__xludf.DUMMYFUNCTION("""COMPUTED_VALUE"""),39749.666666666664)</f>
        <v>39749.66667</v>
      </c>
      <c r="B402" s="1">
        <f>IFERROR(__xludf.DUMMYFUNCTION("""COMPUTED_VALUE"""),0.62)</f>
        <v>0.62</v>
      </c>
      <c r="C402" s="1">
        <f>IFERROR(__xludf.DUMMYFUNCTION("""COMPUTED_VALUE"""),0.63)</f>
        <v>0.63</v>
      </c>
      <c r="D402" s="1">
        <f>IFERROR(__xludf.DUMMYFUNCTION("""COMPUTED_VALUE"""),0.56)</f>
        <v>0.56</v>
      </c>
      <c r="E402" s="1">
        <f>IFERROR(__xludf.DUMMYFUNCTION("""COMPUTED_VALUE"""),0.57)</f>
        <v>0.57</v>
      </c>
      <c r="F402" s="1">
        <f>IFERROR(__xludf.DUMMYFUNCTION("""COMPUTED_VALUE"""),226450.0)</f>
        <v>226450</v>
      </c>
    </row>
    <row r="403">
      <c r="A403" s="2">
        <f>IFERROR(__xludf.DUMMYFUNCTION("""COMPUTED_VALUE"""),39750.666666666664)</f>
        <v>39750.66667</v>
      </c>
      <c r="B403" s="1">
        <f>IFERROR(__xludf.DUMMYFUNCTION("""COMPUTED_VALUE"""),0.58)</f>
        <v>0.58</v>
      </c>
      <c r="C403" s="1">
        <f>IFERROR(__xludf.DUMMYFUNCTION("""COMPUTED_VALUE"""),0.62)</f>
        <v>0.62</v>
      </c>
      <c r="D403" s="1">
        <f>IFERROR(__xludf.DUMMYFUNCTION("""COMPUTED_VALUE"""),0.49)</f>
        <v>0.49</v>
      </c>
      <c r="E403" s="1">
        <f>IFERROR(__xludf.DUMMYFUNCTION("""COMPUTED_VALUE"""),0.57)</f>
        <v>0.57</v>
      </c>
      <c r="F403" s="1">
        <f>IFERROR(__xludf.DUMMYFUNCTION("""COMPUTED_VALUE"""),688911.0)</f>
        <v>688911</v>
      </c>
    </row>
    <row r="404">
      <c r="A404" s="2">
        <f>IFERROR(__xludf.DUMMYFUNCTION("""COMPUTED_VALUE"""),39751.666666666664)</f>
        <v>39751.66667</v>
      </c>
      <c r="B404" s="1">
        <f>IFERROR(__xludf.DUMMYFUNCTION("""COMPUTED_VALUE"""),0.59)</f>
        <v>0.59</v>
      </c>
      <c r="C404" s="1">
        <f>IFERROR(__xludf.DUMMYFUNCTION("""COMPUTED_VALUE"""),0.67)</f>
        <v>0.67</v>
      </c>
      <c r="D404" s="1">
        <f>IFERROR(__xludf.DUMMYFUNCTION("""COMPUTED_VALUE"""),0.56)</f>
        <v>0.56</v>
      </c>
      <c r="E404" s="1">
        <f>IFERROR(__xludf.DUMMYFUNCTION("""COMPUTED_VALUE"""),0.66)</f>
        <v>0.66</v>
      </c>
      <c r="F404" s="1">
        <f>IFERROR(__xludf.DUMMYFUNCTION("""COMPUTED_VALUE"""),457618.0)</f>
        <v>457618</v>
      </c>
    </row>
    <row r="405">
      <c r="A405" s="2">
        <f>IFERROR(__xludf.DUMMYFUNCTION("""COMPUTED_VALUE"""),39752.666666666664)</f>
        <v>39752.66667</v>
      </c>
      <c r="B405" s="1">
        <f>IFERROR(__xludf.DUMMYFUNCTION("""COMPUTED_VALUE"""),0.65)</f>
        <v>0.65</v>
      </c>
      <c r="C405" s="1">
        <f>IFERROR(__xludf.DUMMYFUNCTION("""COMPUTED_VALUE"""),0.67)</f>
        <v>0.67</v>
      </c>
      <c r="D405" s="1">
        <f>IFERROR(__xludf.DUMMYFUNCTION("""COMPUTED_VALUE"""),0.61)</f>
        <v>0.61</v>
      </c>
      <c r="E405" s="1">
        <f>IFERROR(__xludf.DUMMYFUNCTION("""COMPUTED_VALUE"""),0.63)</f>
        <v>0.63</v>
      </c>
      <c r="F405" s="1">
        <f>IFERROR(__xludf.DUMMYFUNCTION("""COMPUTED_VALUE"""),280235.0)</f>
        <v>280235</v>
      </c>
    </row>
    <row r="406">
      <c r="A406" s="2">
        <f>IFERROR(__xludf.DUMMYFUNCTION("""COMPUTED_VALUE"""),39755.666666666664)</f>
        <v>39755.66667</v>
      </c>
      <c r="B406" s="1">
        <f>IFERROR(__xludf.DUMMYFUNCTION("""COMPUTED_VALUE"""),0.62)</f>
        <v>0.62</v>
      </c>
      <c r="C406" s="1">
        <f>IFERROR(__xludf.DUMMYFUNCTION("""COMPUTED_VALUE"""),0.63)</f>
        <v>0.63</v>
      </c>
      <c r="D406" s="1">
        <f>IFERROR(__xludf.DUMMYFUNCTION("""COMPUTED_VALUE"""),0.6)</f>
        <v>0.6</v>
      </c>
      <c r="E406" s="1">
        <f>IFERROR(__xludf.DUMMYFUNCTION("""COMPUTED_VALUE"""),0.62)</f>
        <v>0.62</v>
      </c>
      <c r="F406" s="1">
        <f>IFERROR(__xludf.DUMMYFUNCTION("""COMPUTED_VALUE"""),165659.0)</f>
        <v>165659</v>
      </c>
    </row>
    <row r="407">
      <c r="A407" s="2">
        <f>IFERROR(__xludf.DUMMYFUNCTION("""COMPUTED_VALUE"""),39756.666666666664)</f>
        <v>39756.66667</v>
      </c>
      <c r="B407" s="1">
        <f>IFERROR(__xludf.DUMMYFUNCTION("""COMPUTED_VALUE"""),0.63)</f>
        <v>0.63</v>
      </c>
      <c r="C407" s="1">
        <f>IFERROR(__xludf.DUMMYFUNCTION("""COMPUTED_VALUE"""),0.63)</f>
        <v>0.63</v>
      </c>
      <c r="D407" s="1">
        <f>IFERROR(__xludf.DUMMYFUNCTION("""COMPUTED_VALUE"""),0.59)</f>
        <v>0.59</v>
      </c>
      <c r="E407" s="1">
        <f>IFERROR(__xludf.DUMMYFUNCTION("""COMPUTED_VALUE"""),0.62)</f>
        <v>0.62</v>
      </c>
      <c r="F407" s="1">
        <f>IFERROR(__xludf.DUMMYFUNCTION("""COMPUTED_VALUE"""),136702.0)</f>
        <v>136702</v>
      </c>
    </row>
    <row r="408">
      <c r="A408" s="2">
        <f>IFERROR(__xludf.DUMMYFUNCTION("""COMPUTED_VALUE"""),39757.666666666664)</f>
        <v>39757.66667</v>
      </c>
      <c r="B408" s="1">
        <f>IFERROR(__xludf.DUMMYFUNCTION("""COMPUTED_VALUE"""),0.61)</f>
        <v>0.61</v>
      </c>
      <c r="C408" s="1">
        <f>IFERROR(__xludf.DUMMYFUNCTION("""COMPUTED_VALUE"""),0.62)</f>
        <v>0.62</v>
      </c>
      <c r="D408" s="1">
        <f>IFERROR(__xludf.DUMMYFUNCTION("""COMPUTED_VALUE"""),0.59)</f>
        <v>0.59</v>
      </c>
      <c r="E408" s="1">
        <f>IFERROR(__xludf.DUMMYFUNCTION("""COMPUTED_VALUE"""),0.59)</f>
        <v>0.59</v>
      </c>
      <c r="F408" s="1">
        <f>IFERROR(__xludf.DUMMYFUNCTION("""COMPUTED_VALUE"""),164527.0)</f>
        <v>164527</v>
      </c>
    </row>
    <row r="409">
      <c r="A409" s="2">
        <f>IFERROR(__xludf.DUMMYFUNCTION("""COMPUTED_VALUE"""),39758.666666666664)</f>
        <v>39758.66667</v>
      </c>
      <c r="B409" s="1">
        <f>IFERROR(__xludf.DUMMYFUNCTION("""COMPUTED_VALUE"""),0.59)</f>
        <v>0.59</v>
      </c>
      <c r="C409" s="1">
        <f>IFERROR(__xludf.DUMMYFUNCTION("""COMPUTED_VALUE"""),0.59)</f>
        <v>0.59</v>
      </c>
      <c r="D409" s="1">
        <f>IFERROR(__xludf.DUMMYFUNCTION("""COMPUTED_VALUE"""),0.54)</f>
        <v>0.54</v>
      </c>
      <c r="E409" s="1">
        <f>IFERROR(__xludf.DUMMYFUNCTION("""COMPUTED_VALUE"""),0.54)</f>
        <v>0.54</v>
      </c>
      <c r="F409" s="1">
        <f>IFERROR(__xludf.DUMMYFUNCTION("""COMPUTED_VALUE"""),272856.0)</f>
        <v>272856</v>
      </c>
    </row>
    <row r="410">
      <c r="A410" s="2">
        <f>IFERROR(__xludf.DUMMYFUNCTION("""COMPUTED_VALUE"""),39759.666666666664)</f>
        <v>39759.66667</v>
      </c>
      <c r="B410" s="1">
        <f>IFERROR(__xludf.DUMMYFUNCTION("""COMPUTED_VALUE"""),0.55)</f>
        <v>0.55</v>
      </c>
      <c r="C410" s="1">
        <f>IFERROR(__xludf.DUMMYFUNCTION("""COMPUTED_VALUE"""),0.55)</f>
        <v>0.55</v>
      </c>
      <c r="D410" s="1">
        <f>IFERROR(__xludf.DUMMYFUNCTION("""COMPUTED_VALUE"""),0.53)</f>
        <v>0.53</v>
      </c>
      <c r="E410" s="1">
        <f>IFERROR(__xludf.DUMMYFUNCTION("""COMPUTED_VALUE"""),0.54)</f>
        <v>0.54</v>
      </c>
      <c r="F410" s="1">
        <f>IFERROR(__xludf.DUMMYFUNCTION("""COMPUTED_VALUE"""),124326.0)</f>
        <v>124326</v>
      </c>
    </row>
    <row r="411">
      <c r="A411" s="2">
        <f>IFERROR(__xludf.DUMMYFUNCTION("""COMPUTED_VALUE"""),39762.666666666664)</f>
        <v>39762.66667</v>
      </c>
      <c r="B411" s="1">
        <f>IFERROR(__xludf.DUMMYFUNCTION("""COMPUTED_VALUE"""),0.55)</f>
        <v>0.55</v>
      </c>
      <c r="C411" s="1">
        <f>IFERROR(__xludf.DUMMYFUNCTION("""COMPUTED_VALUE"""),0.56)</f>
        <v>0.56</v>
      </c>
      <c r="D411" s="1">
        <f>IFERROR(__xludf.DUMMYFUNCTION("""COMPUTED_VALUE"""),0.51)</f>
        <v>0.51</v>
      </c>
      <c r="E411" s="1">
        <f>IFERROR(__xludf.DUMMYFUNCTION("""COMPUTED_VALUE"""),0.54)</f>
        <v>0.54</v>
      </c>
      <c r="F411" s="1">
        <f>IFERROR(__xludf.DUMMYFUNCTION("""COMPUTED_VALUE"""),208243.0)</f>
        <v>208243</v>
      </c>
    </row>
    <row r="412">
      <c r="A412" s="2">
        <f>IFERROR(__xludf.DUMMYFUNCTION("""COMPUTED_VALUE"""),39763.666666666664)</f>
        <v>39763.66667</v>
      </c>
      <c r="B412" s="1">
        <f>IFERROR(__xludf.DUMMYFUNCTION("""COMPUTED_VALUE"""),0.54)</f>
        <v>0.54</v>
      </c>
      <c r="C412" s="1">
        <f>IFERROR(__xludf.DUMMYFUNCTION("""COMPUTED_VALUE"""),0.57)</f>
        <v>0.57</v>
      </c>
      <c r="D412" s="1">
        <f>IFERROR(__xludf.DUMMYFUNCTION("""COMPUTED_VALUE"""),0.51)</f>
        <v>0.51</v>
      </c>
      <c r="E412" s="1">
        <f>IFERROR(__xludf.DUMMYFUNCTION("""COMPUTED_VALUE"""),0.52)</f>
        <v>0.52</v>
      </c>
      <c r="F412" s="1">
        <f>IFERROR(__xludf.DUMMYFUNCTION("""COMPUTED_VALUE"""),88446.0)</f>
        <v>88446</v>
      </c>
    </row>
    <row r="413">
      <c r="A413" s="2">
        <f>IFERROR(__xludf.DUMMYFUNCTION("""COMPUTED_VALUE"""),39764.666666666664)</f>
        <v>39764.66667</v>
      </c>
      <c r="B413" s="1">
        <f>IFERROR(__xludf.DUMMYFUNCTION("""COMPUTED_VALUE"""),0.51)</f>
        <v>0.51</v>
      </c>
      <c r="C413" s="1">
        <f>IFERROR(__xludf.DUMMYFUNCTION("""COMPUTED_VALUE"""),0.51)</f>
        <v>0.51</v>
      </c>
      <c r="D413" s="1">
        <f>IFERROR(__xludf.DUMMYFUNCTION("""COMPUTED_VALUE"""),0.42)</f>
        <v>0.42</v>
      </c>
      <c r="E413" s="1">
        <f>IFERROR(__xludf.DUMMYFUNCTION("""COMPUTED_VALUE"""),0.43)</f>
        <v>0.43</v>
      </c>
      <c r="F413" s="1">
        <f>IFERROR(__xludf.DUMMYFUNCTION("""COMPUTED_VALUE"""),196317.0)</f>
        <v>196317</v>
      </c>
    </row>
    <row r="414">
      <c r="A414" s="2">
        <f>IFERROR(__xludf.DUMMYFUNCTION("""COMPUTED_VALUE"""),39765.666666666664)</f>
        <v>39765.66667</v>
      </c>
      <c r="B414" s="1">
        <f>IFERROR(__xludf.DUMMYFUNCTION("""COMPUTED_VALUE"""),0.42)</f>
        <v>0.42</v>
      </c>
      <c r="C414" s="1">
        <f>IFERROR(__xludf.DUMMYFUNCTION("""COMPUTED_VALUE"""),0.42)</f>
        <v>0.42</v>
      </c>
      <c r="D414" s="1">
        <f>IFERROR(__xludf.DUMMYFUNCTION("""COMPUTED_VALUE"""),0.36)</f>
        <v>0.36</v>
      </c>
      <c r="E414" s="1">
        <f>IFERROR(__xludf.DUMMYFUNCTION("""COMPUTED_VALUE"""),0.39)</f>
        <v>0.39</v>
      </c>
      <c r="F414" s="1">
        <f>IFERROR(__xludf.DUMMYFUNCTION("""COMPUTED_VALUE"""),999019.0)</f>
        <v>999019</v>
      </c>
    </row>
    <row r="415">
      <c r="A415" s="2">
        <f>IFERROR(__xludf.DUMMYFUNCTION("""COMPUTED_VALUE"""),39766.666666666664)</f>
        <v>39766.66667</v>
      </c>
      <c r="B415" s="1">
        <f>IFERROR(__xludf.DUMMYFUNCTION("""COMPUTED_VALUE"""),0.39)</f>
        <v>0.39</v>
      </c>
      <c r="C415" s="1">
        <f>IFERROR(__xludf.DUMMYFUNCTION("""COMPUTED_VALUE"""),0.44)</f>
        <v>0.44</v>
      </c>
      <c r="D415" s="1">
        <f>IFERROR(__xludf.DUMMYFUNCTION("""COMPUTED_VALUE"""),0.39)</f>
        <v>0.39</v>
      </c>
      <c r="E415" s="1">
        <f>IFERROR(__xludf.DUMMYFUNCTION("""COMPUTED_VALUE"""),0.41)</f>
        <v>0.41</v>
      </c>
      <c r="F415" s="1">
        <f>IFERROR(__xludf.DUMMYFUNCTION("""COMPUTED_VALUE"""),426807.0)</f>
        <v>426807</v>
      </c>
    </row>
    <row r="416">
      <c r="A416" s="2">
        <f>IFERROR(__xludf.DUMMYFUNCTION("""COMPUTED_VALUE"""),39769.666666666664)</f>
        <v>39769.66667</v>
      </c>
      <c r="B416" s="1">
        <f>IFERROR(__xludf.DUMMYFUNCTION("""COMPUTED_VALUE"""),0.41)</f>
        <v>0.41</v>
      </c>
      <c r="C416" s="1">
        <f>IFERROR(__xludf.DUMMYFUNCTION("""COMPUTED_VALUE"""),0.48)</f>
        <v>0.48</v>
      </c>
      <c r="D416" s="1">
        <f>IFERROR(__xludf.DUMMYFUNCTION("""COMPUTED_VALUE"""),0.41)</f>
        <v>0.41</v>
      </c>
      <c r="E416" s="1">
        <f>IFERROR(__xludf.DUMMYFUNCTION("""COMPUTED_VALUE"""),0.46)</f>
        <v>0.46</v>
      </c>
      <c r="F416" s="1">
        <f>IFERROR(__xludf.DUMMYFUNCTION("""COMPUTED_VALUE"""),194735.0)</f>
        <v>194735</v>
      </c>
    </row>
    <row r="417">
      <c r="A417" s="2">
        <f>IFERROR(__xludf.DUMMYFUNCTION("""COMPUTED_VALUE"""),39770.666666666664)</f>
        <v>39770.66667</v>
      </c>
      <c r="B417" s="1">
        <f>IFERROR(__xludf.DUMMYFUNCTION("""COMPUTED_VALUE"""),0.46)</f>
        <v>0.46</v>
      </c>
      <c r="C417" s="1">
        <f>IFERROR(__xludf.DUMMYFUNCTION("""COMPUTED_VALUE"""),0.49)</f>
        <v>0.49</v>
      </c>
      <c r="D417" s="1">
        <f>IFERROR(__xludf.DUMMYFUNCTION("""COMPUTED_VALUE"""),0.46)</f>
        <v>0.46</v>
      </c>
      <c r="E417" s="1">
        <f>IFERROR(__xludf.DUMMYFUNCTION("""COMPUTED_VALUE"""),0.48)</f>
        <v>0.48</v>
      </c>
      <c r="F417" s="1">
        <f>IFERROR(__xludf.DUMMYFUNCTION("""COMPUTED_VALUE"""),208591.0)</f>
        <v>208591</v>
      </c>
    </row>
    <row r="418">
      <c r="A418" s="2">
        <f>IFERROR(__xludf.DUMMYFUNCTION("""COMPUTED_VALUE"""),39771.666666666664)</f>
        <v>39771.66667</v>
      </c>
      <c r="B418" s="1">
        <f>IFERROR(__xludf.DUMMYFUNCTION("""COMPUTED_VALUE"""),0.47)</f>
        <v>0.47</v>
      </c>
      <c r="C418" s="1">
        <f>IFERROR(__xludf.DUMMYFUNCTION("""COMPUTED_VALUE"""),0.49)</f>
        <v>0.49</v>
      </c>
      <c r="D418" s="1">
        <f>IFERROR(__xludf.DUMMYFUNCTION("""COMPUTED_VALUE"""),0.4)</f>
        <v>0.4</v>
      </c>
      <c r="E418" s="1">
        <f>IFERROR(__xludf.DUMMYFUNCTION("""COMPUTED_VALUE"""),0.41)</f>
        <v>0.41</v>
      </c>
      <c r="F418" s="1">
        <f>IFERROR(__xludf.DUMMYFUNCTION("""COMPUTED_VALUE"""),263920.0)</f>
        <v>263920</v>
      </c>
    </row>
    <row r="419">
      <c r="A419" s="2">
        <f>IFERROR(__xludf.DUMMYFUNCTION("""COMPUTED_VALUE"""),39772.666666666664)</f>
        <v>39772.66667</v>
      </c>
      <c r="B419" s="1">
        <f>IFERROR(__xludf.DUMMYFUNCTION("""COMPUTED_VALUE"""),0.41)</f>
        <v>0.41</v>
      </c>
      <c r="C419" s="1">
        <f>IFERROR(__xludf.DUMMYFUNCTION("""COMPUTED_VALUE"""),0.45)</f>
        <v>0.45</v>
      </c>
      <c r="D419" s="1">
        <f>IFERROR(__xludf.DUMMYFUNCTION("""COMPUTED_VALUE"""),0.4)</f>
        <v>0.4</v>
      </c>
      <c r="E419" s="1">
        <f>IFERROR(__xludf.DUMMYFUNCTION("""COMPUTED_VALUE"""),0.41)</f>
        <v>0.41</v>
      </c>
      <c r="F419" s="1">
        <f>IFERROR(__xludf.DUMMYFUNCTION("""COMPUTED_VALUE"""),234247.0)</f>
        <v>234247</v>
      </c>
    </row>
    <row r="420">
      <c r="A420" s="2">
        <f>IFERROR(__xludf.DUMMYFUNCTION("""COMPUTED_VALUE"""),39773.666666666664)</f>
        <v>39773.66667</v>
      </c>
      <c r="B420" s="1">
        <f>IFERROR(__xludf.DUMMYFUNCTION("""COMPUTED_VALUE"""),0.42)</f>
        <v>0.42</v>
      </c>
      <c r="C420" s="1">
        <f>IFERROR(__xludf.DUMMYFUNCTION("""COMPUTED_VALUE"""),0.44)</f>
        <v>0.44</v>
      </c>
      <c r="D420" s="1">
        <f>IFERROR(__xludf.DUMMYFUNCTION("""COMPUTED_VALUE"""),0.4)</f>
        <v>0.4</v>
      </c>
      <c r="E420" s="1">
        <f>IFERROR(__xludf.DUMMYFUNCTION("""COMPUTED_VALUE"""),0.44)</f>
        <v>0.44</v>
      </c>
      <c r="F420" s="1">
        <f>IFERROR(__xludf.DUMMYFUNCTION("""COMPUTED_VALUE"""),177453.0)</f>
        <v>177453</v>
      </c>
    </row>
    <row r="421">
      <c r="A421" s="2">
        <f>IFERROR(__xludf.DUMMYFUNCTION("""COMPUTED_VALUE"""),39776.666666666664)</f>
        <v>39776.66667</v>
      </c>
      <c r="B421" s="1">
        <f>IFERROR(__xludf.DUMMYFUNCTION("""COMPUTED_VALUE"""),0.45)</f>
        <v>0.45</v>
      </c>
      <c r="C421" s="1">
        <f>IFERROR(__xludf.DUMMYFUNCTION("""COMPUTED_VALUE"""),0.5)</f>
        <v>0.5</v>
      </c>
      <c r="D421" s="1">
        <f>IFERROR(__xludf.DUMMYFUNCTION("""COMPUTED_VALUE"""),0.42)</f>
        <v>0.42</v>
      </c>
      <c r="E421" s="1">
        <f>IFERROR(__xludf.DUMMYFUNCTION("""COMPUTED_VALUE"""),0.48)</f>
        <v>0.48</v>
      </c>
      <c r="F421" s="1">
        <f>IFERROR(__xludf.DUMMYFUNCTION("""COMPUTED_VALUE"""),374163.0)</f>
        <v>374163</v>
      </c>
    </row>
    <row r="422">
      <c r="A422" s="2">
        <f>IFERROR(__xludf.DUMMYFUNCTION("""COMPUTED_VALUE"""),39777.666666666664)</f>
        <v>39777.66667</v>
      </c>
      <c r="B422" s="1">
        <f>IFERROR(__xludf.DUMMYFUNCTION("""COMPUTED_VALUE"""),0.48)</f>
        <v>0.48</v>
      </c>
      <c r="C422" s="1">
        <f>IFERROR(__xludf.DUMMYFUNCTION("""COMPUTED_VALUE"""),0.5)</f>
        <v>0.5</v>
      </c>
      <c r="D422" s="1">
        <f>IFERROR(__xludf.DUMMYFUNCTION("""COMPUTED_VALUE"""),0.46)</f>
        <v>0.46</v>
      </c>
      <c r="E422" s="1">
        <f>IFERROR(__xludf.DUMMYFUNCTION("""COMPUTED_VALUE"""),0.49)</f>
        <v>0.49</v>
      </c>
      <c r="F422" s="1">
        <f>IFERROR(__xludf.DUMMYFUNCTION("""COMPUTED_VALUE"""),177638.0)</f>
        <v>177638</v>
      </c>
    </row>
    <row r="423">
      <c r="A423" s="2">
        <f>IFERROR(__xludf.DUMMYFUNCTION("""COMPUTED_VALUE"""),39778.666666666664)</f>
        <v>39778.66667</v>
      </c>
      <c r="B423" s="1">
        <f>IFERROR(__xludf.DUMMYFUNCTION("""COMPUTED_VALUE"""),0.48)</f>
        <v>0.48</v>
      </c>
      <c r="C423" s="1">
        <f>IFERROR(__xludf.DUMMYFUNCTION("""COMPUTED_VALUE"""),0.53)</f>
        <v>0.53</v>
      </c>
      <c r="D423" s="1">
        <f>IFERROR(__xludf.DUMMYFUNCTION("""COMPUTED_VALUE"""),0.48)</f>
        <v>0.48</v>
      </c>
      <c r="E423" s="1">
        <f>IFERROR(__xludf.DUMMYFUNCTION("""COMPUTED_VALUE"""),0.52)</f>
        <v>0.52</v>
      </c>
      <c r="F423" s="1">
        <f>IFERROR(__xludf.DUMMYFUNCTION("""COMPUTED_VALUE"""),153882.0)</f>
        <v>153882</v>
      </c>
    </row>
    <row r="424">
      <c r="A424" s="2">
        <f>IFERROR(__xludf.DUMMYFUNCTION("""COMPUTED_VALUE"""),39780.666666666664)</f>
        <v>39780.66667</v>
      </c>
      <c r="B424" s="1">
        <f>IFERROR(__xludf.DUMMYFUNCTION("""COMPUTED_VALUE"""),0.52)</f>
        <v>0.52</v>
      </c>
      <c r="C424" s="1">
        <f>IFERROR(__xludf.DUMMYFUNCTION("""COMPUTED_VALUE"""),0.53)</f>
        <v>0.53</v>
      </c>
      <c r="D424" s="1">
        <f>IFERROR(__xludf.DUMMYFUNCTION("""COMPUTED_VALUE"""),0.51)</f>
        <v>0.51</v>
      </c>
      <c r="E424" s="1">
        <f>IFERROR(__xludf.DUMMYFUNCTION("""COMPUTED_VALUE"""),0.52)</f>
        <v>0.52</v>
      </c>
      <c r="F424" s="1">
        <f>IFERROR(__xludf.DUMMYFUNCTION("""COMPUTED_VALUE"""),17644.0)</f>
        <v>17644</v>
      </c>
    </row>
    <row r="425">
      <c r="A425" s="2">
        <f>IFERROR(__xludf.DUMMYFUNCTION("""COMPUTED_VALUE"""),39783.666666666664)</f>
        <v>39783.66667</v>
      </c>
      <c r="B425" s="1">
        <f>IFERROR(__xludf.DUMMYFUNCTION("""COMPUTED_VALUE"""),0.51)</f>
        <v>0.51</v>
      </c>
      <c r="C425" s="1">
        <f>IFERROR(__xludf.DUMMYFUNCTION("""COMPUTED_VALUE"""),0.52)</f>
        <v>0.52</v>
      </c>
      <c r="D425" s="1">
        <f>IFERROR(__xludf.DUMMYFUNCTION("""COMPUTED_VALUE"""),0.43)</f>
        <v>0.43</v>
      </c>
      <c r="E425" s="1">
        <f>IFERROR(__xludf.DUMMYFUNCTION("""COMPUTED_VALUE"""),0.46)</f>
        <v>0.46</v>
      </c>
      <c r="F425" s="1">
        <f>IFERROR(__xludf.DUMMYFUNCTION("""COMPUTED_VALUE"""),220308.0)</f>
        <v>220308</v>
      </c>
    </row>
    <row r="426">
      <c r="A426" s="2">
        <f>IFERROR(__xludf.DUMMYFUNCTION("""COMPUTED_VALUE"""),39784.666666666664)</f>
        <v>39784.66667</v>
      </c>
      <c r="B426" s="1">
        <f>IFERROR(__xludf.DUMMYFUNCTION("""COMPUTED_VALUE"""),0.47)</f>
        <v>0.47</v>
      </c>
      <c r="C426" s="1">
        <f>IFERROR(__xludf.DUMMYFUNCTION("""COMPUTED_VALUE"""),0.52)</f>
        <v>0.52</v>
      </c>
      <c r="D426" s="1">
        <f>IFERROR(__xludf.DUMMYFUNCTION("""COMPUTED_VALUE"""),0.46)</f>
        <v>0.46</v>
      </c>
      <c r="E426" s="1">
        <f>IFERROR(__xludf.DUMMYFUNCTION("""COMPUTED_VALUE"""),0.51)</f>
        <v>0.51</v>
      </c>
      <c r="F426" s="1">
        <f>IFERROR(__xludf.DUMMYFUNCTION("""COMPUTED_VALUE"""),85956.0)</f>
        <v>85956</v>
      </c>
    </row>
    <row r="427">
      <c r="A427" s="2">
        <f>IFERROR(__xludf.DUMMYFUNCTION("""COMPUTED_VALUE"""),39785.666666666664)</f>
        <v>39785.66667</v>
      </c>
      <c r="B427" s="1">
        <f>IFERROR(__xludf.DUMMYFUNCTION("""COMPUTED_VALUE"""),0.5)</f>
        <v>0.5</v>
      </c>
      <c r="C427" s="1">
        <f>IFERROR(__xludf.DUMMYFUNCTION("""COMPUTED_VALUE"""),0.51)</f>
        <v>0.51</v>
      </c>
      <c r="D427" s="1">
        <f>IFERROR(__xludf.DUMMYFUNCTION("""COMPUTED_VALUE"""),0.47)</f>
        <v>0.47</v>
      </c>
      <c r="E427" s="1">
        <f>IFERROR(__xludf.DUMMYFUNCTION("""COMPUTED_VALUE"""),0.5)</f>
        <v>0.5</v>
      </c>
      <c r="F427" s="1">
        <f>IFERROR(__xludf.DUMMYFUNCTION("""COMPUTED_VALUE"""),134017.0)</f>
        <v>134017</v>
      </c>
    </row>
    <row r="428">
      <c r="A428" s="2">
        <f>IFERROR(__xludf.DUMMYFUNCTION("""COMPUTED_VALUE"""),39786.666666666664)</f>
        <v>39786.66667</v>
      </c>
      <c r="B428" s="1">
        <f>IFERROR(__xludf.DUMMYFUNCTION("""COMPUTED_VALUE"""),0.5)</f>
        <v>0.5</v>
      </c>
      <c r="C428" s="1">
        <f>IFERROR(__xludf.DUMMYFUNCTION("""COMPUTED_VALUE"""),0.51)</f>
        <v>0.51</v>
      </c>
      <c r="D428" s="1">
        <f>IFERROR(__xludf.DUMMYFUNCTION("""COMPUTED_VALUE"""),0.48)</f>
        <v>0.48</v>
      </c>
      <c r="E428" s="1">
        <f>IFERROR(__xludf.DUMMYFUNCTION("""COMPUTED_VALUE"""),0.49)</f>
        <v>0.49</v>
      </c>
      <c r="F428" s="1">
        <f>IFERROR(__xludf.DUMMYFUNCTION("""COMPUTED_VALUE"""),115751.0)</f>
        <v>115751</v>
      </c>
    </row>
    <row r="429">
      <c r="A429" s="2">
        <f>IFERROR(__xludf.DUMMYFUNCTION("""COMPUTED_VALUE"""),39787.666666666664)</f>
        <v>39787.66667</v>
      </c>
      <c r="B429" s="1">
        <f>IFERROR(__xludf.DUMMYFUNCTION("""COMPUTED_VALUE"""),0.49)</f>
        <v>0.49</v>
      </c>
      <c r="C429" s="1">
        <f>IFERROR(__xludf.DUMMYFUNCTION("""COMPUTED_VALUE"""),0.57)</f>
        <v>0.57</v>
      </c>
      <c r="D429" s="1">
        <f>IFERROR(__xludf.DUMMYFUNCTION("""COMPUTED_VALUE"""),0.49)</f>
        <v>0.49</v>
      </c>
      <c r="E429" s="1">
        <f>IFERROR(__xludf.DUMMYFUNCTION("""COMPUTED_VALUE"""),0.57)</f>
        <v>0.57</v>
      </c>
      <c r="F429" s="1">
        <f>IFERROR(__xludf.DUMMYFUNCTION("""COMPUTED_VALUE"""),206777.0)</f>
        <v>206777</v>
      </c>
    </row>
    <row r="430">
      <c r="A430" s="2">
        <f>IFERROR(__xludf.DUMMYFUNCTION("""COMPUTED_VALUE"""),39790.666666666664)</f>
        <v>39790.66667</v>
      </c>
      <c r="B430" s="1">
        <f>IFERROR(__xludf.DUMMYFUNCTION("""COMPUTED_VALUE"""),0.58)</f>
        <v>0.58</v>
      </c>
      <c r="C430" s="1">
        <f>IFERROR(__xludf.DUMMYFUNCTION("""COMPUTED_VALUE"""),0.63)</f>
        <v>0.63</v>
      </c>
      <c r="D430" s="1">
        <f>IFERROR(__xludf.DUMMYFUNCTION("""COMPUTED_VALUE"""),0.56)</f>
        <v>0.56</v>
      </c>
      <c r="E430" s="1">
        <f>IFERROR(__xludf.DUMMYFUNCTION("""COMPUTED_VALUE"""),0.61)</f>
        <v>0.61</v>
      </c>
      <c r="F430" s="1">
        <f>IFERROR(__xludf.DUMMYFUNCTION("""COMPUTED_VALUE"""),211071.0)</f>
        <v>211071</v>
      </c>
    </row>
    <row r="431">
      <c r="A431" s="2">
        <f>IFERROR(__xludf.DUMMYFUNCTION("""COMPUTED_VALUE"""),39791.666666666664)</f>
        <v>39791.66667</v>
      </c>
      <c r="B431" s="1">
        <f>IFERROR(__xludf.DUMMYFUNCTION("""COMPUTED_VALUE"""),0.6)</f>
        <v>0.6</v>
      </c>
      <c r="C431" s="1">
        <f>IFERROR(__xludf.DUMMYFUNCTION("""COMPUTED_VALUE"""),0.63)</f>
        <v>0.63</v>
      </c>
      <c r="D431" s="1">
        <f>IFERROR(__xludf.DUMMYFUNCTION("""COMPUTED_VALUE"""),0.59)</f>
        <v>0.59</v>
      </c>
      <c r="E431" s="1">
        <f>IFERROR(__xludf.DUMMYFUNCTION("""COMPUTED_VALUE"""),0.59)</f>
        <v>0.59</v>
      </c>
      <c r="F431" s="1">
        <f>IFERROR(__xludf.DUMMYFUNCTION("""COMPUTED_VALUE"""),155496.0)</f>
        <v>155496</v>
      </c>
    </row>
    <row r="432">
      <c r="A432" s="2">
        <f>IFERROR(__xludf.DUMMYFUNCTION("""COMPUTED_VALUE"""),39792.666666666664)</f>
        <v>39792.66667</v>
      </c>
      <c r="B432" s="1">
        <f>IFERROR(__xludf.DUMMYFUNCTION("""COMPUTED_VALUE"""),0.6)</f>
        <v>0.6</v>
      </c>
      <c r="C432" s="1">
        <f>IFERROR(__xludf.DUMMYFUNCTION("""COMPUTED_VALUE"""),0.65)</f>
        <v>0.65</v>
      </c>
      <c r="D432" s="1">
        <f>IFERROR(__xludf.DUMMYFUNCTION("""COMPUTED_VALUE"""),0.59)</f>
        <v>0.59</v>
      </c>
      <c r="E432" s="1">
        <f>IFERROR(__xludf.DUMMYFUNCTION("""COMPUTED_VALUE"""),0.65)</f>
        <v>0.65</v>
      </c>
      <c r="F432" s="1">
        <f>IFERROR(__xludf.DUMMYFUNCTION("""COMPUTED_VALUE"""),110479.0)</f>
        <v>110479</v>
      </c>
    </row>
    <row r="433">
      <c r="A433" s="2">
        <f>IFERROR(__xludf.DUMMYFUNCTION("""COMPUTED_VALUE"""),39793.666666666664)</f>
        <v>39793.66667</v>
      </c>
      <c r="B433" s="1">
        <f>IFERROR(__xludf.DUMMYFUNCTION("""COMPUTED_VALUE"""),0.64)</f>
        <v>0.64</v>
      </c>
      <c r="C433" s="1">
        <f>IFERROR(__xludf.DUMMYFUNCTION("""COMPUTED_VALUE"""),0.65)</f>
        <v>0.65</v>
      </c>
      <c r="D433" s="1">
        <f>IFERROR(__xludf.DUMMYFUNCTION("""COMPUTED_VALUE"""),0.63)</f>
        <v>0.63</v>
      </c>
      <c r="E433" s="1">
        <f>IFERROR(__xludf.DUMMYFUNCTION("""COMPUTED_VALUE"""),0.63)</f>
        <v>0.63</v>
      </c>
      <c r="F433" s="1">
        <f>IFERROR(__xludf.DUMMYFUNCTION("""COMPUTED_VALUE"""),94004.0)</f>
        <v>94004</v>
      </c>
    </row>
    <row r="434">
      <c r="A434" s="2">
        <f>IFERROR(__xludf.DUMMYFUNCTION("""COMPUTED_VALUE"""),39794.666666666664)</f>
        <v>39794.66667</v>
      </c>
      <c r="B434" s="1">
        <f>IFERROR(__xludf.DUMMYFUNCTION("""COMPUTED_VALUE"""),0.62)</f>
        <v>0.62</v>
      </c>
      <c r="C434" s="1">
        <f>IFERROR(__xludf.DUMMYFUNCTION("""COMPUTED_VALUE"""),0.65)</f>
        <v>0.65</v>
      </c>
      <c r="D434" s="1">
        <f>IFERROR(__xludf.DUMMYFUNCTION("""COMPUTED_VALUE"""),0.62)</f>
        <v>0.62</v>
      </c>
      <c r="E434" s="1">
        <f>IFERROR(__xludf.DUMMYFUNCTION("""COMPUTED_VALUE"""),0.65)</f>
        <v>0.65</v>
      </c>
      <c r="F434" s="1">
        <f>IFERROR(__xludf.DUMMYFUNCTION("""COMPUTED_VALUE"""),115690.0)</f>
        <v>115690</v>
      </c>
    </row>
    <row r="435">
      <c r="A435" s="2">
        <f>IFERROR(__xludf.DUMMYFUNCTION("""COMPUTED_VALUE"""),39797.666666666664)</f>
        <v>39797.66667</v>
      </c>
      <c r="B435" s="1">
        <f>IFERROR(__xludf.DUMMYFUNCTION("""COMPUTED_VALUE"""),0.65)</f>
        <v>0.65</v>
      </c>
      <c r="C435" s="1">
        <f>IFERROR(__xludf.DUMMYFUNCTION("""COMPUTED_VALUE"""),0.67)</f>
        <v>0.67</v>
      </c>
      <c r="D435" s="1">
        <f>IFERROR(__xludf.DUMMYFUNCTION("""COMPUTED_VALUE"""),0.63)</f>
        <v>0.63</v>
      </c>
      <c r="E435" s="1">
        <f>IFERROR(__xludf.DUMMYFUNCTION("""COMPUTED_VALUE"""),0.65)</f>
        <v>0.65</v>
      </c>
      <c r="F435" s="1">
        <f>IFERROR(__xludf.DUMMYFUNCTION("""COMPUTED_VALUE"""),178770.0)</f>
        <v>178770</v>
      </c>
    </row>
    <row r="436">
      <c r="A436" s="2">
        <f>IFERROR(__xludf.DUMMYFUNCTION("""COMPUTED_VALUE"""),39798.666666666664)</f>
        <v>39798.66667</v>
      </c>
      <c r="B436" s="1">
        <f>IFERROR(__xludf.DUMMYFUNCTION("""COMPUTED_VALUE"""),0.65)</f>
        <v>0.65</v>
      </c>
      <c r="C436" s="1">
        <f>IFERROR(__xludf.DUMMYFUNCTION("""COMPUTED_VALUE"""),0.7)</f>
        <v>0.7</v>
      </c>
      <c r="D436" s="1">
        <f>IFERROR(__xludf.DUMMYFUNCTION("""COMPUTED_VALUE"""),0.63)</f>
        <v>0.63</v>
      </c>
      <c r="E436" s="1">
        <f>IFERROR(__xludf.DUMMYFUNCTION("""COMPUTED_VALUE"""),0.7)</f>
        <v>0.7</v>
      </c>
      <c r="F436" s="1">
        <f>IFERROR(__xludf.DUMMYFUNCTION("""COMPUTED_VALUE"""),195044.0)</f>
        <v>195044</v>
      </c>
    </row>
    <row r="437">
      <c r="A437" s="2">
        <f>IFERROR(__xludf.DUMMYFUNCTION("""COMPUTED_VALUE"""),39799.666666666664)</f>
        <v>39799.66667</v>
      </c>
      <c r="B437" s="1">
        <f>IFERROR(__xludf.DUMMYFUNCTION("""COMPUTED_VALUE"""),0.69)</f>
        <v>0.69</v>
      </c>
      <c r="C437" s="1">
        <f>IFERROR(__xludf.DUMMYFUNCTION("""COMPUTED_VALUE"""),0.72)</f>
        <v>0.72</v>
      </c>
      <c r="D437" s="1">
        <f>IFERROR(__xludf.DUMMYFUNCTION("""COMPUTED_VALUE"""),0.67)</f>
        <v>0.67</v>
      </c>
      <c r="E437" s="1">
        <f>IFERROR(__xludf.DUMMYFUNCTION("""COMPUTED_VALUE"""),0.71)</f>
        <v>0.71</v>
      </c>
      <c r="F437" s="1">
        <f>IFERROR(__xludf.DUMMYFUNCTION("""COMPUTED_VALUE"""),128571.0)</f>
        <v>128571</v>
      </c>
    </row>
    <row r="438">
      <c r="A438" s="2">
        <f>IFERROR(__xludf.DUMMYFUNCTION("""COMPUTED_VALUE"""),39800.666666666664)</f>
        <v>39800.66667</v>
      </c>
      <c r="B438" s="1">
        <f>IFERROR(__xludf.DUMMYFUNCTION("""COMPUTED_VALUE"""),0.71)</f>
        <v>0.71</v>
      </c>
      <c r="C438" s="1">
        <f>IFERROR(__xludf.DUMMYFUNCTION("""COMPUTED_VALUE"""),0.73)</f>
        <v>0.73</v>
      </c>
      <c r="D438" s="1">
        <f>IFERROR(__xludf.DUMMYFUNCTION("""COMPUTED_VALUE"""),0.67)</f>
        <v>0.67</v>
      </c>
      <c r="E438" s="1">
        <f>IFERROR(__xludf.DUMMYFUNCTION("""COMPUTED_VALUE"""),0.68)</f>
        <v>0.68</v>
      </c>
      <c r="F438" s="1">
        <f>IFERROR(__xludf.DUMMYFUNCTION("""COMPUTED_VALUE"""),45501.0)</f>
        <v>45501</v>
      </c>
    </row>
    <row r="439">
      <c r="A439" s="2">
        <f>IFERROR(__xludf.DUMMYFUNCTION("""COMPUTED_VALUE"""),39801.666666666664)</f>
        <v>39801.66667</v>
      </c>
      <c r="B439" s="1">
        <f>IFERROR(__xludf.DUMMYFUNCTION("""COMPUTED_VALUE"""),0.71)</f>
        <v>0.71</v>
      </c>
      <c r="C439" s="1">
        <f>IFERROR(__xludf.DUMMYFUNCTION("""COMPUTED_VALUE"""),0.71)</f>
        <v>0.71</v>
      </c>
      <c r="D439" s="1">
        <f>IFERROR(__xludf.DUMMYFUNCTION("""COMPUTED_VALUE"""),0.64)</f>
        <v>0.64</v>
      </c>
      <c r="E439" s="1">
        <f>IFERROR(__xludf.DUMMYFUNCTION("""COMPUTED_VALUE"""),0.66)</f>
        <v>0.66</v>
      </c>
      <c r="F439" s="1">
        <f>IFERROR(__xludf.DUMMYFUNCTION("""COMPUTED_VALUE"""),245621.0)</f>
        <v>245621</v>
      </c>
    </row>
    <row r="440">
      <c r="A440" s="2">
        <f>IFERROR(__xludf.DUMMYFUNCTION("""COMPUTED_VALUE"""),39804.666666666664)</f>
        <v>39804.66667</v>
      </c>
      <c r="B440" s="1">
        <f>IFERROR(__xludf.DUMMYFUNCTION("""COMPUTED_VALUE"""),0.66)</f>
        <v>0.66</v>
      </c>
      <c r="C440" s="1">
        <f>IFERROR(__xludf.DUMMYFUNCTION("""COMPUTED_VALUE"""),0.67)</f>
        <v>0.67</v>
      </c>
      <c r="D440" s="1">
        <f>IFERROR(__xludf.DUMMYFUNCTION("""COMPUTED_VALUE"""),0.6)</f>
        <v>0.6</v>
      </c>
      <c r="E440" s="1">
        <f>IFERROR(__xludf.DUMMYFUNCTION("""COMPUTED_VALUE"""),0.64)</f>
        <v>0.64</v>
      </c>
      <c r="F440" s="1">
        <f>IFERROR(__xludf.DUMMYFUNCTION("""COMPUTED_VALUE"""),66405.0)</f>
        <v>66405</v>
      </c>
    </row>
    <row r="441">
      <c r="A441" s="2">
        <f>IFERROR(__xludf.DUMMYFUNCTION("""COMPUTED_VALUE"""),39805.666666666664)</f>
        <v>39805.66667</v>
      </c>
      <c r="B441" s="1">
        <f>IFERROR(__xludf.DUMMYFUNCTION("""COMPUTED_VALUE"""),0.64)</f>
        <v>0.64</v>
      </c>
      <c r="C441" s="1">
        <f>IFERROR(__xludf.DUMMYFUNCTION("""COMPUTED_VALUE"""),0.67)</f>
        <v>0.67</v>
      </c>
      <c r="D441" s="1">
        <f>IFERROR(__xludf.DUMMYFUNCTION("""COMPUTED_VALUE"""),0.64)</f>
        <v>0.64</v>
      </c>
      <c r="E441" s="1">
        <f>IFERROR(__xludf.DUMMYFUNCTION("""COMPUTED_VALUE"""),0.67)</f>
        <v>0.67</v>
      </c>
      <c r="F441" s="1">
        <f>IFERROR(__xludf.DUMMYFUNCTION("""COMPUTED_VALUE"""),57885.0)</f>
        <v>57885</v>
      </c>
    </row>
    <row r="442">
      <c r="A442" s="2">
        <f>IFERROR(__xludf.DUMMYFUNCTION("""COMPUTED_VALUE"""),39806.666666666664)</f>
        <v>39806.66667</v>
      </c>
      <c r="B442" s="1">
        <f>IFERROR(__xludf.DUMMYFUNCTION("""COMPUTED_VALUE"""),0.67)</f>
        <v>0.67</v>
      </c>
      <c r="C442" s="1">
        <f>IFERROR(__xludf.DUMMYFUNCTION("""COMPUTED_VALUE"""),0.67)</f>
        <v>0.67</v>
      </c>
      <c r="D442" s="1">
        <f>IFERROR(__xludf.DUMMYFUNCTION("""COMPUTED_VALUE"""),0.6)</f>
        <v>0.6</v>
      </c>
      <c r="E442" s="1">
        <f>IFERROR(__xludf.DUMMYFUNCTION("""COMPUTED_VALUE"""),0.63)</f>
        <v>0.63</v>
      </c>
      <c r="F442" s="1">
        <f>IFERROR(__xludf.DUMMYFUNCTION("""COMPUTED_VALUE"""),40038.0)</f>
        <v>40038</v>
      </c>
    </row>
    <row r="443">
      <c r="A443" s="2">
        <f>IFERROR(__xludf.DUMMYFUNCTION("""COMPUTED_VALUE"""),39808.666666666664)</f>
        <v>39808.66667</v>
      </c>
      <c r="B443" s="1">
        <f>IFERROR(__xludf.DUMMYFUNCTION("""COMPUTED_VALUE"""),0.63)</f>
        <v>0.63</v>
      </c>
      <c r="C443" s="1">
        <f>IFERROR(__xludf.DUMMYFUNCTION("""COMPUTED_VALUE"""),0.68)</f>
        <v>0.68</v>
      </c>
      <c r="D443" s="1">
        <f>IFERROR(__xludf.DUMMYFUNCTION("""COMPUTED_VALUE"""),0.62)</f>
        <v>0.62</v>
      </c>
      <c r="E443" s="1">
        <f>IFERROR(__xludf.DUMMYFUNCTION("""COMPUTED_VALUE"""),0.68)</f>
        <v>0.68</v>
      </c>
      <c r="F443" s="1">
        <f>IFERROR(__xludf.DUMMYFUNCTION("""COMPUTED_VALUE"""),32968.0)</f>
        <v>32968</v>
      </c>
    </row>
    <row r="444">
      <c r="A444" s="2">
        <f>IFERROR(__xludf.DUMMYFUNCTION("""COMPUTED_VALUE"""),39811.666666666664)</f>
        <v>39811.66667</v>
      </c>
      <c r="B444" s="1">
        <f>IFERROR(__xludf.DUMMYFUNCTION("""COMPUTED_VALUE"""),0.68)</f>
        <v>0.68</v>
      </c>
      <c r="C444" s="1">
        <f>IFERROR(__xludf.DUMMYFUNCTION("""COMPUTED_VALUE"""),0.68)</f>
        <v>0.68</v>
      </c>
      <c r="D444" s="1">
        <f>IFERROR(__xludf.DUMMYFUNCTION("""COMPUTED_VALUE"""),0.6)</f>
        <v>0.6</v>
      </c>
      <c r="E444" s="1">
        <f>IFERROR(__xludf.DUMMYFUNCTION("""COMPUTED_VALUE"""),0.63)</f>
        <v>0.63</v>
      </c>
      <c r="F444" s="1">
        <f>IFERROR(__xludf.DUMMYFUNCTION("""COMPUTED_VALUE"""),107004.0)</f>
        <v>107004</v>
      </c>
    </row>
    <row r="445">
      <c r="A445" s="2">
        <f>IFERROR(__xludf.DUMMYFUNCTION("""COMPUTED_VALUE"""),39812.666666666664)</f>
        <v>39812.66667</v>
      </c>
      <c r="B445" s="1">
        <f>IFERROR(__xludf.DUMMYFUNCTION("""COMPUTED_VALUE"""),0.63)</f>
        <v>0.63</v>
      </c>
      <c r="C445" s="1">
        <f>IFERROR(__xludf.DUMMYFUNCTION("""COMPUTED_VALUE"""),0.66)</f>
        <v>0.66</v>
      </c>
      <c r="D445" s="1">
        <f>IFERROR(__xludf.DUMMYFUNCTION("""COMPUTED_VALUE"""),0.61)</f>
        <v>0.61</v>
      </c>
      <c r="E445" s="1">
        <f>IFERROR(__xludf.DUMMYFUNCTION("""COMPUTED_VALUE"""),0.66)</f>
        <v>0.66</v>
      </c>
      <c r="F445" s="1">
        <f>IFERROR(__xludf.DUMMYFUNCTION("""COMPUTED_VALUE"""),146332.0)</f>
        <v>146332</v>
      </c>
    </row>
    <row r="446">
      <c r="A446" s="2">
        <f>IFERROR(__xludf.DUMMYFUNCTION("""COMPUTED_VALUE"""),39813.666666666664)</f>
        <v>39813.66667</v>
      </c>
      <c r="B446" s="1">
        <f>IFERROR(__xludf.DUMMYFUNCTION("""COMPUTED_VALUE"""),0.66)</f>
        <v>0.66</v>
      </c>
      <c r="C446" s="1">
        <f>IFERROR(__xludf.DUMMYFUNCTION("""COMPUTED_VALUE"""),0.68)</f>
        <v>0.68</v>
      </c>
      <c r="D446" s="1">
        <f>IFERROR(__xludf.DUMMYFUNCTION("""COMPUTED_VALUE"""),0.63)</f>
        <v>0.63</v>
      </c>
      <c r="E446" s="1">
        <f>IFERROR(__xludf.DUMMYFUNCTION("""COMPUTED_VALUE"""),0.63)</f>
        <v>0.63</v>
      </c>
      <c r="F446" s="1">
        <f>IFERROR(__xludf.DUMMYFUNCTION("""COMPUTED_VALUE"""),109543.0)</f>
        <v>109543</v>
      </c>
    </row>
    <row r="447">
      <c r="A447" s="2">
        <f>IFERROR(__xludf.DUMMYFUNCTION("""COMPUTED_VALUE"""),39815.666666666664)</f>
        <v>39815.66667</v>
      </c>
      <c r="B447" s="1">
        <f>IFERROR(__xludf.DUMMYFUNCTION("""COMPUTED_VALUE"""),0.64)</f>
        <v>0.64</v>
      </c>
      <c r="C447" s="1">
        <f>IFERROR(__xludf.DUMMYFUNCTION("""COMPUTED_VALUE"""),0.65)</f>
        <v>0.65</v>
      </c>
      <c r="D447" s="1">
        <f>IFERROR(__xludf.DUMMYFUNCTION("""COMPUTED_VALUE"""),0.64)</f>
        <v>0.64</v>
      </c>
      <c r="E447" s="1">
        <f>IFERROR(__xludf.DUMMYFUNCTION("""COMPUTED_VALUE"""),0.64)</f>
        <v>0.64</v>
      </c>
      <c r="F447" s="1">
        <f>IFERROR(__xludf.DUMMYFUNCTION("""COMPUTED_VALUE"""),105798.0)</f>
        <v>105798</v>
      </c>
    </row>
    <row r="448">
      <c r="A448" s="2">
        <f>IFERROR(__xludf.DUMMYFUNCTION("""COMPUTED_VALUE"""),39818.666666666664)</f>
        <v>39818.66667</v>
      </c>
      <c r="B448" s="1">
        <f>IFERROR(__xludf.DUMMYFUNCTION("""COMPUTED_VALUE"""),0.65)</f>
        <v>0.65</v>
      </c>
      <c r="C448" s="1">
        <f>IFERROR(__xludf.DUMMYFUNCTION("""COMPUTED_VALUE"""),0.71)</f>
        <v>0.71</v>
      </c>
      <c r="D448" s="1">
        <f>IFERROR(__xludf.DUMMYFUNCTION("""COMPUTED_VALUE"""),0.64)</f>
        <v>0.64</v>
      </c>
      <c r="E448" s="1">
        <f>IFERROR(__xludf.DUMMYFUNCTION("""COMPUTED_VALUE"""),0.71)</f>
        <v>0.71</v>
      </c>
      <c r="F448" s="1">
        <f>IFERROR(__xludf.DUMMYFUNCTION("""COMPUTED_VALUE"""),184145.0)</f>
        <v>184145</v>
      </c>
    </row>
    <row r="449">
      <c r="A449" s="2">
        <f>IFERROR(__xludf.DUMMYFUNCTION("""COMPUTED_VALUE"""),39819.666666666664)</f>
        <v>39819.66667</v>
      </c>
      <c r="B449" s="1">
        <f>IFERROR(__xludf.DUMMYFUNCTION("""COMPUTED_VALUE"""),0.63)</f>
        <v>0.63</v>
      </c>
      <c r="C449" s="1">
        <f>IFERROR(__xludf.DUMMYFUNCTION("""COMPUTED_VALUE"""),0.67)</f>
        <v>0.67</v>
      </c>
      <c r="D449" s="1">
        <f>IFERROR(__xludf.DUMMYFUNCTION("""COMPUTED_VALUE"""),0.54)</f>
        <v>0.54</v>
      </c>
      <c r="E449" s="1">
        <f>IFERROR(__xludf.DUMMYFUNCTION("""COMPUTED_VALUE"""),0.63)</f>
        <v>0.63</v>
      </c>
      <c r="F449" s="1">
        <f>IFERROR(__xludf.DUMMYFUNCTION("""COMPUTED_VALUE"""),405773.0)</f>
        <v>405773</v>
      </c>
    </row>
    <row r="450">
      <c r="A450" s="2">
        <f>IFERROR(__xludf.DUMMYFUNCTION("""COMPUTED_VALUE"""),39820.666666666664)</f>
        <v>39820.66667</v>
      </c>
      <c r="B450" s="1">
        <f>IFERROR(__xludf.DUMMYFUNCTION("""COMPUTED_VALUE"""),0.62)</f>
        <v>0.62</v>
      </c>
      <c r="C450" s="1">
        <f>IFERROR(__xludf.DUMMYFUNCTION("""COMPUTED_VALUE"""),0.64)</f>
        <v>0.64</v>
      </c>
      <c r="D450" s="1">
        <f>IFERROR(__xludf.DUMMYFUNCTION("""COMPUTED_VALUE"""),0.6)</f>
        <v>0.6</v>
      </c>
      <c r="E450" s="1">
        <f>IFERROR(__xludf.DUMMYFUNCTION("""COMPUTED_VALUE"""),0.63)</f>
        <v>0.63</v>
      </c>
      <c r="F450" s="1">
        <f>IFERROR(__xludf.DUMMYFUNCTION("""COMPUTED_VALUE"""),320623.0)</f>
        <v>320623</v>
      </c>
    </row>
    <row r="451">
      <c r="A451" s="2">
        <f>IFERROR(__xludf.DUMMYFUNCTION("""COMPUTED_VALUE"""),39821.666666666664)</f>
        <v>39821.66667</v>
      </c>
      <c r="B451" s="1">
        <f>IFERROR(__xludf.DUMMYFUNCTION("""COMPUTED_VALUE"""),0.62)</f>
        <v>0.62</v>
      </c>
      <c r="C451" s="1">
        <f>IFERROR(__xludf.DUMMYFUNCTION("""COMPUTED_VALUE"""),0.68)</f>
        <v>0.68</v>
      </c>
      <c r="D451" s="1">
        <f>IFERROR(__xludf.DUMMYFUNCTION("""COMPUTED_VALUE"""),0.61)</f>
        <v>0.61</v>
      </c>
      <c r="E451" s="1">
        <f>IFERROR(__xludf.DUMMYFUNCTION("""COMPUTED_VALUE"""),0.65)</f>
        <v>0.65</v>
      </c>
      <c r="F451" s="1">
        <f>IFERROR(__xludf.DUMMYFUNCTION("""COMPUTED_VALUE"""),201516.0)</f>
        <v>201516</v>
      </c>
    </row>
    <row r="452">
      <c r="A452" s="2">
        <f>IFERROR(__xludf.DUMMYFUNCTION("""COMPUTED_VALUE"""),39822.666666666664)</f>
        <v>39822.66667</v>
      </c>
      <c r="B452" s="1">
        <f>IFERROR(__xludf.DUMMYFUNCTION("""COMPUTED_VALUE"""),0.65)</f>
        <v>0.65</v>
      </c>
      <c r="C452" s="1">
        <f>IFERROR(__xludf.DUMMYFUNCTION("""COMPUTED_VALUE"""),0.69)</f>
        <v>0.69</v>
      </c>
      <c r="D452" s="1">
        <f>IFERROR(__xludf.DUMMYFUNCTION("""COMPUTED_VALUE"""),0.63)</f>
        <v>0.63</v>
      </c>
      <c r="E452" s="1">
        <f>IFERROR(__xludf.DUMMYFUNCTION("""COMPUTED_VALUE"""),0.65)</f>
        <v>0.65</v>
      </c>
      <c r="F452" s="1">
        <f>IFERROR(__xludf.DUMMYFUNCTION("""COMPUTED_VALUE"""),197411.0)</f>
        <v>197411</v>
      </c>
    </row>
    <row r="453">
      <c r="A453" s="2">
        <f>IFERROR(__xludf.DUMMYFUNCTION("""COMPUTED_VALUE"""),39825.666666666664)</f>
        <v>39825.66667</v>
      </c>
      <c r="B453" s="1">
        <f>IFERROR(__xludf.DUMMYFUNCTION("""COMPUTED_VALUE"""),0.65)</f>
        <v>0.65</v>
      </c>
      <c r="C453" s="1">
        <f>IFERROR(__xludf.DUMMYFUNCTION("""COMPUTED_VALUE"""),0.66)</f>
        <v>0.66</v>
      </c>
      <c r="D453" s="1">
        <f>IFERROR(__xludf.DUMMYFUNCTION("""COMPUTED_VALUE"""),0.62)</f>
        <v>0.62</v>
      </c>
      <c r="E453" s="1">
        <f>IFERROR(__xludf.DUMMYFUNCTION("""COMPUTED_VALUE"""),0.65)</f>
        <v>0.65</v>
      </c>
      <c r="F453" s="1">
        <f>IFERROR(__xludf.DUMMYFUNCTION("""COMPUTED_VALUE"""),137515.0)</f>
        <v>137515</v>
      </c>
    </row>
    <row r="454">
      <c r="A454" s="2">
        <f>IFERROR(__xludf.DUMMYFUNCTION("""COMPUTED_VALUE"""),39826.666666666664)</f>
        <v>39826.66667</v>
      </c>
      <c r="B454" s="1">
        <f>IFERROR(__xludf.DUMMYFUNCTION("""COMPUTED_VALUE"""),0.65)</f>
        <v>0.65</v>
      </c>
      <c r="C454" s="1">
        <f>IFERROR(__xludf.DUMMYFUNCTION("""COMPUTED_VALUE"""),0.65)</f>
        <v>0.65</v>
      </c>
      <c r="D454" s="1">
        <f>IFERROR(__xludf.DUMMYFUNCTION("""COMPUTED_VALUE"""),0.6)</f>
        <v>0.6</v>
      </c>
      <c r="E454" s="1">
        <f>IFERROR(__xludf.DUMMYFUNCTION("""COMPUTED_VALUE"""),0.6)</f>
        <v>0.6</v>
      </c>
      <c r="F454" s="1">
        <f>IFERROR(__xludf.DUMMYFUNCTION("""COMPUTED_VALUE"""),95840.0)</f>
        <v>95840</v>
      </c>
    </row>
    <row r="455">
      <c r="A455" s="2">
        <f>IFERROR(__xludf.DUMMYFUNCTION("""COMPUTED_VALUE"""),39827.666666666664)</f>
        <v>39827.66667</v>
      </c>
      <c r="B455" s="1">
        <f>IFERROR(__xludf.DUMMYFUNCTION("""COMPUTED_VALUE"""),0.6)</f>
        <v>0.6</v>
      </c>
      <c r="C455" s="1">
        <f>IFERROR(__xludf.DUMMYFUNCTION("""COMPUTED_VALUE"""),0.61)</f>
        <v>0.61</v>
      </c>
      <c r="D455" s="1">
        <f>IFERROR(__xludf.DUMMYFUNCTION("""COMPUTED_VALUE"""),0.55)</f>
        <v>0.55</v>
      </c>
      <c r="E455" s="1">
        <f>IFERROR(__xludf.DUMMYFUNCTION("""COMPUTED_VALUE"""),0.57)</f>
        <v>0.57</v>
      </c>
      <c r="F455" s="1">
        <f>IFERROR(__xludf.DUMMYFUNCTION("""COMPUTED_VALUE"""),149058.0)</f>
        <v>149058</v>
      </c>
    </row>
    <row r="456">
      <c r="A456" s="2">
        <f>IFERROR(__xludf.DUMMYFUNCTION("""COMPUTED_VALUE"""),39828.666666666664)</f>
        <v>39828.66667</v>
      </c>
      <c r="B456" s="1">
        <f>IFERROR(__xludf.DUMMYFUNCTION("""COMPUTED_VALUE"""),0.57)</f>
        <v>0.57</v>
      </c>
      <c r="C456" s="1">
        <f>IFERROR(__xludf.DUMMYFUNCTION("""COMPUTED_VALUE"""),0.58)</f>
        <v>0.58</v>
      </c>
      <c r="D456" s="1">
        <f>IFERROR(__xludf.DUMMYFUNCTION("""COMPUTED_VALUE"""),0.53)</f>
        <v>0.53</v>
      </c>
      <c r="E456" s="1">
        <f>IFERROR(__xludf.DUMMYFUNCTION("""COMPUTED_VALUE"""),0.58)</f>
        <v>0.58</v>
      </c>
      <c r="F456" s="1">
        <f>IFERROR(__xludf.DUMMYFUNCTION("""COMPUTED_VALUE"""),185488.0)</f>
        <v>185488</v>
      </c>
    </row>
    <row r="457">
      <c r="A457" s="2">
        <f>IFERROR(__xludf.DUMMYFUNCTION("""COMPUTED_VALUE"""),39829.666666666664)</f>
        <v>39829.66667</v>
      </c>
      <c r="B457" s="1">
        <f>IFERROR(__xludf.DUMMYFUNCTION("""COMPUTED_VALUE"""),0.58)</f>
        <v>0.58</v>
      </c>
      <c r="C457" s="1">
        <f>IFERROR(__xludf.DUMMYFUNCTION("""COMPUTED_VALUE"""),0.58)</f>
        <v>0.58</v>
      </c>
      <c r="D457" s="1">
        <f>IFERROR(__xludf.DUMMYFUNCTION("""COMPUTED_VALUE"""),0.55)</f>
        <v>0.55</v>
      </c>
      <c r="E457" s="1">
        <f>IFERROR(__xludf.DUMMYFUNCTION("""COMPUTED_VALUE"""),0.57)</f>
        <v>0.57</v>
      </c>
      <c r="F457" s="1">
        <f>IFERROR(__xludf.DUMMYFUNCTION("""COMPUTED_VALUE"""),92599.0)</f>
        <v>92599</v>
      </c>
    </row>
    <row r="458">
      <c r="A458" s="2">
        <f>IFERROR(__xludf.DUMMYFUNCTION("""COMPUTED_VALUE"""),39833.666666666664)</f>
        <v>39833.66667</v>
      </c>
      <c r="B458" s="1">
        <f>IFERROR(__xludf.DUMMYFUNCTION("""COMPUTED_VALUE"""),0.56)</f>
        <v>0.56</v>
      </c>
      <c r="C458" s="1">
        <f>IFERROR(__xludf.DUMMYFUNCTION("""COMPUTED_VALUE"""),0.58)</f>
        <v>0.58</v>
      </c>
      <c r="D458" s="1">
        <f>IFERROR(__xludf.DUMMYFUNCTION("""COMPUTED_VALUE"""),0.51)</f>
        <v>0.51</v>
      </c>
      <c r="E458" s="1">
        <f>IFERROR(__xludf.DUMMYFUNCTION("""COMPUTED_VALUE"""),0.51)</f>
        <v>0.51</v>
      </c>
      <c r="F458" s="1">
        <f>IFERROR(__xludf.DUMMYFUNCTION("""COMPUTED_VALUE"""),138761.0)</f>
        <v>138761</v>
      </c>
    </row>
    <row r="459">
      <c r="A459" s="2">
        <f>IFERROR(__xludf.DUMMYFUNCTION("""COMPUTED_VALUE"""),39834.666666666664)</f>
        <v>39834.66667</v>
      </c>
      <c r="B459" s="1">
        <f>IFERROR(__xludf.DUMMYFUNCTION("""COMPUTED_VALUE"""),0.52)</f>
        <v>0.52</v>
      </c>
      <c r="C459" s="1">
        <f>IFERROR(__xludf.DUMMYFUNCTION("""COMPUTED_VALUE"""),0.55)</f>
        <v>0.55</v>
      </c>
      <c r="D459" s="1">
        <f>IFERROR(__xludf.DUMMYFUNCTION("""COMPUTED_VALUE"""),0.51)</f>
        <v>0.51</v>
      </c>
      <c r="E459" s="1">
        <f>IFERROR(__xludf.DUMMYFUNCTION("""COMPUTED_VALUE"""),0.55)</f>
        <v>0.55</v>
      </c>
      <c r="F459" s="1">
        <f>IFERROR(__xludf.DUMMYFUNCTION("""COMPUTED_VALUE"""),69880.0)</f>
        <v>69880</v>
      </c>
    </row>
    <row r="460">
      <c r="A460" s="2">
        <f>IFERROR(__xludf.DUMMYFUNCTION("""COMPUTED_VALUE"""),39835.666666666664)</f>
        <v>39835.66667</v>
      </c>
      <c r="B460" s="1">
        <f>IFERROR(__xludf.DUMMYFUNCTION("""COMPUTED_VALUE"""),0.54)</f>
        <v>0.54</v>
      </c>
      <c r="C460" s="1">
        <f>IFERROR(__xludf.DUMMYFUNCTION("""COMPUTED_VALUE"""),0.55)</f>
        <v>0.55</v>
      </c>
      <c r="D460" s="1">
        <f>IFERROR(__xludf.DUMMYFUNCTION("""COMPUTED_VALUE"""),0.51)</f>
        <v>0.51</v>
      </c>
      <c r="E460" s="1">
        <f>IFERROR(__xludf.DUMMYFUNCTION("""COMPUTED_VALUE"""),0.52)</f>
        <v>0.52</v>
      </c>
      <c r="F460" s="1">
        <f>IFERROR(__xludf.DUMMYFUNCTION("""COMPUTED_VALUE"""),17949.0)</f>
        <v>17949</v>
      </c>
    </row>
    <row r="461">
      <c r="A461" s="2">
        <f>IFERROR(__xludf.DUMMYFUNCTION("""COMPUTED_VALUE"""),39836.666666666664)</f>
        <v>39836.66667</v>
      </c>
      <c r="B461" s="1">
        <f>IFERROR(__xludf.DUMMYFUNCTION("""COMPUTED_VALUE"""),0.51)</f>
        <v>0.51</v>
      </c>
      <c r="C461" s="1">
        <f>IFERROR(__xludf.DUMMYFUNCTION("""COMPUTED_VALUE"""),0.54)</f>
        <v>0.54</v>
      </c>
      <c r="D461" s="1">
        <f>IFERROR(__xludf.DUMMYFUNCTION("""COMPUTED_VALUE"""),0.49)</f>
        <v>0.49</v>
      </c>
      <c r="E461" s="1">
        <f>IFERROR(__xludf.DUMMYFUNCTION("""COMPUTED_VALUE"""),0.53)</f>
        <v>0.53</v>
      </c>
      <c r="F461" s="1">
        <f>IFERROR(__xludf.DUMMYFUNCTION("""COMPUTED_VALUE"""),81382.0)</f>
        <v>81382</v>
      </c>
    </row>
    <row r="462">
      <c r="A462" s="2">
        <f>IFERROR(__xludf.DUMMYFUNCTION("""COMPUTED_VALUE"""),39839.666666666664)</f>
        <v>39839.66667</v>
      </c>
      <c r="B462" s="1">
        <f>IFERROR(__xludf.DUMMYFUNCTION("""COMPUTED_VALUE"""),0.53)</f>
        <v>0.53</v>
      </c>
      <c r="C462" s="1">
        <f>IFERROR(__xludf.DUMMYFUNCTION("""COMPUTED_VALUE"""),0.63)</f>
        <v>0.63</v>
      </c>
      <c r="D462" s="1">
        <f>IFERROR(__xludf.DUMMYFUNCTION("""COMPUTED_VALUE"""),0.53)</f>
        <v>0.53</v>
      </c>
      <c r="E462" s="1">
        <f>IFERROR(__xludf.DUMMYFUNCTION("""COMPUTED_VALUE"""),0.62)</f>
        <v>0.62</v>
      </c>
      <c r="F462" s="1">
        <f>IFERROR(__xludf.DUMMYFUNCTION("""COMPUTED_VALUE"""),134439.0)</f>
        <v>134439</v>
      </c>
    </row>
    <row r="463">
      <c r="A463" s="2">
        <f>IFERROR(__xludf.DUMMYFUNCTION("""COMPUTED_VALUE"""),39840.666666666664)</f>
        <v>39840.66667</v>
      </c>
      <c r="B463" s="1">
        <f>IFERROR(__xludf.DUMMYFUNCTION("""COMPUTED_VALUE"""),0.62)</f>
        <v>0.62</v>
      </c>
      <c r="C463" s="1">
        <f>IFERROR(__xludf.DUMMYFUNCTION("""COMPUTED_VALUE"""),0.62)</f>
        <v>0.62</v>
      </c>
      <c r="D463" s="1">
        <f>IFERROR(__xludf.DUMMYFUNCTION("""COMPUTED_VALUE"""),0.57)</f>
        <v>0.57</v>
      </c>
      <c r="E463" s="1">
        <f>IFERROR(__xludf.DUMMYFUNCTION("""COMPUTED_VALUE"""),0.59)</f>
        <v>0.59</v>
      </c>
      <c r="F463" s="1">
        <f>IFERROR(__xludf.DUMMYFUNCTION("""COMPUTED_VALUE"""),56345.0)</f>
        <v>56345</v>
      </c>
    </row>
    <row r="464">
      <c r="A464" s="2">
        <f>IFERROR(__xludf.DUMMYFUNCTION("""COMPUTED_VALUE"""),39841.666666666664)</f>
        <v>39841.66667</v>
      </c>
      <c r="B464" s="1">
        <f>IFERROR(__xludf.DUMMYFUNCTION("""COMPUTED_VALUE"""),0.6)</f>
        <v>0.6</v>
      </c>
      <c r="C464" s="1">
        <f>IFERROR(__xludf.DUMMYFUNCTION("""COMPUTED_VALUE"""),0.63)</f>
        <v>0.63</v>
      </c>
      <c r="D464" s="1">
        <f>IFERROR(__xludf.DUMMYFUNCTION("""COMPUTED_VALUE"""),0.58)</f>
        <v>0.58</v>
      </c>
      <c r="E464" s="1">
        <f>IFERROR(__xludf.DUMMYFUNCTION("""COMPUTED_VALUE"""),0.61)</f>
        <v>0.61</v>
      </c>
      <c r="F464" s="1">
        <f>IFERROR(__xludf.DUMMYFUNCTION("""COMPUTED_VALUE"""),96861.0)</f>
        <v>96861</v>
      </c>
    </row>
    <row r="465">
      <c r="A465" s="2">
        <f>IFERROR(__xludf.DUMMYFUNCTION("""COMPUTED_VALUE"""),39842.666666666664)</f>
        <v>39842.66667</v>
      </c>
      <c r="B465" s="1">
        <f>IFERROR(__xludf.DUMMYFUNCTION("""COMPUTED_VALUE"""),0.6)</f>
        <v>0.6</v>
      </c>
      <c r="C465" s="1">
        <f>IFERROR(__xludf.DUMMYFUNCTION("""COMPUTED_VALUE"""),0.61)</f>
        <v>0.61</v>
      </c>
      <c r="D465" s="1">
        <f>IFERROR(__xludf.DUMMYFUNCTION("""COMPUTED_VALUE"""),0.56)</f>
        <v>0.56</v>
      </c>
      <c r="E465" s="1">
        <f>IFERROR(__xludf.DUMMYFUNCTION("""COMPUTED_VALUE"""),0.56)</f>
        <v>0.56</v>
      </c>
      <c r="F465" s="1">
        <f>IFERROR(__xludf.DUMMYFUNCTION("""COMPUTED_VALUE"""),114562.0)</f>
        <v>114562</v>
      </c>
    </row>
    <row r="466">
      <c r="A466" s="2">
        <f>IFERROR(__xludf.DUMMYFUNCTION("""COMPUTED_VALUE"""),39843.666666666664)</f>
        <v>39843.66667</v>
      </c>
      <c r="B466" s="1">
        <f>IFERROR(__xludf.DUMMYFUNCTION("""COMPUTED_VALUE"""),0.56)</f>
        <v>0.56</v>
      </c>
      <c r="C466" s="1">
        <f>IFERROR(__xludf.DUMMYFUNCTION("""COMPUTED_VALUE"""),0.56)</f>
        <v>0.56</v>
      </c>
      <c r="D466" s="1">
        <f>IFERROR(__xludf.DUMMYFUNCTION("""COMPUTED_VALUE"""),0.52)</f>
        <v>0.52</v>
      </c>
      <c r="E466" s="1">
        <f>IFERROR(__xludf.DUMMYFUNCTION("""COMPUTED_VALUE"""),0.53)</f>
        <v>0.53</v>
      </c>
      <c r="F466" s="1">
        <f>IFERROR(__xludf.DUMMYFUNCTION("""COMPUTED_VALUE"""),103533.0)</f>
        <v>103533</v>
      </c>
    </row>
    <row r="467">
      <c r="A467" s="2">
        <f>IFERROR(__xludf.DUMMYFUNCTION("""COMPUTED_VALUE"""),39846.666666666664)</f>
        <v>39846.66667</v>
      </c>
      <c r="B467" s="1">
        <f>IFERROR(__xludf.DUMMYFUNCTION("""COMPUTED_VALUE"""),0.51)</f>
        <v>0.51</v>
      </c>
      <c r="C467" s="1">
        <f>IFERROR(__xludf.DUMMYFUNCTION("""COMPUTED_VALUE"""),0.55)</f>
        <v>0.55</v>
      </c>
      <c r="D467" s="1">
        <f>IFERROR(__xludf.DUMMYFUNCTION("""COMPUTED_VALUE"""),0.5)</f>
        <v>0.5</v>
      </c>
      <c r="E467" s="1">
        <f>IFERROR(__xludf.DUMMYFUNCTION("""COMPUTED_VALUE"""),0.54)</f>
        <v>0.54</v>
      </c>
      <c r="F467" s="1">
        <f>IFERROR(__xludf.DUMMYFUNCTION("""COMPUTED_VALUE"""),165427.0)</f>
        <v>165427</v>
      </c>
    </row>
    <row r="468">
      <c r="A468" s="2">
        <f>IFERROR(__xludf.DUMMYFUNCTION("""COMPUTED_VALUE"""),39847.666666666664)</f>
        <v>39847.66667</v>
      </c>
      <c r="B468" s="1">
        <f>IFERROR(__xludf.DUMMYFUNCTION("""COMPUTED_VALUE"""),0.55)</f>
        <v>0.55</v>
      </c>
      <c r="C468" s="1">
        <f>IFERROR(__xludf.DUMMYFUNCTION("""COMPUTED_VALUE"""),0.55)</f>
        <v>0.55</v>
      </c>
      <c r="D468" s="1">
        <f>IFERROR(__xludf.DUMMYFUNCTION("""COMPUTED_VALUE"""),0.52)</f>
        <v>0.52</v>
      </c>
      <c r="E468" s="1">
        <f>IFERROR(__xludf.DUMMYFUNCTION("""COMPUTED_VALUE"""),0.55)</f>
        <v>0.55</v>
      </c>
      <c r="F468" s="1">
        <f>IFERROR(__xludf.DUMMYFUNCTION("""COMPUTED_VALUE"""),296517.0)</f>
        <v>296517</v>
      </c>
    </row>
    <row r="469">
      <c r="A469" s="2">
        <f>IFERROR(__xludf.DUMMYFUNCTION("""COMPUTED_VALUE"""),39848.666666666664)</f>
        <v>39848.66667</v>
      </c>
      <c r="B469" s="1">
        <f>IFERROR(__xludf.DUMMYFUNCTION("""COMPUTED_VALUE"""),0.55)</f>
        <v>0.55</v>
      </c>
      <c r="C469" s="1">
        <f>IFERROR(__xludf.DUMMYFUNCTION("""COMPUTED_VALUE"""),0.57)</f>
        <v>0.57</v>
      </c>
      <c r="D469" s="1">
        <f>IFERROR(__xludf.DUMMYFUNCTION("""COMPUTED_VALUE"""),0.52)</f>
        <v>0.52</v>
      </c>
      <c r="E469" s="1">
        <f>IFERROR(__xludf.DUMMYFUNCTION("""COMPUTED_VALUE"""),0.53)</f>
        <v>0.53</v>
      </c>
      <c r="F469" s="1">
        <f>IFERROR(__xludf.DUMMYFUNCTION("""COMPUTED_VALUE"""),123098.0)</f>
        <v>123098</v>
      </c>
    </row>
    <row r="470">
      <c r="A470" s="2">
        <f>IFERROR(__xludf.DUMMYFUNCTION("""COMPUTED_VALUE"""),39849.666666666664)</f>
        <v>39849.66667</v>
      </c>
      <c r="B470" s="1">
        <f>IFERROR(__xludf.DUMMYFUNCTION("""COMPUTED_VALUE"""),0.52)</f>
        <v>0.52</v>
      </c>
      <c r="C470" s="1">
        <f>IFERROR(__xludf.DUMMYFUNCTION("""COMPUTED_VALUE"""),0.53)</f>
        <v>0.53</v>
      </c>
      <c r="D470" s="1">
        <f>IFERROR(__xludf.DUMMYFUNCTION("""COMPUTED_VALUE"""),0.5)</f>
        <v>0.5</v>
      </c>
      <c r="E470" s="1">
        <f>IFERROR(__xludf.DUMMYFUNCTION("""COMPUTED_VALUE"""),0.51)</f>
        <v>0.51</v>
      </c>
      <c r="F470" s="1">
        <f>IFERROR(__xludf.DUMMYFUNCTION("""COMPUTED_VALUE"""),81524.0)</f>
        <v>81524</v>
      </c>
    </row>
    <row r="471">
      <c r="A471" s="2">
        <f>IFERROR(__xludf.DUMMYFUNCTION("""COMPUTED_VALUE"""),39850.666666666664)</f>
        <v>39850.66667</v>
      </c>
      <c r="B471" s="1">
        <f>IFERROR(__xludf.DUMMYFUNCTION("""COMPUTED_VALUE"""),0.51)</f>
        <v>0.51</v>
      </c>
      <c r="C471" s="1">
        <f>IFERROR(__xludf.DUMMYFUNCTION("""COMPUTED_VALUE"""),0.55)</f>
        <v>0.55</v>
      </c>
      <c r="D471" s="1">
        <f>IFERROR(__xludf.DUMMYFUNCTION("""COMPUTED_VALUE"""),0.51)</f>
        <v>0.51</v>
      </c>
      <c r="E471" s="1">
        <f>IFERROR(__xludf.DUMMYFUNCTION("""COMPUTED_VALUE"""),0.53)</f>
        <v>0.53</v>
      </c>
      <c r="F471" s="1">
        <f>IFERROR(__xludf.DUMMYFUNCTION("""COMPUTED_VALUE"""),138127.0)</f>
        <v>138127</v>
      </c>
    </row>
    <row r="472">
      <c r="A472" s="2">
        <f>IFERROR(__xludf.DUMMYFUNCTION("""COMPUTED_VALUE"""),39853.666666666664)</f>
        <v>39853.66667</v>
      </c>
      <c r="B472" s="1">
        <f>IFERROR(__xludf.DUMMYFUNCTION("""COMPUTED_VALUE"""),0.53)</f>
        <v>0.53</v>
      </c>
      <c r="C472" s="1">
        <f>IFERROR(__xludf.DUMMYFUNCTION("""COMPUTED_VALUE"""),0.55)</f>
        <v>0.55</v>
      </c>
      <c r="D472" s="1">
        <f>IFERROR(__xludf.DUMMYFUNCTION("""COMPUTED_VALUE"""),0.5)</f>
        <v>0.5</v>
      </c>
      <c r="E472" s="1">
        <f>IFERROR(__xludf.DUMMYFUNCTION("""COMPUTED_VALUE"""),0.51)</f>
        <v>0.51</v>
      </c>
      <c r="F472" s="1">
        <f>IFERROR(__xludf.DUMMYFUNCTION("""COMPUTED_VALUE"""),52137.0)</f>
        <v>52137</v>
      </c>
    </row>
    <row r="473">
      <c r="A473" s="2">
        <f>IFERROR(__xludf.DUMMYFUNCTION("""COMPUTED_VALUE"""),39854.666666666664)</f>
        <v>39854.66667</v>
      </c>
      <c r="B473" s="1">
        <f>IFERROR(__xludf.DUMMYFUNCTION("""COMPUTED_VALUE"""),0.5)</f>
        <v>0.5</v>
      </c>
      <c r="C473" s="1">
        <f>IFERROR(__xludf.DUMMYFUNCTION("""COMPUTED_VALUE"""),0.53)</f>
        <v>0.53</v>
      </c>
      <c r="D473" s="1">
        <f>IFERROR(__xludf.DUMMYFUNCTION("""COMPUTED_VALUE"""),0.5)</f>
        <v>0.5</v>
      </c>
      <c r="E473" s="1">
        <f>IFERROR(__xludf.DUMMYFUNCTION("""COMPUTED_VALUE"""),0.5)</f>
        <v>0.5</v>
      </c>
      <c r="F473" s="1">
        <f>IFERROR(__xludf.DUMMYFUNCTION("""COMPUTED_VALUE"""),143252.0)</f>
        <v>143252</v>
      </c>
    </row>
    <row r="474">
      <c r="A474" s="2">
        <f>IFERROR(__xludf.DUMMYFUNCTION("""COMPUTED_VALUE"""),39855.666666666664)</f>
        <v>39855.66667</v>
      </c>
      <c r="B474" s="1">
        <f>IFERROR(__xludf.DUMMYFUNCTION("""COMPUTED_VALUE"""),0.51)</f>
        <v>0.51</v>
      </c>
      <c r="C474" s="1">
        <f>IFERROR(__xludf.DUMMYFUNCTION("""COMPUTED_VALUE"""),0.52)</f>
        <v>0.52</v>
      </c>
      <c r="D474" s="1">
        <f>IFERROR(__xludf.DUMMYFUNCTION("""COMPUTED_VALUE"""),0.5)</f>
        <v>0.5</v>
      </c>
      <c r="E474" s="1">
        <f>IFERROR(__xludf.DUMMYFUNCTION("""COMPUTED_VALUE"""),0.51)</f>
        <v>0.51</v>
      </c>
      <c r="F474" s="1">
        <f>IFERROR(__xludf.DUMMYFUNCTION("""COMPUTED_VALUE"""),64205.0)</f>
        <v>64205</v>
      </c>
    </row>
    <row r="475">
      <c r="A475" s="2">
        <f>IFERROR(__xludf.DUMMYFUNCTION("""COMPUTED_VALUE"""),39856.666666666664)</f>
        <v>39856.66667</v>
      </c>
      <c r="B475" s="1">
        <f>IFERROR(__xludf.DUMMYFUNCTION("""COMPUTED_VALUE"""),0.5)</f>
        <v>0.5</v>
      </c>
      <c r="C475" s="1">
        <f>IFERROR(__xludf.DUMMYFUNCTION("""COMPUTED_VALUE"""),0.51)</f>
        <v>0.51</v>
      </c>
      <c r="D475" s="1">
        <f>IFERROR(__xludf.DUMMYFUNCTION("""COMPUTED_VALUE"""),0.49)</f>
        <v>0.49</v>
      </c>
      <c r="E475" s="1">
        <f>IFERROR(__xludf.DUMMYFUNCTION("""COMPUTED_VALUE"""),0.5)</f>
        <v>0.5</v>
      </c>
      <c r="F475" s="1">
        <f>IFERROR(__xludf.DUMMYFUNCTION("""COMPUTED_VALUE"""),35917.0)</f>
        <v>35917</v>
      </c>
    </row>
    <row r="476">
      <c r="A476" s="2">
        <f>IFERROR(__xludf.DUMMYFUNCTION("""COMPUTED_VALUE"""),39857.666666666664)</f>
        <v>39857.66667</v>
      </c>
      <c r="B476" s="1">
        <f>IFERROR(__xludf.DUMMYFUNCTION("""COMPUTED_VALUE"""),0.5)</f>
        <v>0.5</v>
      </c>
      <c r="C476" s="1">
        <f>IFERROR(__xludf.DUMMYFUNCTION("""COMPUTED_VALUE"""),0.52)</f>
        <v>0.52</v>
      </c>
      <c r="D476" s="1">
        <f>IFERROR(__xludf.DUMMYFUNCTION("""COMPUTED_VALUE"""),0.5)</f>
        <v>0.5</v>
      </c>
      <c r="E476" s="1">
        <f>IFERROR(__xludf.DUMMYFUNCTION("""COMPUTED_VALUE"""),0.51)</f>
        <v>0.51</v>
      </c>
      <c r="F476" s="1">
        <f>IFERROR(__xludf.DUMMYFUNCTION("""COMPUTED_VALUE"""),153056.0)</f>
        <v>153056</v>
      </c>
    </row>
    <row r="477">
      <c r="A477" s="2">
        <f>IFERROR(__xludf.DUMMYFUNCTION("""COMPUTED_VALUE"""),39861.666666666664)</f>
        <v>39861.66667</v>
      </c>
      <c r="B477" s="1">
        <f>IFERROR(__xludf.DUMMYFUNCTION("""COMPUTED_VALUE"""),0.49)</f>
        <v>0.49</v>
      </c>
      <c r="C477" s="1">
        <f>IFERROR(__xludf.DUMMYFUNCTION("""COMPUTED_VALUE"""),0.5)</f>
        <v>0.5</v>
      </c>
      <c r="D477" s="1">
        <f>IFERROR(__xludf.DUMMYFUNCTION("""COMPUTED_VALUE"""),0.47)</f>
        <v>0.47</v>
      </c>
      <c r="E477" s="1">
        <f>IFERROR(__xludf.DUMMYFUNCTION("""COMPUTED_VALUE"""),0.47)</f>
        <v>0.47</v>
      </c>
      <c r="F477" s="1">
        <f>IFERROR(__xludf.DUMMYFUNCTION("""COMPUTED_VALUE"""),56949.0)</f>
        <v>56949</v>
      </c>
    </row>
    <row r="478">
      <c r="A478" s="2">
        <f>IFERROR(__xludf.DUMMYFUNCTION("""COMPUTED_VALUE"""),39862.666666666664)</f>
        <v>39862.66667</v>
      </c>
      <c r="B478" s="1">
        <f>IFERROR(__xludf.DUMMYFUNCTION("""COMPUTED_VALUE"""),0.47)</f>
        <v>0.47</v>
      </c>
      <c r="C478" s="1">
        <f>IFERROR(__xludf.DUMMYFUNCTION("""COMPUTED_VALUE"""),0.48)</f>
        <v>0.48</v>
      </c>
      <c r="D478" s="1">
        <f>IFERROR(__xludf.DUMMYFUNCTION("""COMPUTED_VALUE"""),0.45)</f>
        <v>0.45</v>
      </c>
      <c r="E478" s="1">
        <f>IFERROR(__xludf.DUMMYFUNCTION("""COMPUTED_VALUE"""),0.45)</f>
        <v>0.45</v>
      </c>
      <c r="F478" s="1">
        <f>IFERROR(__xludf.DUMMYFUNCTION("""COMPUTED_VALUE"""),86203.0)</f>
        <v>86203</v>
      </c>
    </row>
    <row r="479">
      <c r="A479" s="2">
        <f>IFERROR(__xludf.DUMMYFUNCTION("""COMPUTED_VALUE"""),39863.666666666664)</f>
        <v>39863.66667</v>
      </c>
      <c r="B479" s="1">
        <f>IFERROR(__xludf.DUMMYFUNCTION("""COMPUTED_VALUE"""),0.46)</f>
        <v>0.46</v>
      </c>
      <c r="C479" s="1">
        <f>IFERROR(__xludf.DUMMYFUNCTION("""COMPUTED_VALUE"""),0.46)</f>
        <v>0.46</v>
      </c>
      <c r="D479" s="1">
        <f>IFERROR(__xludf.DUMMYFUNCTION("""COMPUTED_VALUE"""),0.44)</f>
        <v>0.44</v>
      </c>
      <c r="E479" s="1">
        <f>IFERROR(__xludf.DUMMYFUNCTION("""COMPUTED_VALUE"""),0.45)</f>
        <v>0.45</v>
      </c>
      <c r="F479" s="1">
        <f>IFERROR(__xludf.DUMMYFUNCTION("""COMPUTED_VALUE"""),53215.0)</f>
        <v>53215</v>
      </c>
    </row>
    <row r="480">
      <c r="A480" s="2">
        <f>IFERROR(__xludf.DUMMYFUNCTION("""COMPUTED_VALUE"""),39864.666666666664)</f>
        <v>39864.66667</v>
      </c>
      <c r="B480" s="1">
        <f>IFERROR(__xludf.DUMMYFUNCTION("""COMPUTED_VALUE"""),0.44)</f>
        <v>0.44</v>
      </c>
      <c r="C480" s="1">
        <f>IFERROR(__xludf.DUMMYFUNCTION("""COMPUTED_VALUE"""),0.46)</f>
        <v>0.46</v>
      </c>
      <c r="D480" s="1">
        <f>IFERROR(__xludf.DUMMYFUNCTION("""COMPUTED_VALUE"""),0.43)</f>
        <v>0.43</v>
      </c>
      <c r="E480" s="1">
        <f>IFERROR(__xludf.DUMMYFUNCTION("""COMPUTED_VALUE"""),0.45)</f>
        <v>0.45</v>
      </c>
      <c r="F480" s="1">
        <f>IFERROR(__xludf.DUMMYFUNCTION("""COMPUTED_VALUE"""),153992.0)</f>
        <v>153992</v>
      </c>
    </row>
    <row r="481">
      <c r="A481" s="2">
        <f>IFERROR(__xludf.DUMMYFUNCTION("""COMPUTED_VALUE"""),39867.666666666664)</f>
        <v>39867.66667</v>
      </c>
      <c r="B481" s="1">
        <f>IFERROR(__xludf.DUMMYFUNCTION("""COMPUTED_VALUE"""),0.46)</f>
        <v>0.46</v>
      </c>
      <c r="C481" s="1">
        <f>IFERROR(__xludf.DUMMYFUNCTION("""COMPUTED_VALUE"""),0.46)</f>
        <v>0.46</v>
      </c>
      <c r="D481" s="1">
        <f>IFERROR(__xludf.DUMMYFUNCTION("""COMPUTED_VALUE"""),0.44)</f>
        <v>0.44</v>
      </c>
      <c r="E481" s="1">
        <f>IFERROR(__xludf.DUMMYFUNCTION("""COMPUTED_VALUE"""),0.44)</f>
        <v>0.44</v>
      </c>
      <c r="F481" s="1">
        <f>IFERROR(__xludf.DUMMYFUNCTION("""COMPUTED_VALUE"""),61838.0)</f>
        <v>61838</v>
      </c>
    </row>
    <row r="482">
      <c r="A482" s="2">
        <f>IFERROR(__xludf.DUMMYFUNCTION("""COMPUTED_VALUE"""),39868.666666666664)</f>
        <v>39868.66667</v>
      </c>
      <c r="B482" s="1">
        <f>IFERROR(__xludf.DUMMYFUNCTION("""COMPUTED_VALUE"""),0.44)</f>
        <v>0.44</v>
      </c>
      <c r="C482" s="1">
        <f>IFERROR(__xludf.DUMMYFUNCTION("""COMPUTED_VALUE"""),0.46)</f>
        <v>0.46</v>
      </c>
      <c r="D482" s="1">
        <f>IFERROR(__xludf.DUMMYFUNCTION("""COMPUTED_VALUE"""),0.43)</f>
        <v>0.43</v>
      </c>
      <c r="E482" s="1">
        <f>IFERROR(__xludf.DUMMYFUNCTION("""COMPUTED_VALUE"""),0.44)</f>
        <v>0.44</v>
      </c>
      <c r="F482" s="1">
        <f>IFERROR(__xludf.DUMMYFUNCTION("""COMPUTED_VALUE"""),335096.0)</f>
        <v>335096</v>
      </c>
    </row>
    <row r="483">
      <c r="A483" s="2">
        <f>IFERROR(__xludf.DUMMYFUNCTION("""COMPUTED_VALUE"""),39869.666666666664)</f>
        <v>39869.66667</v>
      </c>
      <c r="B483" s="1">
        <f>IFERROR(__xludf.DUMMYFUNCTION("""COMPUTED_VALUE"""),0.45)</f>
        <v>0.45</v>
      </c>
      <c r="C483" s="1">
        <f>IFERROR(__xludf.DUMMYFUNCTION("""COMPUTED_VALUE"""),0.49)</f>
        <v>0.49</v>
      </c>
      <c r="D483" s="1">
        <f>IFERROR(__xludf.DUMMYFUNCTION("""COMPUTED_VALUE"""),0.45)</f>
        <v>0.45</v>
      </c>
      <c r="E483" s="1">
        <f>IFERROR(__xludf.DUMMYFUNCTION("""COMPUTED_VALUE"""),0.47)</f>
        <v>0.47</v>
      </c>
      <c r="F483" s="1">
        <f>IFERROR(__xludf.DUMMYFUNCTION("""COMPUTED_VALUE"""),156196.0)</f>
        <v>156196</v>
      </c>
    </row>
    <row r="484">
      <c r="A484" s="2">
        <f>IFERROR(__xludf.DUMMYFUNCTION("""COMPUTED_VALUE"""),39870.666666666664)</f>
        <v>39870.66667</v>
      </c>
      <c r="B484" s="1">
        <f>IFERROR(__xludf.DUMMYFUNCTION("""COMPUTED_VALUE"""),0.47)</f>
        <v>0.47</v>
      </c>
      <c r="C484" s="1">
        <f>IFERROR(__xludf.DUMMYFUNCTION("""COMPUTED_VALUE"""),0.47)</f>
        <v>0.47</v>
      </c>
      <c r="D484" s="1">
        <f>IFERROR(__xludf.DUMMYFUNCTION("""COMPUTED_VALUE"""),0.46)</f>
        <v>0.46</v>
      </c>
      <c r="E484" s="1">
        <f>IFERROR(__xludf.DUMMYFUNCTION("""COMPUTED_VALUE"""),0.46)</f>
        <v>0.46</v>
      </c>
      <c r="F484" s="1">
        <f>IFERROR(__xludf.DUMMYFUNCTION("""COMPUTED_VALUE"""),57485.0)</f>
        <v>57485</v>
      </c>
    </row>
    <row r="485">
      <c r="A485" s="2">
        <f>IFERROR(__xludf.DUMMYFUNCTION("""COMPUTED_VALUE"""),39871.666666666664)</f>
        <v>39871.66667</v>
      </c>
      <c r="B485" s="1">
        <f>IFERROR(__xludf.DUMMYFUNCTION("""COMPUTED_VALUE"""),0.46)</f>
        <v>0.46</v>
      </c>
      <c r="C485" s="1">
        <f>IFERROR(__xludf.DUMMYFUNCTION("""COMPUTED_VALUE"""),0.46)</f>
        <v>0.46</v>
      </c>
      <c r="D485" s="1">
        <f>IFERROR(__xludf.DUMMYFUNCTION("""COMPUTED_VALUE"""),0.45)</f>
        <v>0.45</v>
      </c>
      <c r="E485" s="1">
        <f>IFERROR(__xludf.DUMMYFUNCTION("""COMPUTED_VALUE"""),0.45)</f>
        <v>0.45</v>
      </c>
      <c r="F485" s="1">
        <f>IFERROR(__xludf.DUMMYFUNCTION("""COMPUTED_VALUE"""),101368.0)</f>
        <v>101368</v>
      </c>
    </row>
    <row r="486">
      <c r="A486" s="2">
        <f>IFERROR(__xludf.DUMMYFUNCTION("""COMPUTED_VALUE"""),39874.666666666664)</f>
        <v>39874.66667</v>
      </c>
      <c r="B486" s="1">
        <f>IFERROR(__xludf.DUMMYFUNCTION("""COMPUTED_VALUE"""),0.45)</f>
        <v>0.45</v>
      </c>
      <c r="C486" s="1">
        <f>IFERROR(__xludf.DUMMYFUNCTION("""COMPUTED_VALUE"""),0.46)</f>
        <v>0.46</v>
      </c>
      <c r="D486" s="1">
        <f>IFERROR(__xludf.DUMMYFUNCTION("""COMPUTED_VALUE"""),0.45)</f>
        <v>0.45</v>
      </c>
      <c r="E486" s="1">
        <f>IFERROR(__xludf.DUMMYFUNCTION("""COMPUTED_VALUE"""),0.45)</f>
        <v>0.45</v>
      </c>
      <c r="F486" s="1">
        <f>IFERROR(__xludf.DUMMYFUNCTION("""COMPUTED_VALUE"""),79397.0)</f>
        <v>79397</v>
      </c>
    </row>
    <row r="487">
      <c r="A487" s="2">
        <f>IFERROR(__xludf.DUMMYFUNCTION("""COMPUTED_VALUE"""),39875.666666666664)</f>
        <v>39875.66667</v>
      </c>
      <c r="B487" s="1">
        <f>IFERROR(__xludf.DUMMYFUNCTION("""COMPUTED_VALUE"""),0.45)</f>
        <v>0.45</v>
      </c>
      <c r="C487" s="1">
        <f>IFERROR(__xludf.DUMMYFUNCTION("""COMPUTED_VALUE"""),0.49)</f>
        <v>0.49</v>
      </c>
      <c r="D487" s="1">
        <f>IFERROR(__xludf.DUMMYFUNCTION("""COMPUTED_VALUE"""),0.44)</f>
        <v>0.44</v>
      </c>
      <c r="E487" s="1">
        <f>IFERROR(__xludf.DUMMYFUNCTION("""COMPUTED_VALUE"""),0.48)</f>
        <v>0.48</v>
      </c>
      <c r="F487" s="1">
        <f>IFERROR(__xludf.DUMMYFUNCTION("""COMPUTED_VALUE"""),74783.0)</f>
        <v>74783</v>
      </c>
    </row>
    <row r="488">
      <c r="A488" s="2">
        <f>IFERROR(__xludf.DUMMYFUNCTION("""COMPUTED_VALUE"""),39876.666666666664)</f>
        <v>39876.66667</v>
      </c>
      <c r="B488" s="1">
        <f>IFERROR(__xludf.DUMMYFUNCTION("""COMPUTED_VALUE"""),0.45)</f>
        <v>0.45</v>
      </c>
      <c r="C488" s="1">
        <f>IFERROR(__xludf.DUMMYFUNCTION("""COMPUTED_VALUE"""),0.5)</f>
        <v>0.5</v>
      </c>
      <c r="D488" s="1">
        <f>IFERROR(__xludf.DUMMYFUNCTION("""COMPUTED_VALUE"""),0.45)</f>
        <v>0.45</v>
      </c>
      <c r="E488" s="1">
        <f>IFERROR(__xludf.DUMMYFUNCTION("""COMPUTED_VALUE"""),0.5)</f>
        <v>0.5</v>
      </c>
      <c r="F488" s="1">
        <f>IFERROR(__xludf.DUMMYFUNCTION("""COMPUTED_VALUE"""),74163.0)</f>
        <v>74163</v>
      </c>
    </row>
    <row r="489">
      <c r="A489" s="2">
        <f>IFERROR(__xludf.DUMMYFUNCTION("""COMPUTED_VALUE"""),39877.666666666664)</f>
        <v>39877.66667</v>
      </c>
      <c r="B489" s="1">
        <f>IFERROR(__xludf.DUMMYFUNCTION("""COMPUTED_VALUE"""),0.49)</f>
        <v>0.49</v>
      </c>
      <c r="C489" s="1">
        <f>IFERROR(__xludf.DUMMYFUNCTION("""COMPUTED_VALUE"""),0.5)</f>
        <v>0.5</v>
      </c>
      <c r="D489" s="1">
        <f>IFERROR(__xludf.DUMMYFUNCTION("""COMPUTED_VALUE"""),0.47)</f>
        <v>0.47</v>
      </c>
      <c r="E489" s="1">
        <f>IFERROR(__xludf.DUMMYFUNCTION("""COMPUTED_VALUE"""),0.47)</f>
        <v>0.47</v>
      </c>
      <c r="F489" s="1">
        <f>IFERROR(__xludf.DUMMYFUNCTION("""COMPUTED_VALUE"""),70723.0)</f>
        <v>70723</v>
      </c>
    </row>
    <row r="490">
      <c r="A490" s="2">
        <f>IFERROR(__xludf.DUMMYFUNCTION("""COMPUTED_VALUE"""),39878.666666666664)</f>
        <v>39878.66667</v>
      </c>
      <c r="B490" s="1">
        <f>IFERROR(__xludf.DUMMYFUNCTION("""COMPUTED_VALUE"""),0.48)</f>
        <v>0.48</v>
      </c>
      <c r="C490" s="1">
        <f>IFERROR(__xludf.DUMMYFUNCTION("""COMPUTED_VALUE"""),0.48)</f>
        <v>0.48</v>
      </c>
      <c r="D490" s="1">
        <f>IFERROR(__xludf.DUMMYFUNCTION("""COMPUTED_VALUE"""),0.46)</f>
        <v>0.46</v>
      </c>
      <c r="E490" s="1">
        <f>IFERROR(__xludf.DUMMYFUNCTION("""COMPUTED_VALUE"""),0.48)</f>
        <v>0.48</v>
      </c>
      <c r="F490" s="1">
        <f>IFERROR(__xludf.DUMMYFUNCTION("""COMPUTED_VALUE"""),37724.0)</f>
        <v>37724</v>
      </c>
    </row>
    <row r="491">
      <c r="A491" s="2">
        <f>IFERROR(__xludf.DUMMYFUNCTION("""COMPUTED_VALUE"""),39881.666666666664)</f>
        <v>39881.66667</v>
      </c>
      <c r="B491" s="1">
        <f>IFERROR(__xludf.DUMMYFUNCTION("""COMPUTED_VALUE"""),0.48)</f>
        <v>0.48</v>
      </c>
      <c r="C491" s="1">
        <f>IFERROR(__xludf.DUMMYFUNCTION("""COMPUTED_VALUE"""),0.5)</f>
        <v>0.5</v>
      </c>
      <c r="D491" s="1">
        <f>IFERROR(__xludf.DUMMYFUNCTION("""COMPUTED_VALUE"""),0.47)</f>
        <v>0.47</v>
      </c>
      <c r="E491" s="1">
        <f>IFERROR(__xludf.DUMMYFUNCTION("""COMPUTED_VALUE"""),0.48)</f>
        <v>0.48</v>
      </c>
      <c r="F491" s="1">
        <f>IFERROR(__xludf.DUMMYFUNCTION("""COMPUTED_VALUE"""),48887.0)</f>
        <v>48887</v>
      </c>
    </row>
    <row r="492">
      <c r="A492" s="2">
        <f>IFERROR(__xludf.DUMMYFUNCTION("""COMPUTED_VALUE"""),39882.666666666664)</f>
        <v>39882.66667</v>
      </c>
      <c r="B492" s="1">
        <f>IFERROR(__xludf.DUMMYFUNCTION("""COMPUTED_VALUE"""),0.49)</f>
        <v>0.49</v>
      </c>
      <c r="C492" s="1">
        <f>IFERROR(__xludf.DUMMYFUNCTION("""COMPUTED_VALUE"""),0.53)</f>
        <v>0.53</v>
      </c>
      <c r="D492" s="1">
        <f>IFERROR(__xludf.DUMMYFUNCTION("""COMPUTED_VALUE"""),0.49)</f>
        <v>0.49</v>
      </c>
      <c r="E492" s="1">
        <f>IFERROR(__xludf.DUMMYFUNCTION("""COMPUTED_VALUE"""),0.51)</f>
        <v>0.51</v>
      </c>
      <c r="F492" s="1">
        <f>IFERROR(__xludf.DUMMYFUNCTION("""COMPUTED_VALUE"""),144556.0)</f>
        <v>144556</v>
      </c>
    </row>
    <row r="493">
      <c r="A493" s="2">
        <f>IFERROR(__xludf.DUMMYFUNCTION("""COMPUTED_VALUE"""),39883.666666666664)</f>
        <v>39883.66667</v>
      </c>
      <c r="B493" s="1">
        <f>IFERROR(__xludf.DUMMYFUNCTION("""COMPUTED_VALUE"""),0.52)</f>
        <v>0.52</v>
      </c>
      <c r="C493" s="1">
        <f>IFERROR(__xludf.DUMMYFUNCTION("""COMPUTED_VALUE"""),0.53)</f>
        <v>0.53</v>
      </c>
      <c r="D493" s="1">
        <f>IFERROR(__xludf.DUMMYFUNCTION("""COMPUTED_VALUE"""),0.47)</f>
        <v>0.47</v>
      </c>
      <c r="E493" s="1">
        <f>IFERROR(__xludf.DUMMYFUNCTION("""COMPUTED_VALUE"""),0.49)</f>
        <v>0.49</v>
      </c>
      <c r="F493" s="1">
        <f>IFERROR(__xludf.DUMMYFUNCTION("""COMPUTED_VALUE"""),172516.0)</f>
        <v>172516</v>
      </c>
    </row>
    <row r="494">
      <c r="A494" s="2">
        <f>IFERROR(__xludf.DUMMYFUNCTION("""COMPUTED_VALUE"""),39884.666666666664)</f>
        <v>39884.66667</v>
      </c>
      <c r="B494" s="1">
        <f>IFERROR(__xludf.DUMMYFUNCTION("""COMPUTED_VALUE"""),0.49)</f>
        <v>0.49</v>
      </c>
      <c r="C494" s="1">
        <f>IFERROR(__xludf.DUMMYFUNCTION("""COMPUTED_VALUE"""),0.55)</f>
        <v>0.55</v>
      </c>
      <c r="D494" s="1">
        <f>IFERROR(__xludf.DUMMYFUNCTION("""COMPUTED_VALUE"""),0.49)</f>
        <v>0.49</v>
      </c>
      <c r="E494" s="1">
        <f>IFERROR(__xludf.DUMMYFUNCTION("""COMPUTED_VALUE"""),0.52)</f>
        <v>0.52</v>
      </c>
      <c r="F494" s="1">
        <f>IFERROR(__xludf.DUMMYFUNCTION("""COMPUTED_VALUE"""),115927.0)</f>
        <v>115927</v>
      </c>
    </row>
    <row r="495">
      <c r="A495" s="2">
        <f>IFERROR(__xludf.DUMMYFUNCTION("""COMPUTED_VALUE"""),39885.666666666664)</f>
        <v>39885.66667</v>
      </c>
      <c r="B495" s="1">
        <f>IFERROR(__xludf.DUMMYFUNCTION("""COMPUTED_VALUE"""),0.52)</f>
        <v>0.52</v>
      </c>
      <c r="C495" s="1">
        <f>IFERROR(__xludf.DUMMYFUNCTION("""COMPUTED_VALUE"""),0.53)</f>
        <v>0.53</v>
      </c>
      <c r="D495" s="1">
        <f>IFERROR(__xludf.DUMMYFUNCTION("""COMPUTED_VALUE"""),0.49)</f>
        <v>0.49</v>
      </c>
      <c r="E495" s="1">
        <f>IFERROR(__xludf.DUMMYFUNCTION("""COMPUTED_VALUE"""),0.52)</f>
        <v>0.52</v>
      </c>
      <c r="F495" s="1">
        <f>IFERROR(__xludf.DUMMYFUNCTION("""COMPUTED_VALUE"""),101047.0)</f>
        <v>101047</v>
      </c>
    </row>
    <row r="496">
      <c r="A496" s="2">
        <f>IFERROR(__xludf.DUMMYFUNCTION("""COMPUTED_VALUE"""),39888.666666666664)</f>
        <v>39888.66667</v>
      </c>
      <c r="B496" s="1">
        <f>IFERROR(__xludf.DUMMYFUNCTION("""COMPUTED_VALUE"""),0.52)</f>
        <v>0.52</v>
      </c>
      <c r="C496" s="1">
        <f>IFERROR(__xludf.DUMMYFUNCTION("""COMPUTED_VALUE"""),0.53)</f>
        <v>0.53</v>
      </c>
      <c r="D496" s="1">
        <f>IFERROR(__xludf.DUMMYFUNCTION("""COMPUTED_VALUE"""),0.5)</f>
        <v>0.5</v>
      </c>
      <c r="E496" s="1">
        <f>IFERROR(__xludf.DUMMYFUNCTION("""COMPUTED_VALUE"""),0.5)</f>
        <v>0.5</v>
      </c>
      <c r="F496" s="1">
        <f>IFERROR(__xludf.DUMMYFUNCTION("""COMPUTED_VALUE"""),47717.0)</f>
        <v>47717</v>
      </c>
    </row>
    <row r="497">
      <c r="A497" s="2">
        <f>IFERROR(__xludf.DUMMYFUNCTION("""COMPUTED_VALUE"""),39889.666666666664)</f>
        <v>39889.66667</v>
      </c>
      <c r="B497" s="1">
        <f>IFERROR(__xludf.DUMMYFUNCTION("""COMPUTED_VALUE"""),0.5)</f>
        <v>0.5</v>
      </c>
      <c r="C497" s="1">
        <f>IFERROR(__xludf.DUMMYFUNCTION("""COMPUTED_VALUE"""),0.53)</f>
        <v>0.53</v>
      </c>
      <c r="D497" s="1">
        <f>IFERROR(__xludf.DUMMYFUNCTION("""COMPUTED_VALUE"""),0.48)</f>
        <v>0.48</v>
      </c>
      <c r="E497" s="1">
        <f>IFERROR(__xludf.DUMMYFUNCTION("""COMPUTED_VALUE"""),0.53)</f>
        <v>0.53</v>
      </c>
      <c r="F497" s="1">
        <f>IFERROR(__xludf.DUMMYFUNCTION("""COMPUTED_VALUE"""),44328.0)</f>
        <v>44328</v>
      </c>
    </row>
    <row r="498">
      <c r="A498" s="2">
        <f>IFERROR(__xludf.DUMMYFUNCTION("""COMPUTED_VALUE"""),39890.666666666664)</f>
        <v>39890.66667</v>
      </c>
      <c r="B498" s="1">
        <f>IFERROR(__xludf.DUMMYFUNCTION("""COMPUTED_VALUE"""),0.53)</f>
        <v>0.53</v>
      </c>
      <c r="C498" s="1">
        <f>IFERROR(__xludf.DUMMYFUNCTION("""COMPUTED_VALUE"""),0.54)</f>
        <v>0.54</v>
      </c>
      <c r="D498" s="1">
        <f>IFERROR(__xludf.DUMMYFUNCTION("""COMPUTED_VALUE"""),0.51)</f>
        <v>0.51</v>
      </c>
      <c r="E498" s="1">
        <f>IFERROR(__xludf.DUMMYFUNCTION("""COMPUTED_VALUE"""),0.52)</f>
        <v>0.52</v>
      </c>
      <c r="F498" s="1">
        <f>IFERROR(__xludf.DUMMYFUNCTION("""COMPUTED_VALUE"""),89405.0)</f>
        <v>89405</v>
      </c>
    </row>
    <row r="499">
      <c r="A499" s="2">
        <f>IFERROR(__xludf.DUMMYFUNCTION("""COMPUTED_VALUE"""),39891.666666666664)</f>
        <v>39891.66667</v>
      </c>
      <c r="B499" s="1">
        <f>IFERROR(__xludf.DUMMYFUNCTION("""COMPUTED_VALUE"""),0.52)</f>
        <v>0.52</v>
      </c>
      <c r="C499" s="1">
        <f>IFERROR(__xludf.DUMMYFUNCTION("""COMPUTED_VALUE"""),0.53)</f>
        <v>0.53</v>
      </c>
      <c r="D499" s="1">
        <f>IFERROR(__xludf.DUMMYFUNCTION("""COMPUTED_VALUE"""),0.49)</f>
        <v>0.49</v>
      </c>
      <c r="E499" s="1">
        <f>IFERROR(__xludf.DUMMYFUNCTION("""COMPUTED_VALUE"""),0.49)</f>
        <v>0.49</v>
      </c>
      <c r="F499" s="1">
        <f>IFERROR(__xludf.DUMMYFUNCTION("""COMPUTED_VALUE"""),39953.0)</f>
        <v>39953</v>
      </c>
    </row>
    <row r="500">
      <c r="A500" s="2">
        <f>IFERROR(__xludf.DUMMYFUNCTION("""COMPUTED_VALUE"""),39892.666666666664)</f>
        <v>39892.66667</v>
      </c>
      <c r="B500" s="1">
        <f>IFERROR(__xludf.DUMMYFUNCTION("""COMPUTED_VALUE"""),0.5)</f>
        <v>0.5</v>
      </c>
      <c r="C500" s="1">
        <f>IFERROR(__xludf.DUMMYFUNCTION("""COMPUTED_VALUE"""),0.5)</f>
        <v>0.5</v>
      </c>
      <c r="D500" s="1">
        <f>IFERROR(__xludf.DUMMYFUNCTION("""COMPUTED_VALUE"""),0.45)</f>
        <v>0.45</v>
      </c>
      <c r="E500" s="1">
        <f>IFERROR(__xludf.DUMMYFUNCTION("""COMPUTED_VALUE"""),0.47)</f>
        <v>0.47</v>
      </c>
      <c r="F500" s="1">
        <f>IFERROR(__xludf.DUMMYFUNCTION("""COMPUTED_VALUE"""),119922.0)</f>
        <v>119922</v>
      </c>
    </row>
    <row r="501">
      <c r="A501" s="2">
        <f>IFERROR(__xludf.DUMMYFUNCTION("""COMPUTED_VALUE"""),39895.666666666664)</f>
        <v>39895.66667</v>
      </c>
      <c r="B501" s="1">
        <f>IFERROR(__xludf.DUMMYFUNCTION("""COMPUTED_VALUE"""),0.47)</f>
        <v>0.47</v>
      </c>
      <c r="C501" s="1">
        <f>IFERROR(__xludf.DUMMYFUNCTION("""COMPUTED_VALUE"""),0.5)</f>
        <v>0.5</v>
      </c>
      <c r="D501" s="1">
        <f>IFERROR(__xludf.DUMMYFUNCTION("""COMPUTED_VALUE"""),0.47)</f>
        <v>0.47</v>
      </c>
      <c r="E501" s="1">
        <f>IFERROR(__xludf.DUMMYFUNCTION("""COMPUTED_VALUE"""),0.49)</f>
        <v>0.49</v>
      </c>
      <c r="F501" s="1">
        <f>IFERROR(__xludf.DUMMYFUNCTION("""COMPUTED_VALUE"""),118740.0)</f>
        <v>118740</v>
      </c>
    </row>
    <row r="502">
      <c r="A502" s="2">
        <f>IFERROR(__xludf.DUMMYFUNCTION("""COMPUTED_VALUE"""),39896.666666666664)</f>
        <v>39896.66667</v>
      </c>
      <c r="B502" s="1">
        <f>IFERROR(__xludf.DUMMYFUNCTION("""COMPUTED_VALUE"""),0.49)</f>
        <v>0.49</v>
      </c>
      <c r="C502" s="1">
        <f>IFERROR(__xludf.DUMMYFUNCTION("""COMPUTED_VALUE"""),0.49)</f>
        <v>0.49</v>
      </c>
      <c r="D502" s="1">
        <f>IFERROR(__xludf.DUMMYFUNCTION("""COMPUTED_VALUE"""),0.48)</f>
        <v>0.48</v>
      </c>
      <c r="E502" s="1">
        <f>IFERROR(__xludf.DUMMYFUNCTION("""COMPUTED_VALUE"""),0.48)</f>
        <v>0.48</v>
      </c>
      <c r="F502" s="1">
        <f>IFERROR(__xludf.DUMMYFUNCTION("""COMPUTED_VALUE"""),58560.0)</f>
        <v>58560</v>
      </c>
    </row>
    <row r="503">
      <c r="A503" s="2">
        <f>IFERROR(__xludf.DUMMYFUNCTION("""COMPUTED_VALUE"""),39897.666666666664)</f>
        <v>39897.66667</v>
      </c>
      <c r="B503" s="1">
        <f>IFERROR(__xludf.DUMMYFUNCTION("""COMPUTED_VALUE"""),0.48)</f>
        <v>0.48</v>
      </c>
      <c r="C503" s="1">
        <f>IFERROR(__xludf.DUMMYFUNCTION("""COMPUTED_VALUE"""),0.49)</f>
        <v>0.49</v>
      </c>
      <c r="D503" s="1">
        <f>IFERROR(__xludf.DUMMYFUNCTION("""COMPUTED_VALUE"""),0.47)</f>
        <v>0.47</v>
      </c>
      <c r="E503" s="1">
        <f>IFERROR(__xludf.DUMMYFUNCTION("""COMPUTED_VALUE"""),0.49)</f>
        <v>0.49</v>
      </c>
      <c r="F503" s="1">
        <f>IFERROR(__xludf.DUMMYFUNCTION("""COMPUTED_VALUE"""),120272.0)</f>
        <v>120272</v>
      </c>
    </row>
    <row r="504">
      <c r="A504" s="2">
        <f>IFERROR(__xludf.DUMMYFUNCTION("""COMPUTED_VALUE"""),39898.666666666664)</f>
        <v>39898.66667</v>
      </c>
      <c r="B504" s="1">
        <f>IFERROR(__xludf.DUMMYFUNCTION("""COMPUTED_VALUE"""),0.5)</f>
        <v>0.5</v>
      </c>
      <c r="C504" s="1">
        <f>IFERROR(__xludf.DUMMYFUNCTION("""COMPUTED_VALUE"""),0.51)</f>
        <v>0.51</v>
      </c>
      <c r="D504" s="1">
        <f>IFERROR(__xludf.DUMMYFUNCTION("""COMPUTED_VALUE"""),0.5)</f>
        <v>0.5</v>
      </c>
      <c r="E504" s="1">
        <f>IFERROR(__xludf.DUMMYFUNCTION("""COMPUTED_VALUE"""),0.5)</f>
        <v>0.5</v>
      </c>
      <c r="F504" s="1">
        <f>IFERROR(__xludf.DUMMYFUNCTION("""COMPUTED_VALUE"""),67509.0)</f>
        <v>67509</v>
      </c>
    </row>
    <row r="505">
      <c r="A505" s="2">
        <f>IFERROR(__xludf.DUMMYFUNCTION("""COMPUTED_VALUE"""),39899.666666666664)</f>
        <v>39899.66667</v>
      </c>
      <c r="B505" s="1">
        <f>IFERROR(__xludf.DUMMYFUNCTION("""COMPUTED_VALUE"""),0.49)</f>
        <v>0.49</v>
      </c>
      <c r="C505" s="1">
        <f>IFERROR(__xludf.DUMMYFUNCTION("""COMPUTED_VALUE"""),0.5)</f>
        <v>0.5</v>
      </c>
      <c r="D505" s="1">
        <f>IFERROR(__xludf.DUMMYFUNCTION("""COMPUTED_VALUE"""),0.45)</f>
        <v>0.45</v>
      </c>
      <c r="E505" s="1">
        <f>IFERROR(__xludf.DUMMYFUNCTION("""COMPUTED_VALUE"""),0.46)</f>
        <v>0.46</v>
      </c>
      <c r="F505" s="1">
        <f>IFERROR(__xludf.DUMMYFUNCTION("""COMPUTED_VALUE"""),110337.0)</f>
        <v>110337</v>
      </c>
    </row>
    <row r="506">
      <c r="A506" s="2">
        <f>IFERROR(__xludf.DUMMYFUNCTION("""COMPUTED_VALUE"""),39902.666666666664)</f>
        <v>39902.66667</v>
      </c>
      <c r="B506" s="1">
        <f>IFERROR(__xludf.DUMMYFUNCTION("""COMPUTED_VALUE"""),0.45)</f>
        <v>0.45</v>
      </c>
      <c r="C506" s="1">
        <f>IFERROR(__xludf.DUMMYFUNCTION("""COMPUTED_VALUE"""),0.48)</f>
        <v>0.48</v>
      </c>
      <c r="D506" s="1">
        <f>IFERROR(__xludf.DUMMYFUNCTION("""COMPUTED_VALUE"""),0.44)</f>
        <v>0.44</v>
      </c>
      <c r="E506" s="1">
        <f>IFERROR(__xludf.DUMMYFUNCTION("""COMPUTED_VALUE"""),0.48)</f>
        <v>0.48</v>
      </c>
      <c r="F506" s="1">
        <f>IFERROR(__xludf.DUMMYFUNCTION("""COMPUTED_VALUE"""),57331.0)</f>
        <v>57331</v>
      </c>
    </row>
    <row r="507">
      <c r="A507" s="2">
        <f>IFERROR(__xludf.DUMMYFUNCTION("""COMPUTED_VALUE"""),39903.666666666664)</f>
        <v>39903.66667</v>
      </c>
      <c r="B507" s="1">
        <f>IFERROR(__xludf.DUMMYFUNCTION("""COMPUTED_VALUE"""),0.49)</f>
        <v>0.49</v>
      </c>
      <c r="C507" s="1">
        <f>IFERROR(__xludf.DUMMYFUNCTION("""COMPUTED_VALUE"""),0.5)</f>
        <v>0.5</v>
      </c>
      <c r="D507" s="1">
        <f>IFERROR(__xludf.DUMMYFUNCTION("""COMPUTED_VALUE"""),0.48)</f>
        <v>0.48</v>
      </c>
      <c r="E507" s="1">
        <f>IFERROR(__xludf.DUMMYFUNCTION("""COMPUTED_VALUE"""),0.49)</f>
        <v>0.49</v>
      </c>
      <c r="F507" s="1">
        <f>IFERROR(__xludf.DUMMYFUNCTION("""COMPUTED_VALUE"""),65602.0)</f>
        <v>65602</v>
      </c>
    </row>
    <row r="508">
      <c r="A508" s="2">
        <f>IFERROR(__xludf.DUMMYFUNCTION("""COMPUTED_VALUE"""),39904.666666666664)</f>
        <v>39904.66667</v>
      </c>
      <c r="B508" s="1">
        <f>IFERROR(__xludf.DUMMYFUNCTION("""COMPUTED_VALUE"""),0.5)</f>
        <v>0.5</v>
      </c>
      <c r="C508" s="1">
        <f>IFERROR(__xludf.DUMMYFUNCTION("""COMPUTED_VALUE"""),0.5)</f>
        <v>0.5</v>
      </c>
      <c r="D508" s="1">
        <f>IFERROR(__xludf.DUMMYFUNCTION("""COMPUTED_VALUE"""),0.48)</f>
        <v>0.48</v>
      </c>
      <c r="E508" s="1">
        <f>IFERROR(__xludf.DUMMYFUNCTION("""COMPUTED_VALUE"""),0.5)</f>
        <v>0.5</v>
      </c>
      <c r="F508" s="1">
        <f>IFERROR(__xludf.DUMMYFUNCTION("""COMPUTED_VALUE"""),40354.0)</f>
        <v>40354</v>
      </c>
    </row>
    <row r="509">
      <c r="A509" s="2">
        <f>IFERROR(__xludf.DUMMYFUNCTION("""COMPUTED_VALUE"""),39905.666666666664)</f>
        <v>39905.66667</v>
      </c>
      <c r="B509" s="1">
        <f>IFERROR(__xludf.DUMMYFUNCTION("""COMPUTED_VALUE"""),0.51)</f>
        <v>0.51</v>
      </c>
      <c r="C509" s="1">
        <f>IFERROR(__xludf.DUMMYFUNCTION("""COMPUTED_VALUE"""),0.53)</f>
        <v>0.53</v>
      </c>
      <c r="D509" s="1">
        <f>IFERROR(__xludf.DUMMYFUNCTION("""COMPUTED_VALUE"""),0.49)</f>
        <v>0.49</v>
      </c>
      <c r="E509" s="1">
        <f>IFERROR(__xludf.DUMMYFUNCTION("""COMPUTED_VALUE"""),0.51)</f>
        <v>0.51</v>
      </c>
      <c r="F509" s="1">
        <f>IFERROR(__xludf.DUMMYFUNCTION("""COMPUTED_VALUE"""),113180.0)</f>
        <v>113180</v>
      </c>
    </row>
    <row r="510">
      <c r="A510" s="2">
        <f>IFERROR(__xludf.DUMMYFUNCTION("""COMPUTED_VALUE"""),39906.666666666664)</f>
        <v>39906.66667</v>
      </c>
      <c r="B510" s="1">
        <f>IFERROR(__xludf.DUMMYFUNCTION("""COMPUTED_VALUE"""),0.51)</f>
        <v>0.51</v>
      </c>
      <c r="C510" s="1">
        <f>IFERROR(__xludf.DUMMYFUNCTION("""COMPUTED_VALUE"""),0.55)</f>
        <v>0.55</v>
      </c>
      <c r="D510" s="1">
        <f>IFERROR(__xludf.DUMMYFUNCTION("""COMPUTED_VALUE"""),0.51)</f>
        <v>0.51</v>
      </c>
      <c r="E510" s="1">
        <f>IFERROR(__xludf.DUMMYFUNCTION("""COMPUTED_VALUE"""),0.55)</f>
        <v>0.55</v>
      </c>
      <c r="F510" s="1">
        <f>IFERROR(__xludf.DUMMYFUNCTION("""COMPUTED_VALUE"""),54219.0)</f>
        <v>54219</v>
      </c>
    </row>
    <row r="511">
      <c r="A511" s="2">
        <f>IFERROR(__xludf.DUMMYFUNCTION("""COMPUTED_VALUE"""),39909.666666666664)</f>
        <v>39909.66667</v>
      </c>
      <c r="B511" s="1">
        <f>IFERROR(__xludf.DUMMYFUNCTION("""COMPUTED_VALUE"""),0.54)</f>
        <v>0.54</v>
      </c>
      <c r="C511" s="1">
        <f>IFERROR(__xludf.DUMMYFUNCTION("""COMPUTED_VALUE"""),0.55)</f>
        <v>0.55</v>
      </c>
      <c r="D511" s="1">
        <f>IFERROR(__xludf.DUMMYFUNCTION("""COMPUTED_VALUE"""),0.51)</f>
        <v>0.51</v>
      </c>
      <c r="E511" s="1">
        <f>IFERROR(__xludf.DUMMYFUNCTION("""COMPUTED_VALUE"""),0.53)</f>
        <v>0.53</v>
      </c>
      <c r="F511" s="1">
        <f>IFERROR(__xludf.DUMMYFUNCTION("""COMPUTED_VALUE"""),110258.0)</f>
        <v>110258</v>
      </c>
    </row>
    <row r="512">
      <c r="A512" s="2">
        <f>IFERROR(__xludf.DUMMYFUNCTION("""COMPUTED_VALUE"""),39910.666666666664)</f>
        <v>39910.66667</v>
      </c>
      <c r="B512" s="1">
        <f>IFERROR(__xludf.DUMMYFUNCTION("""COMPUTED_VALUE"""),0.53)</f>
        <v>0.53</v>
      </c>
      <c r="C512" s="1">
        <f>IFERROR(__xludf.DUMMYFUNCTION("""COMPUTED_VALUE"""),0.54)</f>
        <v>0.54</v>
      </c>
      <c r="D512" s="1">
        <f>IFERROR(__xludf.DUMMYFUNCTION("""COMPUTED_VALUE"""),0.5)</f>
        <v>0.5</v>
      </c>
      <c r="E512" s="1">
        <f>IFERROR(__xludf.DUMMYFUNCTION("""COMPUTED_VALUE"""),0.51)</f>
        <v>0.51</v>
      </c>
      <c r="F512" s="1">
        <f>IFERROR(__xludf.DUMMYFUNCTION("""COMPUTED_VALUE"""),53626.0)</f>
        <v>53626</v>
      </c>
    </row>
    <row r="513">
      <c r="A513" s="2">
        <f>IFERROR(__xludf.DUMMYFUNCTION("""COMPUTED_VALUE"""),39911.666666666664)</f>
        <v>39911.66667</v>
      </c>
      <c r="B513" s="1">
        <f>IFERROR(__xludf.DUMMYFUNCTION("""COMPUTED_VALUE"""),0.51)</f>
        <v>0.51</v>
      </c>
      <c r="C513" s="1">
        <f>IFERROR(__xludf.DUMMYFUNCTION("""COMPUTED_VALUE"""),0.53)</f>
        <v>0.53</v>
      </c>
      <c r="D513" s="1">
        <f>IFERROR(__xludf.DUMMYFUNCTION("""COMPUTED_VALUE"""),0.51)</f>
        <v>0.51</v>
      </c>
      <c r="E513" s="1">
        <f>IFERROR(__xludf.DUMMYFUNCTION("""COMPUTED_VALUE"""),0.53)</f>
        <v>0.53</v>
      </c>
      <c r="F513" s="1">
        <f>IFERROR(__xludf.DUMMYFUNCTION("""COMPUTED_VALUE"""),50591.0)</f>
        <v>50591</v>
      </c>
    </row>
    <row r="514">
      <c r="A514" s="2">
        <f>IFERROR(__xludf.DUMMYFUNCTION("""COMPUTED_VALUE"""),39912.666666666664)</f>
        <v>39912.66667</v>
      </c>
      <c r="B514" s="1">
        <f>IFERROR(__xludf.DUMMYFUNCTION("""COMPUTED_VALUE"""),0.53)</f>
        <v>0.53</v>
      </c>
      <c r="C514" s="1">
        <f>IFERROR(__xludf.DUMMYFUNCTION("""COMPUTED_VALUE"""),0.62)</f>
        <v>0.62</v>
      </c>
      <c r="D514" s="1">
        <f>IFERROR(__xludf.DUMMYFUNCTION("""COMPUTED_VALUE"""),0.52)</f>
        <v>0.52</v>
      </c>
      <c r="E514" s="1">
        <f>IFERROR(__xludf.DUMMYFUNCTION("""COMPUTED_VALUE"""),0.59)</f>
        <v>0.59</v>
      </c>
      <c r="F514" s="1">
        <f>IFERROR(__xludf.DUMMYFUNCTION("""COMPUTED_VALUE"""),166283.0)</f>
        <v>166283</v>
      </c>
    </row>
    <row r="515">
      <c r="A515" s="2">
        <f>IFERROR(__xludf.DUMMYFUNCTION("""COMPUTED_VALUE"""),39916.666666666664)</f>
        <v>39916.66667</v>
      </c>
      <c r="B515" s="1">
        <f>IFERROR(__xludf.DUMMYFUNCTION("""COMPUTED_VALUE"""),0.59)</f>
        <v>0.59</v>
      </c>
      <c r="C515" s="1">
        <f>IFERROR(__xludf.DUMMYFUNCTION("""COMPUTED_VALUE"""),0.6)</f>
        <v>0.6</v>
      </c>
      <c r="D515" s="1">
        <f>IFERROR(__xludf.DUMMYFUNCTION("""COMPUTED_VALUE"""),0.55)</f>
        <v>0.55</v>
      </c>
      <c r="E515" s="1">
        <f>IFERROR(__xludf.DUMMYFUNCTION("""COMPUTED_VALUE"""),0.6)</f>
        <v>0.6</v>
      </c>
      <c r="F515" s="1">
        <f>IFERROR(__xludf.DUMMYFUNCTION("""COMPUTED_VALUE"""),60714.0)</f>
        <v>60714</v>
      </c>
    </row>
    <row r="516">
      <c r="A516" s="2">
        <f>IFERROR(__xludf.DUMMYFUNCTION("""COMPUTED_VALUE"""),39917.666666666664)</f>
        <v>39917.66667</v>
      </c>
      <c r="B516" s="1">
        <f>IFERROR(__xludf.DUMMYFUNCTION("""COMPUTED_VALUE"""),0.59)</f>
        <v>0.59</v>
      </c>
      <c r="C516" s="1">
        <f>IFERROR(__xludf.DUMMYFUNCTION("""COMPUTED_VALUE"""),0.59)</f>
        <v>0.59</v>
      </c>
      <c r="D516" s="1">
        <f>IFERROR(__xludf.DUMMYFUNCTION("""COMPUTED_VALUE"""),0.56)</f>
        <v>0.56</v>
      </c>
      <c r="E516" s="1">
        <f>IFERROR(__xludf.DUMMYFUNCTION("""COMPUTED_VALUE"""),0.56)</f>
        <v>0.56</v>
      </c>
      <c r="F516" s="1">
        <f>IFERROR(__xludf.DUMMYFUNCTION("""COMPUTED_VALUE"""),99625.0)</f>
        <v>99625</v>
      </c>
    </row>
    <row r="517">
      <c r="A517" s="2">
        <f>IFERROR(__xludf.DUMMYFUNCTION("""COMPUTED_VALUE"""),39918.666666666664)</f>
        <v>39918.66667</v>
      </c>
      <c r="B517" s="1">
        <f>IFERROR(__xludf.DUMMYFUNCTION("""COMPUTED_VALUE"""),0.56)</f>
        <v>0.56</v>
      </c>
      <c r="C517" s="1">
        <f>IFERROR(__xludf.DUMMYFUNCTION("""COMPUTED_VALUE"""),0.56)</f>
        <v>0.56</v>
      </c>
      <c r="D517" s="1">
        <f>IFERROR(__xludf.DUMMYFUNCTION("""COMPUTED_VALUE"""),0.54)</f>
        <v>0.54</v>
      </c>
      <c r="E517" s="1">
        <f>IFERROR(__xludf.DUMMYFUNCTION("""COMPUTED_VALUE"""),0.56)</f>
        <v>0.56</v>
      </c>
      <c r="F517" s="1">
        <f>IFERROR(__xludf.DUMMYFUNCTION("""COMPUTED_VALUE"""),129381.0)</f>
        <v>129381</v>
      </c>
    </row>
    <row r="518">
      <c r="A518" s="2">
        <f>IFERROR(__xludf.DUMMYFUNCTION("""COMPUTED_VALUE"""),39919.666666666664)</f>
        <v>39919.66667</v>
      </c>
      <c r="B518" s="1">
        <f>IFERROR(__xludf.DUMMYFUNCTION("""COMPUTED_VALUE"""),0.55)</f>
        <v>0.55</v>
      </c>
      <c r="C518" s="1">
        <f>IFERROR(__xludf.DUMMYFUNCTION("""COMPUTED_VALUE"""),0.58)</f>
        <v>0.58</v>
      </c>
      <c r="D518" s="1">
        <f>IFERROR(__xludf.DUMMYFUNCTION("""COMPUTED_VALUE"""),0.5)</f>
        <v>0.5</v>
      </c>
      <c r="E518" s="1">
        <f>IFERROR(__xludf.DUMMYFUNCTION("""COMPUTED_VALUE"""),0.56)</f>
        <v>0.56</v>
      </c>
      <c r="F518" s="1">
        <f>IFERROR(__xludf.DUMMYFUNCTION("""COMPUTED_VALUE"""),123766.0)</f>
        <v>123766</v>
      </c>
    </row>
    <row r="519">
      <c r="A519" s="2">
        <f>IFERROR(__xludf.DUMMYFUNCTION("""COMPUTED_VALUE"""),39920.666666666664)</f>
        <v>39920.66667</v>
      </c>
      <c r="B519" s="1">
        <f>IFERROR(__xludf.DUMMYFUNCTION("""COMPUTED_VALUE"""),0.57)</f>
        <v>0.57</v>
      </c>
      <c r="C519" s="1">
        <f>IFERROR(__xludf.DUMMYFUNCTION("""COMPUTED_VALUE"""),0.6)</f>
        <v>0.6</v>
      </c>
      <c r="D519" s="1">
        <f>IFERROR(__xludf.DUMMYFUNCTION("""COMPUTED_VALUE"""),0.55)</f>
        <v>0.55</v>
      </c>
      <c r="E519" s="1">
        <f>IFERROR(__xludf.DUMMYFUNCTION("""COMPUTED_VALUE"""),0.6)</f>
        <v>0.6</v>
      </c>
      <c r="F519" s="1">
        <f>IFERROR(__xludf.DUMMYFUNCTION("""COMPUTED_VALUE"""),153892.0)</f>
        <v>153892</v>
      </c>
    </row>
    <row r="520">
      <c r="A520" s="2">
        <f>IFERROR(__xludf.DUMMYFUNCTION("""COMPUTED_VALUE"""),39923.666666666664)</f>
        <v>39923.66667</v>
      </c>
      <c r="B520" s="1">
        <f>IFERROR(__xludf.DUMMYFUNCTION("""COMPUTED_VALUE"""),0.59)</f>
        <v>0.59</v>
      </c>
      <c r="C520" s="1">
        <f>IFERROR(__xludf.DUMMYFUNCTION("""COMPUTED_VALUE"""),0.59)</f>
        <v>0.59</v>
      </c>
      <c r="D520" s="1">
        <f>IFERROR(__xludf.DUMMYFUNCTION("""COMPUTED_VALUE"""),0.56)</f>
        <v>0.56</v>
      </c>
      <c r="E520" s="1">
        <f>IFERROR(__xludf.DUMMYFUNCTION("""COMPUTED_VALUE"""),0.58)</f>
        <v>0.58</v>
      </c>
      <c r="F520" s="1">
        <f>IFERROR(__xludf.DUMMYFUNCTION("""COMPUTED_VALUE"""),72287.0)</f>
        <v>72287</v>
      </c>
    </row>
    <row r="521">
      <c r="A521" s="2">
        <f>IFERROR(__xludf.DUMMYFUNCTION("""COMPUTED_VALUE"""),39924.666666666664)</f>
        <v>39924.66667</v>
      </c>
      <c r="B521" s="1">
        <f>IFERROR(__xludf.DUMMYFUNCTION("""COMPUTED_VALUE"""),0.57)</f>
        <v>0.57</v>
      </c>
      <c r="C521" s="1">
        <f>IFERROR(__xludf.DUMMYFUNCTION("""COMPUTED_VALUE"""),0.64)</f>
        <v>0.64</v>
      </c>
      <c r="D521" s="1">
        <f>IFERROR(__xludf.DUMMYFUNCTION("""COMPUTED_VALUE"""),0.57)</f>
        <v>0.57</v>
      </c>
      <c r="E521" s="1">
        <f>IFERROR(__xludf.DUMMYFUNCTION("""COMPUTED_VALUE"""),0.64)</f>
        <v>0.64</v>
      </c>
      <c r="F521" s="1">
        <f>IFERROR(__xludf.DUMMYFUNCTION("""COMPUTED_VALUE"""),74194.0)</f>
        <v>74194</v>
      </c>
    </row>
    <row r="522">
      <c r="A522" s="2">
        <f>IFERROR(__xludf.DUMMYFUNCTION("""COMPUTED_VALUE"""),39925.666666666664)</f>
        <v>39925.66667</v>
      </c>
      <c r="B522" s="1">
        <f>IFERROR(__xludf.DUMMYFUNCTION("""COMPUTED_VALUE"""),0.63)</f>
        <v>0.63</v>
      </c>
      <c r="C522" s="1">
        <f>IFERROR(__xludf.DUMMYFUNCTION("""COMPUTED_VALUE"""),0.65)</f>
        <v>0.65</v>
      </c>
      <c r="D522" s="1">
        <f>IFERROR(__xludf.DUMMYFUNCTION("""COMPUTED_VALUE"""),0.61)</f>
        <v>0.61</v>
      </c>
      <c r="E522" s="1">
        <f>IFERROR(__xludf.DUMMYFUNCTION("""COMPUTED_VALUE"""),0.62)</f>
        <v>0.62</v>
      </c>
      <c r="F522" s="1">
        <f>IFERROR(__xludf.DUMMYFUNCTION("""COMPUTED_VALUE"""),198959.0)</f>
        <v>198959</v>
      </c>
    </row>
    <row r="523">
      <c r="A523" s="2">
        <f>IFERROR(__xludf.DUMMYFUNCTION("""COMPUTED_VALUE"""),39926.666666666664)</f>
        <v>39926.66667</v>
      </c>
      <c r="B523" s="1">
        <f>IFERROR(__xludf.DUMMYFUNCTION("""COMPUTED_VALUE"""),0.62)</f>
        <v>0.62</v>
      </c>
      <c r="C523" s="1">
        <f>IFERROR(__xludf.DUMMYFUNCTION("""COMPUTED_VALUE"""),0.62)</f>
        <v>0.62</v>
      </c>
      <c r="D523" s="1">
        <f>IFERROR(__xludf.DUMMYFUNCTION("""COMPUTED_VALUE"""),0.56)</f>
        <v>0.56</v>
      </c>
      <c r="E523" s="1">
        <f>IFERROR(__xludf.DUMMYFUNCTION("""COMPUTED_VALUE"""),0.58)</f>
        <v>0.58</v>
      </c>
      <c r="F523" s="1">
        <f>IFERROR(__xludf.DUMMYFUNCTION("""COMPUTED_VALUE"""),131077.0)</f>
        <v>131077</v>
      </c>
    </row>
    <row r="524">
      <c r="A524" s="2">
        <f>IFERROR(__xludf.DUMMYFUNCTION("""COMPUTED_VALUE"""),39927.666666666664)</f>
        <v>39927.66667</v>
      </c>
      <c r="B524" s="1">
        <f>IFERROR(__xludf.DUMMYFUNCTION("""COMPUTED_VALUE"""),0.58)</f>
        <v>0.58</v>
      </c>
      <c r="C524" s="1">
        <f>IFERROR(__xludf.DUMMYFUNCTION("""COMPUTED_VALUE"""),0.58)</f>
        <v>0.58</v>
      </c>
      <c r="D524" s="1">
        <f>IFERROR(__xludf.DUMMYFUNCTION("""COMPUTED_VALUE"""),0.55)</f>
        <v>0.55</v>
      </c>
      <c r="E524" s="1">
        <f>IFERROR(__xludf.DUMMYFUNCTION("""COMPUTED_VALUE"""),0.55)</f>
        <v>0.55</v>
      </c>
      <c r="F524" s="1">
        <f>IFERROR(__xludf.DUMMYFUNCTION("""COMPUTED_VALUE"""),83579.0)</f>
        <v>83579</v>
      </c>
    </row>
    <row r="525">
      <c r="A525" s="2">
        <f>IFERROR(__xludf.DUMMYFUNCTION("""COMPUTED_VALUE"""),39930.666666666664)</f>
        <v>39930.66667</v>
      </c>
      <c r="B525" s="1">
        <f>IFERROR(__xludf.DUMMYFUNCTION("""COMPUTED_VALUE"""),0.54)</f>
        <v>0.54</v>
      </c>
      <c r="C525" s="1">
        <f>IFERROR(__xludf.DUMMYFUNCTION("""COMPUTED_VALUE"""),0.56)</f>
        <v>0.56</v>
      </c>
      <c r="D525" s="1">
        <f>IFERROR(__xludf.DUMMYFUNCTION("""COMPUTED_VALUE"""),0.53)</f>
        <v>0.53</v>
      </c>
      <c r="E525" s="1">
        <f>IFERROR(__xludf.DUMMYFUNCTION("""COMPUTED_VALUE"""),0.53)</f>
        <v>0.53</v>
      </c>
      <c r="F525" s="1">
        <f>IFERROR(__xludf.DUMMYFUNCTION("""COMPUTED_VALUE"""),56570.0)</f>
        <v>56570</v>
      </c>
    </row>
    <row r="526">
      <c r="A526" s="2">
        <f>IFERROR(__xludf.DUMMYFUNCTION("""COMPUTED_VALUE"""),39931.666666666664)</f>
        <v>39931.66667</v>
      </c>
      <c r="B526" s="1">
        <f>IFERROR(__xludf.DUMMYFUNCTION("""COMPUTED_VALUE"""),0.54)</f>
        <v>0.54</v>
      </c>
      <c r="C526" s="1">
        <f>IFERROR(__xludf.DUMMYFUNCTION("""COMPUTED_VALUE"""),0.54)</f>
        <v>0.54</v>
      </c>
      <c r="D526" s="1">
        <f>IFERROR(__xludf.DUMMYFUNCTION("""COMPUTED_VALUE"""),0.53)</f>
        <v>0.53</v>
      </c>
      <c r="E526" s="1">
        <f>IFERROR(__xludf.DUMMYFUNCTION("""COMPUTED_VALUE"""),0.54)</f>
        <v>0.54</v>
      </c>
      <c r="F526" s="1">
        <f>IFERROR(__xludf.DUMMYFUNCTION("""COMPUTED_VALUE"""),22092.0)</f>
        <v>22092</v>
      </c>
    </row>
    <row r="527">
      <c r="A527" s="2">
        <f>IFERROR(__xludf.DUMMYFUNCTION("""COMPUTED_VALUE"""),39932.666666666664)</f>
        <v>39932.66667</v>
      </c>
      <c r="B527" s="1">
        <f>IFERROR(__xludf.DUMMYFUNCTION("""COMPUTED_VALUE"""),0.54)</f>
        <v>0.54</v>
      </c>
      <c r="C527" s="1">
        <f>IFERROR(__xludf.DUMMYFUNCTION("""COMPUTED_VALUE"""),0.56)</f>
        <v>0.56</v>
      </c>
      <c r="D527" s="1">
        <f>IFERROR(__xludf.DUMMYFUNCTION("""COMPUTED_VALUE"""),0.53)</f>
        <v>0.53</v>
      </c>
      <c r="E527" s="1">
        <f>IFERROR(__xludf.DUMMYFUNCTION("""COMPUTED_VALUE"""),0.55)</f>
        <v>0.55</v>
      </c>
      <c r="F527" s="1">
        <f>IFERROR(__xludf.DUMMYFUNCTION("""COMPUTED_VALUE"""),70596.0)</f>
        <v>70596</v>
      </c>
    </row>
    <row r="528">
      <c r="A528" s="2">
        <f>IFERROR(__xludf.DUMMYFUNCTION("""COMPUTED_VALUE"""),39933.666666666664)</f>
        <v>39933.66667</v>
      </c>
      <c r="B528" s="1">
        <f>IFERROR(__xludf.DUMMYFUNCTION("""COMPUTED_VALUE"""),0.51)</f>
        <v>0.51</v>
      </c>
      <c r="C528" s="1">
        <f>IFERROR(__xludf.DUMMYFUNCTION("""COMPUTED_VALUE"""),0.56)</f>
        <v>0.56</v>
      </c>
      <c r="D528" s="1">
        <f>IFERROR(__xludf.DUMMYFUNCTION("""COMPUTED_VALUE"""),0.49)</f>
        <v>0.49</v>
      </c>
      <c r="E528" s="1">
        <f>IFERROR(__xludf.DUMMYFUNCTION("""COMPUTED_VALUE"""),0.52)</f>
        <v>0.52</v>
      </c>
      <c r="F528" s="1">
        <f>IFERROR(__xludf.DUMMYFUNCTION("""COMPUTED_VALUE"""),114816.0)</f>
        <v>114816</v>
      </c>
    </row>
    <row r="529">
      <c r="A529" s="2">
        <f>IFERROR(__xludf.DUMMYFUNCTION("""COMPUTED_VALUE"""),39934.666666666664)</f>
        <v>39934.66667</v>
      </c>
      <c r="B529" s="1">
        <f>IFERROR(__xludf.DUMMYFUNCTION("""COMPUTED_VALUE"""),0.52)</f>
        <v>0.52</v>
      </c>
      <c r="C529" s="1">
        <f>IFERROR(__xludf.DUMMYFUNCTION("""COMPUTED_VALUE"""),0.57)</f>
        <v>0.57</v>
      </c>
      <c r="D529" s="1">
        <f>IFERROR(__xludf.DUMMYFUNCTION("""COMPUTED_VALUE"""),0.52)</f>
        <v>0.52</v>
      </c>
      <c r="E529" s="1">
        <f>IFERROR(__xludf.DUMMYFUNCTION("""COMPUTED_VALUE"""),0.56)</f>
        <v>0.56</v>
      </c>
      <c r="F529" s="1">
        <f>IFERROR(__xludf.DUMMYFUNCTION("""COMPUTED_VALUE"""),204316.0)</f>
        <v>204316</v>
      </c>
    </row>
    <row r="530">
      <c r="A530" s="2">
        <f>IFERROR(__xludf.DUMMYFUNCTION("""COMPUTED_VALUE"""),39937.666666666664)</f>
        <v>39937.66667</v>
      </c>
      <c r="B530" s="1">
        <f>IFERROR(__xludf.DUMMYFUNCTION("""COMPUTED_VALUE"""),0.56)</f>
        <v>0.56</v>
      </c>
      <c r="C530" s="1">
        <f>IFERROR(__xludf.DUMMYFUNCTION("""COMPUTED_VALUE"""),0.56)</f>
        <v>0.56</v>
      </c>
      <c r="D530" s="1">
        <f>IFERROR(__xludf.DUMMYFUNCTION("""COMPUTED_VALUE"""),0.54)</f>
        <v>0.54</v>
      </c>
      <c r="E530" s="1">
        <f>IFERROR(__xludf.DUMMYFUNCTION("""COMPUTED_VALUE"""),0.56)</f>
        <v>0.56</v>
      </c>
      <c r="F530" s="1">
        <f>IFERROR(__xludf.DUMMYFUNCTION("""COMPUTED_VALUE"""),65097.0)</f>
        <v>65097</v>
      </c>
    </row>
    <row r="531">
      <c r="A531" s="2">
        <f>IFERROR(__xludf.DUMMYFUNCTION("""COMPUTED_VALUE"""),39938.666666666664)</f>
        <v>39938.66667</v>
      </c>
      <c r="B531" s="1">
        <f>IFERROR(__xludf.DUMMYFUNCTION("""COMPUTED_VALUE"""),0.56)</f>
        <v>0.56</v>
      </c>
      <c r="C531" s="1">
        <f>IFERROR(__xludf.DUMMYFUNCTION("""COMPUTED_VALUE"""),0.59)</f>
        <v>0.59</v>
      </c>
      <c r="D531" s="1">
        <f>IFERROR(__xludf.DUMMYFUNCTION("""COMPUTED_VALUE"""),0.56)</f>
        <v>0.56</v>
      </c>
      <c r="E531" s="1">
        <f>IFERROR(__xludf.DUMMYFUNCTION("""COMPUTED_VALUE"""),0.59)</f>
        <v>0.59</v>
      </c>
      <c r="F531" s="1">
        <f>IFERROR(__xludf.DUMMYFUNCTION("""COMPUTED_VALUE"""),141746.0)</f>
        <v>141746</v>
      </c>
    </row>
    <row r="532">
      <c r="A532" s="2">
        <f>IFERROR(__xludf.DUMMYFUNCTION("""COMPUTED_VALUE"""),39939.666666666664)</f>
        <v>39939.66667</v>
      </c>
      <c r="B532" s="1">
        <f>IFERROR(__xludf.DUMMYFUNCTION("""COMPUTED_VALUE"""),0.59)</f>
        <v>0.59</v>
      </c>
      <c r="C532" s="1">
        <f>IFERROR(__xludf.DUMMYFUNCTION("""COMPUTED_VALUE"""),0.6)</f>
        <v>0.6</v>
      </c>
      <c r="D532" s="1">
        <f>IFERROR(__xludf.DUMMYFUNCTION("""COMPUTED_VALUE"""),0.58)</f>
        <v>0.58</v>
      </c>
      <c r="E532" s="1">
        <f>IFERROR(__xludf.DUMMYFUNCTION("""COMPUTED_VALUE"""),0.59)</f>
        <v>0.59</v>
      </c>
      <c r="F532" s="1">
        <f>IFERROR(__xludf.DUMMYFUNCTION("""COMPUTED_VALUE"""),52663.0)</f>
        <v>52663</v>
      </c>
    </row>
    <row r="533">
      <c r="A533" s="2">
        <f>IFERROR(__xludf.DUMMYFUNCTION("""COMPUTED_VALUE"""),39940.666666666664)</f>
        <v>39940.66667</v>
      </c>
      <c r="B533" s="1">
        <f>IFERROR(__xludf.DUMMYFUNCTION("""COMPUTED_VALUE"""),0.6)</f>
        <v>0.6</v>
      </c>
      <c r="C533" s="1">
        <f>IFERROR(__xludf.DUMMYFUNCTION("""COMPUTED_VALUE"""),0.6)</f>
        <v>0.6</v>
      </c>
      <c r="D533" s="1">
        <f>IFERROR(__xludf.DUMMYFUNCTION("""COMPUTED_VALUE"""),0.57)</f>
        <v>0.57</v>
      </c>
      <c r="E533" s="1">
        <f>IFERROR(__xludf.DUMMYFUNCTION("""COMPUTED_VALUE"""),0.58)</f>
        <v>0.58</v>
      </c>
      <c r="F533" s="1">
        <f>IFERROR(__xludf.DUMMYFUNCTION("""COMPUTED_VALUE"""),101099.0)</f>
        <v>101099</v>
      </c>
    </row>
    <row r="534">
      <c r="A534" s="2">
        <f>IFERROR(__xludf.DUMMYFUNCTION("""COMPUTED_VALUE"""),39941.666666666664)</f>
        <v>39941.66667</v>
      </c>
      <c r="B534" s="1">
        <f>IFERROR(__xludf.DUMMYFUNCTION("""COMPUTED_VALUE"""),0.59)</f>
        <v>0.59</v>
      </c>
      <c r="C534" s="1">
        <f>IFERROR(__xludf.DUMMYFUNCTION("""COMPUTED_VALUE"""),0.6)</f>
        <v>0.6</v>
      </c>
      <c r="D534" s="1">
        <f>IFERROR(__xludf.DUMMYFUNCTION("""COMPUTED_VALUE"""),0.59)</f>
        <v>0.59</v>
      </c>
      <c r="E534" s="1">
        <f>IFERROR(__xludf.DUMMYFUNCTION("""COMPUTED_VALUE"""),0.6)</f>
        <v>0.6</v>
      </c>
      <c r="F534" s="1">
        <f>IFERROR(__xludf.DUMMYFUNCTION("""COMPUTED_VALUE"""),75957.0)</f>
        <v>75957</v>
      </c>
    </row>
    <row r="535">
      <c r="A535" s="2">
        <f>IFERROR(__xludf.DUMMYFUNCTION("""COMPUTED_VALUE"""),39944.666666666664)</f>
        <v>39944.66667</v>
      </c>
      <c r="B535" s="1">
        <f>IFERROR(__xludf.DUMMYFUNCTION("""COMPUTED_VALUE"""),0.59)</f>
        <v>0.59</v>
      </c>
      <c r="C535" s="1">
        <f>IFERROR(__xludf.DUMMYFUNCTION("""COMPUTED_VALUE"""),0.6)</f>
        <v>0.6</v>
      </c>
      <c r="D535" s="1">
        <f>IFERROR(__xludf.DUMMYFUNCTION("""COMPUTED_VALUE"""),0.57)</f>
        <v>0.57</v>
      </c>
      <c r="E535" s="1">
        <f>IFERROR(__xludf.DUMMYFUNCTION("""COMPUTED_VALUE"""),0.59)</f>
        <v>0.59</v>
      </c>
      <c r="F535" s="1">
        <f>IFERROR(__xludf.DUMMYFUNCTION("""COMPUTED_VALUE"""),41940.0)</f>
        <v>41940</v>
      </c>
    </row>
    <row r="536">
      <c r="A536" s="2">
        <f>IFERROR(__xludf.DUMMYFUNCTION("""COMPUTED_VALUE"""),39945.666666666664)</f>
        <v>39945.66667</v>
      </c>
      <c r="B536" s="1">
        <f>IFERROR(__xludf.DUMMYFUNCTION("""COMPUTED_VALUE"""),0.59)</f>
        <v>0.59</v>
      </c>
      <c r="C536" s="1">
        <f>IFERROR(__xludf.DUMMYFUNCTION("""COMPUTED_VALUE"""),0.59)</f>
        <v>0.59</v>
      </c>
      <c r="D536" s="1">
        <f>IFERROR(__xludf.DUMMYFUNCTION("""COMPUTED_VALUE"""),0.57)</f>
        <v>0.57</v>
      </c>
      <c r="E536" s="1">
        <f>IFERROR(__xludf.DUMMYFUNCTION("""COMPUTED_VALUE"""),0.58)</f>
        <v>0.58</v>
      </c>
      <c r="F536" s="1">
        <f>IFERROR(__xludf.DUMMYFUNCTION("""COMPUTED_VALUE"""),44388.0)</f>
        <v>44388</v>
      </c>
    </row>
    <row r="537">
      <c r="A537" s="2">
        <f>IFERROR(__xludf.DUMMYFUNCTION("""COMPUTED_VALUE"""),39946.666666666664)</f>
        <v>39946.66667</v>
      </c>
      <c r="B537" s="1">
        <f>IFERROR(__xludf.DUMMYFUNCTION("""COMPUTED_VALUE"""),0.57)</f>
        <v>0.57</v>
      </c>
      <c r="C537" s="1">
        <f>IFERROR(__xludf.DUMMYFUNCTION("""COMPUTED_VALUE"""),0.58)</f>
        <v>0.58</v>
      </c>
      <c r="D537" s="1">
        <f>IFERROR(__xludf.DUMMYFUNCTION("""COMPUTED_VALUE"""),0.56)</f>
        <v>0.56</v>
      </c>
      <c r="E537" s="1">
        <f>IFERROR(__xludf.DUMMYFUNCTION("""COMPUTED_VALUE"""),0.56)</f>
        <v>0.56</v>
      </c>
      <c r="F537" s="1">
        <f>IFERROR(__xludf.DUMMYFUNCTION("""COMPUTED_VALUE"""),54900.0)</f>
        <v>54900</v>
      </c>
    </row>
    <row r="538">
      <c r="A538" s="2">
        <f>IFERROR(__xludf.DUMMYFUNCTION("""COMPUTED_VALUE"""),39947.666666666664)</f>
        <v>39947.66667</v>
      </c>
      <c r="B538" s="1">
        <f>IFERROR(__xludf.DUMMYFUNCTION("""COMPUTED_VALUE"""),0.57)</f>
        <v>0.57</v>
      </c>
      <c r="C538" s="1">
        <f>IFERROR(__xludf.DUMMYFUNCTION("""COMPUTED_VALUE"""),0.6)</f>
        <v>0.6</v>
      </c>
      <c r="D538" s="1">
        <f>IFERROR(__xludf.DUMMYFUNCTION("""COMPUTED_VALUE"""),0.57)</f>
        <v>0.57</v>
      </c>
      <c r="E538" s="1">
        <f>IFERROR(__xludf.DUMMYFUNCTION("""COMPUTED_VALUE"""),0.6)</f>
        <v>0.6</v>
      </c>
      <c r="F538" s="1">
        <f>IFERROR(__xludf.DUMMYFUNCTION("""COMPUTED_VALUE"""),64918.0)</f>
        <v>64918</v>
      </c>
    </row>
    <row r="539">
      <c r="A539" s="2">
        <f>IFERROR(__xludf.DUMMYFUNCTION("""COMPUTED_VALUE"""),39948.666666666664)</f>
        <v>39948.66667</v>
      </c>
      <c r="B539" s="1">
        <f>IFERROR(__xludf.DUMMYFUNCTION("""COMPUTED_VALUE"""),0.6)</f>
        <v>0.6</v>
      </c>
      <c r="C539" s="1">
        <f>IFERROR(__xludf.DUMMYFUNCTION("""COMPUTED_VALUE"""),0.62)</f>
        <v>0.62</v>
      </c>
      <c r="D539" s="1">
        <f>IFERROR(__xludf.DUMMYFUNCTION("""COMPUTED_VALUE"""),0.58)</f>
        <v>0.58</v>
      </c>
      <c r="E539" s="1">
        <f>IFERROR(__xludf.DUMMYFUNCTION("""COMPUTED_VALUE"""),0.61)</f>
        <v>0.61</v>
      </c>
      <c r="F539" s="1">
        <f>IFERROR(__xludf.DUMMYFUNCTION("""COMPUTED_VALUE"""),143289.0)</f>
        <v>143289</v>
      </c>
    </row>
    <row r="540">
      <c r="A540" s="2">
        <f>IFERROR(__xludf.DUMMYFUNCTION("""COMPUTED_VALUE"""),39951.666666666664)</f>
        <v>39951.66667</v>
      </c>
      <c r="B540" s="1">
        <f>IFERROR(__xludf.DUMMYFUNCTION("""COMPUTED_VALUE"""),0.62)</f>
        <v>0.62</v>
      </c>
      <c r="C540" s="1">
        <f>IFERROR(__xludf.DUMMYFUNCTION("""COMPUTED_VALUE"""),0.62)</f>
        <v>0.62</v>
      </c>
      <c r="D540" s="1">
        <f>IFERROR(__xludf.DUMMYFUNCTION("""COMPUTED_VALUE"""),0.61)</f>
        <v>0.61</v>
      </c>
      <c r="E540" s="1">
        <f>IFERROR(__xludf.DUMMYFUNCTION("""COMPUTED_VALUE"""),0.62)</f>
        <v>0.62</v>
      </c>
      <c r="F540" s="1">
        <f>IFERROR(__xludf.DUMMYFUNCTION("""COMPUTED_VALUE"""),153920.0)</f>
        <v>153920</v>
      </c>
    </row>
    <row r="541">
      <c r="A541" s="2">
        <f>IFERROR(__xludf.DUMMYFUNCTION("""COMPUTED_VALUE"""),39952.666666666664)</f>
        <v>39952.66667</v>
      </c>
      <c r="B541" s="1">
        <f>IFERROR(__xludf.DUMMYFUNCTION("""COMPUTED_VALUE"""),0.62)</f>
        <v>0.62</v>
      </c>
      <c r="C541" s="1">
        <f>IFERROR(__xludf.DUMMYFUNCTION("""COMPUTED_VALUE"""),0.63)</f>
        <v>0.63</v>
      </c>
      <c r="D541" s="1">
        <f>IFERROR(__xludf.DUMMYFUNCTION("""COMPUTED_VALUE"""),0.62)</f>
        <v>0.62</v>
      </c>
      <c r="E541" s="1">
        <f>IFERROR(__xludf.DUMMYFUNCTION("""COMPUTED_VALUE"""),0.63)</f>
        <v>0.63</v>
      </c>
      <c r="F541" s="1">
        <f>IFERROR(__xludf.DUMMYFUNCTION("""COMPUTED_VALUE"""),174575.0)</f>
        <v>174575</v>
      </c>
    </row>
    <row r="542">
      <c r="A542" s="2">
        <f>IFERROR(__xludf.DUMMYFUNCTION("""COMPUTED_VALUE"""),39953.666666666664)</f>
        <v>39953.66667</v>
      </c>
      <c r="B542" s="1">
        <f>IFERROR(__xludf.DUMMYFUNCTION("""COMPUTED_VALUE"""),0.64)</f>
        <v>0.64</v>
      </c>
      <c r="C542" s="1">
        <f>IFERROR(__xludf.DUMMYFUNCTION("""COMPUTED_VALUE"""),0.65)</f>
        <v>0.65</v>
      </c>
      <c r="D542" s="1">
        <f>IFERROR(__xludf.DUMMYFUNCTION("""COMPUTED_VALUE"""),0.62)</f>
        <v>0.62</v>
      </c>
      <c r="E542" s="1">
        <f>IFERROR(__xludf.DUMMYFUNCTION("""COMPUTED_VALUE"""),0.65)</f>
        <v>0.65</v>
      </c>
      <c r="F542" s="1">
        <f>IFERROR(__xludf.DUMMYFUNCTION("""COMPUTED_VALUE"""),175795.0)</f>
        <v>175795</v>
      </c>
    </row>
    <row r="543">
      <c r="A543" s="2">
        <f>IFERROR(__xludf.DUMMYFUNCTION("""COMPUTED_VALUE"""),39954.666666666664)</f>
        <v>39954.66667</v>
      </c>
      <c r="B543" s="1">
        <f>IFERROR(__xludf.DUMMYFUNCTION("""COMPUTED_VALUE"""),0.63)</f>
        <v>0.63</v>
      </c>
      <c r="C543" s="1">
        <f>IFERROR(__xludf.DUMMYFUNCTION("""COMPUTED_VALUE"""),0.64)</f>
        <v>0.64</v>
      </c>
      <c r="D543" s="1">
        <f>IFERROR(__xludf.DUMMYFUNCTION("""COMPUTED_VALUE"""),0.62)</f>
        <v>0.62</v>
      </c>
      <c r="E543" s="1">
        <f>IFERROR(__xludf.DUMMYFUNCTION("""COMPUTED_VALUE"""),0.63)</f>
        <v>0.63</v>
      </c>
      <c r="F543" s="1">
        <f>IFERROR(__xludf.DUMMYFUNCTION("""COMPUTED_VALUE"""),185832.0)</f>
        <v>185832</v>
      </c>
    </row>
    <row r="544">
      <c r="A544" s="2">
        <f>IFERROR(__xludf.DUMMYFUNCTION("""COMPUTED_VALUE"""),39955.666666666664)</f>
        <v>39955.66667</v>
      </c>
      <c r="B544" s="1">
        <f>IFERROR(__xludf.DUMMYFUNCTION("""COMPUTED_VALUE"""),0.64)</f>
        <v>0.64</v>
      </c>
      <c r="C544" s="1">
        <f>IFERROR(__xludf.DUMMYFUNCTION("""COMPUTED_VALUE"""),0.64)</f>
        <v>0.64</v>
      </c>
      <c r="D544" s="1">
        <f>IFERROR(__xludf.DUMMYFUNCTION("""COMPUTED_VALUE"""),0.63)</f>
        <v>0.63</v>
      </c>
      <c r="E544" s="1">
        <f>IFERROR(__xludf.DUMMYFUNCTION("""COMPUTED_VALUE"""),0.64)</f>
        <v>0.64</v>
      </c>
      <c r="F544" s="1">
        <f>IFERROR(__xludf.DUMMYFUNCTION("""COMPUTED_VALUE"""),60055.0)</f>
        <v>60055</v>
      </c>
    </row>
    <row r="545">
      <c r="A545" s="2">
        <f>IFERROR(__xludf.DUMMYFUNCTION("""COMPUTED_VALUE"""),39959.666666666664)</f>
        <v>39959.66667</v>
      </c>
      <c r="B545" s="1">
        <f>IFERROR(__xludf.DUMMYFUNCTION("""COMPUTED_VALUE"""),0.63)</f>
        <v>0.63</v>
      </c>
      <c r="C545" s="1">
        <f>IFERROR(__xludf.DUMMYFUNCTION("""COMPUTED_VALUE"""),0.65)</f>
        <v>0.65</v>
      </c>
      <c r="D545" s="1">
        <f>IFERROR(__xludf.DUMMYFUNCTION("""COMPUTED_VALUE"""),0.62)</f>
        <v>0.62</v>
      </c>
      <c r="E545" s="1">
        <f>IFERROR(__xludf.DUMMYFUNCTION("""COMPUTED_VALUE"""),0.64)</f>
        <v>0.64</v>
      </c>
      <c r="F545" s="1">
        <f>IFERROR(__xludf.DUMMYFUNCTION("""COMPUTED_VALUE"""),139404.0)</f>
        <v>139404</v>
      </c>
    </row>
    <row r="546">
      <c r="A546" s="2">
        <f>IFERROR(__xludf.DUMMYFUNCTION("""COMPUTED_VALUE"""),39960.666666666664)</f>
        <v>39960.66667</v>
      </c>
      <c r="B546" s="1">
        <f>IFERROR(__xludf.DUMMYFUNCTION("""COMPUTED_VALUE"""),0.64)</f>
        <v>0.64</v>
      </c>
      <c r="C546" s="1">
        <f>IFERROR(__xludf.DUMMYFUNCTION("""COMPUTED_VALUE"""),0.66)</f>
        <v>0.66</v>
      </c>
      <c r="D546" s="1">
        <f>IFERROR(__xludf.DUMMYFUNCTION("""COMPUTED_VALUE"""),0.64)</f>
        <v>0.64</v>
      </c>
      <c r="E546" s="1">
        <f>IFERROR(__xludf.DUMMYFUNCTION("""COMPUTED_VALUE"""),0.65)</f>
        <v>0.65</v>
      </c>
      <c r="F546" s="1">
        <f>IFERROR(__xludf.DUMMYFUNCTION("""COMPUTED_VALUE"""),147957.0)</f>
        <v>147957</v>
      </c>
    </row>
    <row r="547">
      <c r="A547" s="2">
        <f>IFERROR(__xludf.DUMMYFUNCTION("""COMPUTED_VALUE"""),39961.666666666664)</f>
        <v>39961.66667</v>
      </c>
      <c r="B547" s="1">
        <f>IFERROR(__xludf.DUMMYFUNCTION("""COMPUTED_VALUE"""),0.65)</f>
        <v>0.65</v>
      </c>
      <c r="C547" s="1">
        <f>IFERROR(__xludf.DUMMYFUNCTION("""COMPUTED_VALUE"""),0.66)</f>
        <v>0.66</v>
      </c>
      <c r="D547" s="1">
        <f>IFERROR(__xludf.DUMMYFUNCTION("""COMPUTED_VALUE"""),0.64)</f>
        <v>0.64</v>
      </c>
      <c r="E547" s="1">
        <f>IFERROR(__xludf.DUMMYFUNCTION("""COMPUTED_VALUE"""),0.65)</f>
        <v>0.65</v>
      </c>
      <c r="F547" s="1">
        <f>IFERROR(__xludf.DUMMYFUNCTION("""COMPUTED_VALUE"""),217124.0)</f>
        <v>217124</v>
      </c>
    </row>
    <row r="548">
      <c r="A548" s="2">
        <f>IFERROR(__xludf.DUMMYFUNCTION("""COMPUTED_VALUE"""),39962.666666666664)</f>
        <v>39962.66667</v>
      </c>
      <c r="B548" s="1">
        <f>IFERROR(__xludf.DUMMYFUNCTION("""COMPUTED_VALUE"""),0.65)</f>
        <v>0.65</v>
      </c>
      <c r="C548" s="1">
        <f>IFERROR(__xludf.DUMMYFUNCTION("""COMPUTED_VALUE"""),0.67)</f>
        <v>0.67</v>
      </c>
      <c r="D548" s="1">
        <f>IFERROR(__xludf.DUMMYFUNCTION("""COMPUTED_VALUE"""),0.61)</f>
        <v>0.61</v>
      </c>
      <c r="E548" s="1">
        <f>IFERROR(__xludf.DUMMYFUNCTION("""COMPUTED_VALUE"""),0.67)</f>
        <v>0.67</v>
      </c>
      <c r="F548" s="1">
        <f>IFERROR(__xludf.DUMMYFUNCTION("""COMPUTED_VALUE"""),482280.0)</f>
        <v>482280</v>
      </c>
    </row>
    <row r="549">
      <c r="A549" s="2">
        <f>IFERROR(__xludf.DUMMYFUNCTION("""COMPUTED_VALUE"""),39965.666666666664)</f>
        <v>39965.66667</v>
      </c>
      <c r="B549" s="1">
        <f>IFERROR(__xludf.DUMMYFUNCTION("""COMPUTED_VALUE"""),0.66)</f>
        <v>0.66</v>
      </c>
      <c r="C549" s="1">
        <f>IFERROR(__xludf.DUMMYFUNCTION("""COMPUTED_VALUE"""),0.71)</f>
        <v>0.71</v>
      </c>
      <c r="D549" s="1">
        <f>IFERROR(__xludf.DUMMYFUNCTION("""COMPUTED_VALUE"""),0.66)</f>
        <v>0.66</v>
      </c>
      <c r="E549" s="1">
        <f>IFERROR(__xludf.DUMMYFUNCTION("""COMPUTED_VALUE"""),0.7)</f>
        <v>0.7</v>
      </c>
      <c r="F549" s="1">
        <f>IFERROR(__xludf.DUMMYFUNCTION("""COMPUTED_VALUE"""),219135.0)</f>
        <v>219135</v>
      </c>
    </row>
    <row r="550">
      <c r="A550" s="2">
        <f>IFERROR(__xludf.DUMMYFUNCTION("""COMPUTED_VALUE"""),39966.666666666664)</f>
        <v>39966.66667</v>
      </c>
      <c r="B550" s="1">
        <f>IFERROR(__xludf.DUMMYFUNCTION("""COMPUTED_VALUE"""),0.7)</f>
        <v>0.7</v>
      </c>
      <c r="C550" s="1">
        <f>IFERROR(__xludf.DUMMYFUNCTION("""COMPUTED_VALUE"""),0.71)</f>
        <v>0.71</v>
      </c>
      <c r="D550" s="1">
        <f>IFERROR(__xludf.DUMMYFUNCTION("""COMPUTED_VALUE"""),0.69)</f>
        <v>0.69</v>
      </c>
      <c r="E550" s="1">
        <f>IFERROR(__xludf.DUMMYFUNCTION("""COMPUTED_VALUE"""),0.7)</f>
        <v>0.7</v>
      </c>
      <c r="F550" s="1">
        <f>IFERROR(__xludf.DUMMYFUNCTION("""COMPUTED_VALUE"""),256937.0)</f>
        <v>256937</v>
      </c>
    </row>
    <row r="551">
      <c r="A551" s="2">
        <f>IFERROR(__xludf.DUMMYFUNCTION("""COMPUTED_VALUE"""),39967.666666666664)</f>
        <v>39967.66667</v>
      </c>
      <c r="B551" s="1">
        <f>IFERROR(__xludf.DUMMYFUNCTION("""COMPUTED_VALUE"""),0.7)</f>
        <v>0.7</v>
      </c>
      <c r="C551" s="1">
        <f>IFERROR(__xludf.DUMMYFUNCTION("""COMPUTED_VALUE"""),0.71)</f>
        <v>0.71</v>
      </c>
      <c r="D551" s="1">
        <f>IFERROR(__xludf.DUMMYFUNCTION("""COMPUTED_VALUE"""),0.7)</f>
        <v>0.7</v>
      </c>
      <c r="E551" s="1">
        <f>IFERROR(__xludf.DUMMYFUNCTION("""COMPUTED_VALUE"""),0.71)</f>
        <v>0.71</v>
      </c>
      <c r="F551" s="1">
        <f>IFERROR(__xludf.DUMMYFUNCTION("""COMPUTED_VALUE"""),89344.0)</f>
        <v>89344</v>
      </c>
    </row>
    <row r="552">
      <c r="A552" s="2">
        <f>IFERROR(__xludf.DUMMYFUNCTION("""COMPUTED_VALUE"""),39968.666666666664)</f>
        <v>39968.66667</v>
      </c>
      <c r="B552" s="1">
        <f>IFERROR(__xludf.DUMMYFUNCTION("""COMPUTED_VALUE"""),0.7)</f>
        <v>0.7</v>
      </c>
      <c r="C552" s="1">
        <f>IFERROR(__xludf.DUMMYFUNCTION("""COMPUTED_VALUE"""),0.73)</f>
        <v>0.73</v>
      </c>
      <c r="D552" s="1">
        <f>IFERROR(__xludf.DUMMYFUNCTION("""COMPUTED_VALUE"""),0.7)</f>
        <v>0.7</v>
      </c>
      <c r="E552" s="1">
        <f>IFERROR(__xludf.DUMMYFUNCTION("""COMPUTED_VALUE"""),0.73)</f>
        <v>0.73</v>
      </c>
      <c r="F552" s="1">
        <f>IFERROR(__xludf.DUMMYFUNCTION("""COMPUTED_VALUE"""),143653.0)</f>
        <v>143653</v>
      </c>
    </row>
    <row r="553">
      <c r="A553" s="2">
        <f>IFERROR(__xludf.DUMMYFUNCTION("""COMPUTED_VALUE"""),39969.666666666664)</f>
        <v>39969.66667</v>
      </c>
      <c r="B553" s="1">
        <f>IFERROR(__xludf.DUMMYFUNCTION("""COMPUTED_VALUE"""),0.72)</f>
        <v>0.72</v>
      </c>
      <c r="C553" s="1">
        <f>IFERROR(__xludf.DUMMYFUNCTION("""COMPUTED_VALUE"""),0.74)</f>
        <v>0.74</v>
      </c>
      <c r="D553" s="1">
        <f>IFERROR(__xludf.DUMMYFUNCTION("""COMPUTED_VALUE"""),0.72)</f>
        <v>0.72</v>
      </c>
      <c r="E553" s="1">
        <f>IFERROR(__xludf.DUMMYFUNCTION("""COMPUTED_VALUE"""),0.74)</f>
        <v>0.74</v>
      </c>
      <c r="F553" s="1">
        <f>IFERROR(__xludf.DUMMYFUNCTION("""COMPUTED_VALUE"""),118319.0)</f>
        <v>118319</v>
      </c>
    </row>
    <row r="554">
      <c r="A554" s="2">
        <f>IFERROR(__xludf.DUMMYFUNCTION("""COMPUTED_VALUE"""),39972.666666666664)</f>
        <v>39972.66667</v>
      </c>
      <c r="B554" s="1">
        <f>IFERROR(__xludf.DUMMYFUNCTION("""COMPUTED_VALUE"""),0.72)</f>
        <v>0.72</v>
      </c>
      <c r="C554" s="1">
        <f>IFERROR(__xludf.DUMMYFUNCTION("""COMPUTED_VALUE"""),0.75)</f>
        <v>0.75</v>
      </c>
      <c r="D554" s="1">
        <f>IFERROR(__xludf.DUMMYFUNCTION("""COMPUTED_VALUE"""),0.71)</f>
        <v>0.71</v>
      </c>
      <c r="E554" s="1">
        <f>IFERROR(__xludf.DUMMYFUNCTION("""COMPUTED_VALUE"""),0.73)</f>
        <v>0.73</v>
      </c>
      <c r="F554" s="1">
        <f>IFERROR(__xludf.DUMMYFUNCTION("""COMPUTED_VALUE"""),125605.0)</f>
        <v>125605</v>
      </c>
    </row>
    <row r="555">
      <c r="A555" s="2">
        <f>IFERROR(__xludf.DUMMYFUNCTION("""COMPUTED_VALUE"""),39973.666666666664)</f>
        <v>39973.66667</v>
      </c>
      <c r="B555" s="1">
        <f>IFERROR(__xludf.DUMMYFUNCTION("""COMPUTED_VALUE"""),0.73)</f>
        <v>0.73</v>
      </c>
      <c r="C555" s="1">
        <f>IFERROR(__xludf.DUMMYFUNCTION("""COMPUTED_VALUE"""),0.8)</f>
        <v>0.8</v>
      </c>
      <c r="D555" s="1">
        <f>IFERROR(__xludf.DUMMYFUNCTION("""COMPUTED_VALUE"""),0.73)</f>
        <v>0.73</v>
      </c>
      <c r="E555" s="1">
        <f>IFERROR(__xludf.DUMMYFUNCTION("""COMPUTED_VALUE"""),0.79)</f>
        <v>0.79</v>
      </c>
      <c r="F555" s="1">
        <f>IFERROR(__xludf.DUMMYFUNCTION("""COMPUTED_VALUE"""),281551.0)</f>
        <v>281551</v>
      </c>
    </row>
    <row r="556">
      <c r="A556" s="2">
        <f>IFERROR(__xludf.DUMMYFUNCTION("""COMPUTED_VALUE"""),39974.666666666664)</f>
        <v>39974.66667</v>
      </c>
      <c r="B556" s="1">
        <f>IFERROR(__xludf.DUMMYFUNCTION("""COMPUTED_VALUE"""),0.78)</f>
        <v>0.78</v>
      </c>
      <c r="C556" s="1">
        <f>IFERROR(__xludf.DUMMYFUNCTION("""COMPUTED_VALUE"""),0.81)</f>
        <v>0.81</v>
      </c>
      <c r="D556" s="1">
        <f>IFERROR(__xludf.DUMMYFUNCTION("""COMPUTED_VALUE"""),0.78)</f>
        <v>0.78</v>
      </c>
      <c r="E556" s="1">
        <f>IFERROR(__xludf.DUMMYFUNCTION("""COMPUTED_VALUE"""),0.81)</f>
        <v>0.81</v>
      </c>
      <c r="F556" s="1">
        <f>IFERROR(__xludf.DUMMYFUNCTION("""COMPUTED_VALUE"""),395415.0)</f>
        <v>395415</v>
      </c>
    </row>
    <row r="557">
      <c r="A557" s="2">
        <f>IFERROR(__xludf.DUMMYFUNCTION("""COMPUTED_VALUE"""),39975.666666666664)</f>
        <v>39975.66667</v>
      </c>
      <c r="B557" s="1">
        <f>IFERROR(__xludf.DUMMYFUNCTION("""COMPUTED_VALUE"""),0.8)</f>
        <v>0.8</v>
      </c>
      <c r="C557" s="1">
        <f>IFERROR(__xludf.DUMMYFUNCTION("""COMPUTED_VALUE"""),0.83)</f>
        <v>0.83</v>
      </c>
      <c r="D557" s="1">
        <f>IFERROR(__xludf.DUMMYFUNCTION("""COMPUTED_VALUE"""),0.8)</f>
        <v>0.8</v>
      </c>
      <c r="E557" s="1">
        <f>IFERROR(__xludf.DUMMYFUNCTION("""COMPUTED_VALUE"""),0.82)</f>
        <v>0.82</v>
      </c>
      <c r="F557" s="1">
        <f>IFERROR(__xludf.DUMMYFUNCTION("""COMPUTED_VALUE"""),289199.0)</f>
        <v>289199</v>
      </c>
    </row>
    <row r="558">
      <c r="A558" s="2">
        <f>IFERROR(__xludf.DUMMYFUNCTION("""COMPUTED_VALUE"""),39976.666666666664)</f>
        <v>39976.66667</v>
      </c>
      <c r="B558" s="1">
        <f>IFERROR(__xludf.DUMMYFUNCTION("""COMPUTED_VALUE"""),0.82)</f>
        <v>0.82</v>
      </c>
      <c r="C558" s="1">
        <f>IFERROR(__xludf.DUMMYFUNCTION("""COMPUTED_VALUE"""),0.85)</f>
        <v>0.85</v>
      </c>
      <c r="D558" s="1">
        <f>IFERROR(__xludf.DUMMYFUNCTION("""COMPUTED_VALUE"""),0.82)</f>
        <v>0.82</v>
      </c>
      <c r="E558" s="1">
        <f>IFERROR(__xludf.DUMMYFUNCTION("""COMPUTED_VALUE"""),0.83)</f>
        <v>0.83</v>
      </c>
      <c r="F558" s="1">
        <f>IFERROR(__xludf.DUMMYFUNCTION("""COMPUTED_VALUE"""),176304.0)</f>
        <v>176304</v>
      </c>
    </row>
    <row r="559">
      <c r="A559" s="2">
        <f>IFERROR(__xludf.DUMMYFUNCTION("""COMPUTED_VALUE"""),39979.666666666664)</f>
        <v>39979.66667</v>
      </c>
      <c r="B559" s="1">
        <f>IFERROR(__xludf.DUMMYFUNCTION("""COMPUTED_VALUE"""),0.8)</f>
        <v>0.8</v>
      </c>
      <c r="C559" s="1">
        <f>IFERROR(__xludf.DUMMYFUNCTION("""COMPUTED_VALUE"""),0.83)</f>
        <v>0.83</v>
      </c>
      <c r="D559" s="1">
        <f>IFERROR(__xludf.DUMMYFUNCTION("""COMPUTED_VALUE"""),0.8)</f>
        <v>0.8</v>
      </c>
      <c r="E559" s="1">
        <f>IFERROR(__xludf.DUMMYFUNCTION("""COMPUTED_VALUE"""),0.82)</f>
        <v>0.82</v>
      </c>
      <c r="F559" s="1">
        <f>IFERROR(__xludf.DUMMYFUNCTION("""COMPUTED_VALUE"""),209470.0)</f>
        <v>209470</v>
      </c>
    </row>
    <row r="560">
      <c r="A560" s="2">
        <f>IFERROR(__xludf.DUMMYFUNCTION("""COMPUTED_VALUE"""),39980.666666666664)</f>
        <v>39980.66667</v>
      </c>
      <c r="B560" s="1">
        <f>IFERROR(__xludf.DUMMYFUNCTION("""COMPUTED_VALUE"""),0.82)</f>
        <v>0.82</v>
      </c>
      <c r="C560" s="1">
        <f>IFERROR(__xludf.DUMMYFUNCTION("""COMPUTED_VALUE"""),0.83)</f>
        <v>0.83</v>
      </c>
      <c r="D560" s="1">
        <f>IFERROR(__xludf.DUMMYFUNCTION("""COMPUTED_VALUE"""),0.78)</f>
        <v>0.78</v>
      </c>
      <c r="E560" s="1">
        <f>IFERROR(__xludf.DUMMYFUNCTION("""COMPUTED_VALUE"""),0.78)</f>
        <v>0.78</v>
      </c>
      <c r="F560" s="1">
        <f>IFERROR(__xludf.DUMMYFUNCTION("""COMPUTED_VALUE"""),112213.0)</f>
        <v>112213</v>
      </c>
    </row>
    <row r="561">
      <c r="A561" s="2">
        <f>IFERROR(__xludf.DUMMYFUNCTION("""COMPUTED_VALUE"""),39981.666666666664)</f>
        <v>39981.66667</v>
      </c>
      <c r="B561" s="1">
        <f>IFERROR(__xludf.DUMMYFUNCTION("""COMPUTED_VALUE"""),0.78)</f>
        <v>0.78</v>
      </c>
      <c r="C561" s="1">
        <f>IFERROR(__xludf.DUMMYFUNCTION("""COMPUTED_VALUE"""),0.81)</f>
        <v>0.81</v>
      </c>
      <c r="D561" s="1">
        <f>IFERROR(__xludf.DUMMYFUNCTION("""COMPUTED_VALUE"""),0.76)</f>
        <v>0.76</v>
      </c>
      <c r="E561" s="1">
        <f>IFERROR(__xludf.DUMMYFUNCTION("""COMPUTED_VALUE"""),0.8)</f>
        <v>0.8</v>
      </c>
      <c r="F561" s="1">
        <f>IFERROR(__xludf.DUMMYFUNCTION("""COMPUTED_VALUE"""),73482.0)</f>
        <v>73482</v>
      </c>
    </row>
    <row r="562">
      <c r="A562" s="2">
        <f>IFERROR(__xludf.DUMMYFUNCTION("""COMPUTED_VALUE"""),39982.666666666664)</f>
        <v>39982.66667</v>
      </c>
      <c r="B562" s="1">
        <f>IFERROR(__xludf.DUMMYFUNCTION("""COMPUTED_VALUE"""),0.79)</f>
        <v>0.79</v>
      </c>
      <c r="C562" s="1">
        <f>IFERROR(__xludf.DUMMYFUNCTION("""COMPUTED_VALUE"""),0.81)</f>
        <v>0.81</v>
      </c>
      <c r="D562" s="1">
        <f>IFERROR(__xludf.DUMMYFUNCTION("""COMPUTED_VALUE"""),0.77)</f>
        <v>0.77</v>
      </c>
      <c r="E562" s="1">
        <f>IFERROR(__xludf.DUMMYFUNCTION("""COMPUTED_VALUE"""),0.78)</f>
        <v>0.78</v>
      </c>
      <c r="F562" s="1">
        <f>IFERROR(__xludf.DUMMYFUNCTION("""COMPUTED_VALUE"""),134482.0)</f>
        <v>134482</v>
      </c>
    </row>
    <row r="563">
      <c r="A563" s="2">
        <f>IFERROR(__xludf.DUMMYFUNCTION("""COMPUTED_VALUE"""),39983.666666666664)</f>
        <v>39983.66667</v>
      </c>
      <c r="B563" s="1">
        <f>IFERROR(__xludf.DUMMYFUNCTION("""COMPUTED_VALUE"""),0.77)</f>
        <v>0.77</v>
      </c>
      <c r="C563" s="1">
        <f>IFERROR(__xludf.DUMMYFUNCTION("""COMPUTED_VALUE"""),0.78)</f>
        <v>0.78</v>
      </c>
      <c r="D563" s="1">
        <f>IFERROR(__xludf.DUMMYFUNCTION("""COMPUTED_VALUE"""),0.75)</f>
        <v>0.75</v>
      </c>
      <c r="E563" s="1">
        <f>IFERROR(__xludf.DUMMYFUNCTION("""COMPUTED_VALUE"""),0.76)</f>
        <v>0.76</v>
      </c>
      <c r="F563" s="1">
        <f>IFERROR(__xludf.DUMMYFUNCTION("""COMPUTED_VALUE"""),209700.0)</f>
        <v>209700</v>
      </c>
    </row>
    <row r="564">
      <c r="A564" s="2">
        <f>IFERROR(__xludf.DUMMYFUNCTION("""COMPUTED_VALUE"""),39986.666666666664)</f>
        <v>39986.66667</v>
      </c>
      <c r="B564" s="1">
        <f>IFERROR(__xludf.DUMMYFUNCTION("""COMPUTED_VALUE"""),0.76)</f>
        <v>0.76</v>
      </c>
      <c r="C564" s="1">
        <f>IFERROR(__xludf.DUMMYFUNCTION("""COMPUTED_VALUE"""),0.76)</f>
        <v>0.76</v>
      </c>
      <c r="D564" s="1">
        <f>IFERROR(__xludf.DUMMYFUNCTION("""COMPUTED_VALUE"""),0.7)</f>
        <v>0.7</v>
      </c>
      <c r="E564" s="1">
        <f>IFERROR(__xludf.DUMMYFUNCTION("""COMPUTED_VALUE"""),0.7)</f>
        <v>0.7</v>
      </c>
      <c r="F564" s="1">
        <f>IFERROR(__xludf.DUMMYFUNCTION("""COMPUTED_VALUE"""),96293.0)</f>
        <v>96293</v>
      </c>
    </row>
    <row r="565">
      <c r="A565" s="2">
        <f>IFERROR(__xludf.DUMMYFUNCTION("""COMPUTED_VALUE"""),39987.666666666664)</f>
        <v>39987.66667</v>
      </c>
      <c r="B565" s="1">
        <f>IFERROR(__xludf.DUMMYFUNCTION("""COMPUTED_VALUE"""),0.71)</f>
        <v>0.71</v>
      </c>
      <c r="C565" s="1">
        <f>IFERROR(__xludf.DUMMYFUNCTION("""COMPUTED_VALUE"""),0.72)</f>
        <v>0.72</v>
      </c>
      <c r="D565" s="1">
        <f>IFERROR(__xludf.DUMMYFUNCTION("""COMPUTED_VALUE"""),0.68)</f>
        <v>0.68</v>
      </c>
      <c r="E565" s="1">
        <f>IFERROR(__xludf.DUMMYFUNCTION("""COMPUTED_VALUE"""),0.69)</f>
        <v>0.69</v>
      </c>
      <c r="F565" s="1">
        <f>IFERROR(__xludf.DUMMYFUNCTION("""COMPUTED_VALUE"""),117412.0)</f>
        <v>117412</v>
      </c>
    </row>
    <row r="566">
      <c r="A566" s="2">
        <f>IFERROR(__xludf.DUMMYFUNCTION("""COMPUTED_VALUE"""),39988.666666666664)</f>
        <v>39988.66667</v>
      </c>
      <c r="B566" s="1">
        <f>IFERROR(__xludf.DUMMYFUNCTION("""COMPUTED_VALUE"""),0.69)</f>
        <v>0.69</v>
      </c>
      <c r="C566" s="1">
        <f>IFERROR(__xludf.DUMMYFUNCTION("""COMPUTED_VALUE"""),0.74)</f>
        <v>0.74</v>
      </c>
      <c r="D566" s="1">
        <f>IFERROR(__xludf.DUMMYFUNCTION("""COMPUTED_VALUE"""),0.68)</f>
        <v>0.68</v>
      </c>
      <c r="E566" s="1">
        <f>IFERROR(__xludf.DUMMYFUNCTION("""COMPUTED_VALUE"""),0.72)</f>
        <v>0.72</v>
      </c>
      <c r="F566" s="1">
        <f>IFERROR(__xludf.DUMMYFUNCTION("""COMPUTED_VALUE"""),55630.0)</f>
        <v>55630</v>
      </c>
    </row>
    <row r="567">
      <c r="A567" s="2">
        <f>IFERROR(__xludf.DUMMYFUNCTION("""COMPUTED_VALUE"""),39989.666666666664)</f>
        <v>39989.66667</v>
      </c>
      <c r="B567" s="1">
        <f>IFERROR(__xludf.DUMMYFUNCTION("""COMPUTED_VALUE"""),0.71)</f>
        <v>0.71</v>
      </c>
      <c r="C567" s="1">
        <f>IFERROR(__xludf.DUMMYFUNCTION("""COMPUTED_VALUE"""),0.75)</f>
        <v>0.75</v>
      </c>
      <c r="D567" s="1">
        <f>IFERROR(__xludf.DUMMYFUNCTION("""COMPUTED_VALUE"""),0.7)</f>
        <v>0.7</v>
      </c>
      <c r="E567" s="1">
        <f>IFERROR(__xludf.DUMMYFUNCTION("""COMPUTED_VALUE"""),0.74)</f>
        <v>0.74</v>
      </c>
      <c r="F567" s="1">
        <f>IFERROR(__xludf.DUMMYFUNCTION("""COMPUTED_VALUE"""),52419.0)</f>
        <v>52419</v>
      </c>
    </row>
    <row r="568">
      <c r="A568" s="2">
        <f>IFERROR(__xludf.DUMMYFUNCTION("""COMPUTED_VALUE"""),39990.666666666664)</f>
        <v>39990.66667</v>
      </c>
      <c r="B568" s="1">
        <f>IFERROR(__xludf.DUMMYFUNCTION("""COMPUTED_VALUE"""),0.73)</f>
        <v>0.73</v>
      </c>
      <c r="C568" s="1">
        <f>IFERROR(__xludf.DUMMYFUNCTION("""COMPUTED_VALUE"""),0.81)</f>
        <v>0.81</v>
      </c>
      <c r="D568" s="1">
        <f>IFERROR(__xludf.DUMMYFUNCTION("""COMPUTED_VALUE"""),0.73)</f>
        <v>0.73</v>
      </c>
      <c r="E568" s="1">
        <f>IFERROR(__xludf.DUMMYFUNCTION("""COMPUTED_VALUE"""),0.8)</f>
        <v>0.8</v>
      </c>
      <c r="F568" s="1">
        <f>IFERROR(__xludf.DUMMYFUNCTION("""COMPUTED_VALUE"""),390094.0)</f>
        <v>390094</v>
      </c>
    </row>
    <row r="569">
      <c r="A569" s="2">
        <f>IFERROR(__xludf.DUMMYFUNCTION("""COMPUTED_VALUE"""),39993.666666666664)</f>
        <v>39993.66667</v>
      </c>
      <c r="B569" s="1">
        <f>IFERROR(__xludf.DUMMYFUNCTION("""COMPUTED_VALUE"""),0.8)</f>
        <v>0.8</v>
      </c>
      <c r="C569" s="1">
        <f>IFERROR(__xludf.DUMMYFUNCTION("""COMPUTED_VALUE"""),0.82)</f>
        <v>0.82</v>
      </c>
      <c r="D569" s="1">
        <f>IFERROR(__xludf.DUMMYFUNCTION("""COMPUTED_VALUE"""),0.78)</f>
        <v>0.78</v>
      </c>
      <c r="E569" s="1">
        <f>IFERROR(__xludf.DUMMYFUNCTION("""COMPUTED_VALUE"""),0.79)</f>
        <v>0.79</v>
      </c>
      <c r="F569" s="1">
        <f>IFERROR(__xludf.DUMMYFUNCTION("""COMPUTED_VALUE"""),175826.0)</f>
        <v>175826</v>
      </c>
    </row>
    <row r="570">
      <c r="A570" s="2">
        <f>IFERROR(__xludf.DUMMYFUNCTION("""COMPUTED_VALUE"""),39994.666666666664)</f>
        <v>39994.66667</v>
      </c>
      <c r="B570" s="1">
        <f>IFERROR(__xludf.DUMMYFUNCTION("""COMPUTED_VALUE"""),0.79)</f>
        <v>0.79</v>
      </c>
      <c r="C570" s="1">
        <f>IFERROR(__xludf.DUMMYFUNCTION("""COMPUTED_VALUE"""),0.82)</f>
        <v>0.82</v>
      </c>
      <c r="D570" s="1">
        <f>IFERROR(__xludf.DUMMYFUNCTION("""COMPUTED_VALUE"""),0.76)</f>
        <v>0.76</v>
      </c>
      <c r="E570" s="1">
        <f>IFERROR(__xludf.DUMMYFUNCTION("""COMPUTED_VALUE"""),0.77)</f>
        <v>0.77</v>
      </c>
      <c r="F570" s="1">
        <f>IFERROR(__xludf.DUMMYFUNCTION("""COMPUTED_VALUE"""),104505.0)</f>
        <v>104505</v>
      </c>
    </row>
    <row r="571">
      <c r="A571" s="2">
        <f>IFERROR(__xludf.DUMMYFUNCTION("""COMPUTED_VALUE"""),39995.666666666664)</f>
        <v>39995.66667</v>
      </c>
      <c r="B571" s="1">
        <f>IFERROR(__xludf.DUMMYFUNCTION("""COMPUTED_VALUE"""),0.78)</f>
        <v>0.78</v>
      </c>
      <c r="C571" s="1">
        <f>IFERROR(__xludf.DUMMYFUNCTION("""COMPUTED_VALUE"""),0.8)</f>
        <v>0.8</v>
      </c>
      <c r="D571" s="1">
        <f>IFERROR(__xludf.DUMMYFUNCTION("""COMPUTED_VALUE"""),0.77)</f>
        <v>0.77</v>
      </c>
      <c r="E571" s="1">
        <f>IFERROR(__xludf.DUMMYFUNCTION("""COMPUTED_VALUE"""),0.77)</f>
        <v>0.77</v>
      </c>
      <c r="F571" s="1">
        <f>IFERROR(__xludf.DUMMYFUNCTION("""COMPUTED_VALUE"""),87761.0)</f>
        <v>87761</v>
      </c>
    </row>
    <row r="572">
      <c r="A572" s="2">
        <f>IFERROR(__xludf.DUMMYFUNCTION("""COMPUTED_VALUE"""),39996.666666666664)</f>
        <v>39996.66667</v>
      </c>
      <c r="B572" s="1">
        <f>IFERROR(__xludf.DUMMYFUNCTION("""COMPUTED_VALUE"""),0.76)</f>
        <v>0.76</v>
      </c>
      <c r="C572" s="1">
        <f>IFERROR(__xludf.DUMMYFUNCTION("""COMPUTED_VALUE"""),0.77)</f>
        <v>0.77</v>
      </c>
      <c r="D572" s="1">
        <f>IFERROR(__xludf.DUMMYFUNCTION("""COMPUTED_VALUE"""),0.73)</f>
        <v>0.73</v>
      </c>
      <c r="E572" s="1">
        <f>IFERROR(__xludf.DUMMYFUNCTION("""COMPUTED_VALUE"""),0.76)</f>
        <v>0.76</v>
      </c>
      <c r="F572" s="1">
        <f>IFERROR(__xludf.DUMMYFUNCTION("""COMPUTED_VALUE"""),83672.0)</f>
        <v>83672</v>
      </c>
    </row>
    <row r="573">
      <c r="A573" s="2">
        <f>IFERROR(__xludf.DUMMYFUNCTION("""COMPUTED_VALUE"""),40000.666666666664)</f>
        <v>40000.66667</v>
      </c>
      <c r="B573" s="1">
        <f>IFERROR(__xludf.DUMMYFUNCTION("""COMPUTED_VALUE"""),0.76)</f>
        <v>0.76</v>
      </c>
      <c r="C573" s="1">
        <f>IFERROR(__xludf.DUMMYFUNCTION("""COMPUTED_VALUE"""),0.78)</f>
        <v>0.78</v>
      </c>
      <c r="D573" s="1">
        <f>IFERROR(__xludf.DUMMYFUNCTION("""COMPUTED_VALUE"""),0.75)</f>
        <v>0.75</v>
      </c>
      <c r="E573" s="1">
        <f>IFERROR(__xludf.DUMMYFUNCTION("""COMPUTED_VALUE"""),0.77)</f>
        <v>0.77</v>
      </c>
      <c r="F573" s="1">
        <f>IFERROR(__xludf.DUMMYFUNCTION("""COMPUTED_VALUE"""),46364.0)</f>
        <v>46364</v>
      </c>
    </row>
    <row r="574">
      <c r="A574" s="2">
        <f>IFERROR(__xludf.DUMMYFUNCTION("""COMPUTED_VALUE"""),40001.666666666664)</f>
        <v>40001.66667</v>
      </c>
      <c r="B574" s="1">
        <f>IFERROR(__xludf.DUMMYFUNCTION("""COMPUTED_VALUE"""),0.77)</f>
        <v>0.77</v>
      </c>
      <c r="C574" s="1">
        <f>IFERROR(__xludf.DUMMYFUNCTION("""COMPUTED_VALUE"""),0.78)</f>
        <v>0.78</v>
      </c>
      <c r="D574" s="1">
        <f>IFERROR(__xludf.DUMMYFUNCTION("""COMPUTED_VALUE"""),0.74)</f>
        <v>0.74</v>
      </c>
      <c r="E574" s="1">
        <f>IFERROR(__xludf.DUMMYFUNCTION("""COMPUTED_VALUE"""),0.74)</f>
        <v>0.74</v>
      </c>
      <c r="F574" s="1">
        <f>IFERROR(__xludf.DUMMYFUNCTION("""COMPUTED_VALUE"""),42917.0)</f>
        <v>42917</v>
      </c>
    </row>
    <row r="575">
      <c r="A575" s="2">
        <f>IFERROR(__xludf.DUMMYFUNCTION("""COMPUTED_VALUE"""),40002.666666666664)</f>
        <v>40002.66667</v>
      </c>
      <c r="B575" s="1">
        <f>IFERROR(__xludf.DUMMYFUNCTION("""COMPUTED_VALUE"""),0.74)</f>
        <v>0.74</v>
      </c>
      <c r="C575" s="1">
        <f>IFERROR(__xludf.DUMMYFUNCTION("""COMPUTED_VALUE"""),0.75)</f>
        <v>0.75</v>
      </c>
      <c r="D575" s="1">
        <f>IFERROR(__xludf.DUMMYFUNCTION("""COMPUTED_VALUE"""),0.7)</f>
        <v>0.7</v>
      </c>
      <c r="E575" s="1">
        <f>IFERROR(__xludf.DUMMYFUNCTION("""COMPUTED_VALUE"""),0.73)</f>
        <v>0.73</v>
      </c>
      <c r="F575" s="1">
        <f>IFERROR(__xludf.DUMMYFUNCTION("""COMPUTED_VALUE"""),45416.0)</f>
        <v>45416</v>
      </c>
    </row>
    <row r="576">
      <c r="A576" s="2">
        <f>IFERROR(__xludf.DUMMYFUNCTION("""COMPUTED_VALUE"""),40003.666666666664)</f>
        <v>40003.66667</v>
      </c>
      <c r="B576" s="1">
        <f>IFERROR(__xludf.DUMMYFUNCTION("""COMPUTED_VALUE"""),0.73)</f>
        <v>0.73</v>
      </c>
      <c r="C576" s="1">
        <f>IFERROR(__xludf.DUMMYFUNCTION("""COMPUTED_VALUE"""),0.74)</f>
        <v>0.74</v>
      </c>
      <c r="D576" s="1">
        <f>IFERROR(__xludf.DUMMYFUNCTION("""COMPUTED_VALUE"""),0.69)</f>
        <v>0.69</v>
      </c>
      <c r="E576" s="1">
        <f>IFERROR(__xludf.DUMMYFUNCTION("""COMPUTED_VALUE"""),0.71)</f>
        <v>0.71</v>
      </c>
      <c r="F576" s="1">
        <f>IFERROR(__xludf.DUMMYFUNCTION("""COMPUTED_VALUE"""),43689.0)</f>
        <v>43689</v>
      </c>
    </row>
    <row r="577">
      <c r="A577" s="2">
        <f>IFERROR(__xludf.DUMMYFUNCTION("""COMPUTED_VALUE"""),40004.666666666664)</f>
        <v>40004.66667</v>
      </c>
      <c r="B577" s="1">
        <f>IFERROR(__xludf.DUMMYFUNCTION("""COMPUTED_VALUE"""),0.71)</f>
        <v>0.71</v>
      </c>
      <c r="C577" s="1">
        <f>IFERROR(__xludf.DUMMYFUNCTION("""COMPUTED_VALUE"""),0.72)</f>
        <v>0.72</v>
      </c>
      <c r="D577" s="1">
        <f>IFERROR(__xludf.DUMMYFUNCTION("""COMPUTED_VALUE"""),0.7)</f>
        <v>0.7</v>
      </c>
      <c r="E577" s="1">
        <f>IFERROR(__xludf.DUMMYFUNCTION("""COMPUTED_VALUE"""),0.72)</f>
        <v>0.72</v>
      </c>
      <c r="F577" s="1">
        <f>IFERROR(__xludf.DUMMYFUNCTION("""COMPUTED_VALUE"""),39946.0)</f>
        <v>39946</v>
      </c>
    </row>
    <row r="578">
      <c r="A578" s="2">
        <f>IFERROR(__xludf.DUMMYFUNCTION("""COMPUTED_VALUE"""),40007.666666666664)</f>
        <v>40007.66667</v>
      </c>
      <c r="B578" s="1">
        <f>IFERROR(__xludf.DUMMYFUNCTION("""COMPUTED_VALUE"""),0.72)</f>
        <v>0.72</v>
      </c>
      <c r="C578" s="1">
        <f>IFERROR(__xludf.DUMMYFUNCTION("""COMPUTED_VALUE"""),0.79)</f>
        <v>0.79</v>
      </c>
      <c r="D578" s="1">
        <f>IFERROR(__xludf.DUMMYFUNCTION("""COMPUTED_VALUE"""),0.71)</f>
        <v>0.71</v>
      </c>
      <c r="E578" s="1">
        <f>IFERROR(__xludf.DUMMYFUNCTION("""COMPUTED_VALUE"""),0.79)</f>
        <v>0.79</v>
      </c>
      <c r="F578" s="1">
        <f>IFERROR(__xludf.DUMMYFUNCTION("""COMPUTED_VALUE"""),63862.0)</f>
        <v>63862</v>
      </c>
    </row>
    <row r="579">
      <c r="A579" s="2">
        <f>IFERROR(__xludf.DUMMYFUNCTION("""COMPUTED_VALUE"""),40008.666666666664)</f>
        <v>40008.66667</v>
      </c>
      <c r="B579" s="1">
        <f>IFERROR(__xludf.DUMMYFUNCTION("""COMPUTED_VALUE"""),0.78)</f>
        <v>0.78</v>
      </c>
      <c r="C579" s="1">
        <f>IFERROR(__xludf.DUMMYFUNCTION("""COMPUTED_VALUE"""),0.79)</f>
        <v>0.79</v>
      </c>
      <c r="D579" s="1">
        <f>IFERROR(__xludf.DUMMYFUNCTION("""COMPUTED_VALUE"""),0.74)</f>
        <v>0.74</v>
      </c>
      <c r="E579" s="1">
        <f>IFERROR(__xludf.DUMMYFUNCTION("""COMPUTED_VALUE"""),0.78)</f>
        <v>0.78</v>
      </c>
      <c r="F579" s="1">
        <f>IFERROR(__xludf.DUMMYFUNCTION("""COMPUTED_VALUE"""),26935.0)</f>
        <v>26935</v>
      </c>
    </row>
    <row r="580">
      <c r="A580" s="2">
        <f>IFERROR(__xludf.DUMMYFUNCTION("""COMPUTED_VALUE"""),40009.666666666664)</f>
        <v>40009.66667</v>
      </c>
      <c r="B580" s="1">
        <f>IFERROR(__xludf.DUMMYFUNCTION("""COMPUTED_VALUE"""),0.79)</f>
        <v>0.79</v>
      </c>
      <c r="C580" s="1">
        <f>IFERROR(__xludf.DUMMYFUNCTION("""COMPUTED_VALUE"""),0.83)</f>
        <v>0.83</v>
      </c>
      <c r="D580" s="1">
        <f>IFERROR(__xludf.DUMMYFUNCTION("""COMPUTED_VALUE"""),0.78)</f>
        <v>0.78</v>
      </c>
      <c r="E580" s="1">
        <f>IFERROR(__xludf.DUMMYFUNCTION("""COMPUTED_VALUE"""),0.83)</f>
        <v>0.83</v>
      </c>
      <c r="F580" s="1">
        <f>IFERROR(__xludf.DUMMYFUNCTION("""COMPUTED_VALUE"""),79590.0)</f>
        <v>79590</v>
      </c>
    </row>
    <row r="581">
      <c r="A581" s="2">
        <f>IFERROR(__xludf.DUMMYFUNCTION("""COMPUTED_VALUE"""),40010.666666666664)</f>
        <v>40010.66667</v>
      </c>
      <c r="B581" s="1">
        <f>IFERROR(__xludf.DUMMYFUNCTION("""COMPUTED_VALUE"""),0.82)</f>
        <v>0.82</v>
      </c>
      <c r="C581" s="1">
        <f>IFERROR(__xludf.DUMMYFUNCTION("""COMPUTED_VALUE"""),0.82)</f>
        <v>0.82</v>
      </c>
      <c r="D581" s="1">
        <f>IFERROR(__xludf.DUMMYFUNCTION("""COMPUTED_VALUE"""),0.78)</f>
        <v>0.78</v>
      </c>
      <c r="E581" s="1">
        <f>IFERROR(__xludf.DUMMYFUNCTION("""COMPUTED_VALUE"""),0.81)</f>
        <v>0.81</v>
      </c>
      <c r="F581" s="1">
        <f>IFERROR(__xludf.DUMMYFUNCTION("""COMPUTED_VALUE"""),65826.0)</f>
        <v>65826</v>
      </c>
    </row>
    <row r="582">
      <c r="A582" s="2">
        <f>IFERROR(__xludf.DUMMYFUNCTION("""COMPUTED_VALUE"""),40011.666666666664)</f>
        <v>40011.66667</v>
      </c>
      <c r="B582" s="1">
        <f>IFERROR(__xludf.DUMMYFUNCTION("""COMPUTED_VALUE"""),0.81)</f>
        <v>0.81</v>
      </c>
      <c r="C582" s="1">
        <f>IFERROR(__xludf.DUMMYFUNCTION("""COMPUTED_VALUE"""),0.81)</f>
        <v>0.81</v>
      </c>
      <c r="D582" s="1">
        <f>IFERROR(__xludf.DUMMYFUNCTION("""COMPUTED_VALUE"""),0.76)</f>
        <v>0.76</v>
      </c>
      <c r="E582" s="1">
        <f>IFERROR(__xludf.DUMMYFUNCTION("""COMPUTED_VALUE"""),0.78)</f>
        <v>0.78</v>
      </c>
      <c r="F582" s="1">
        <f>IFERROR(__xludf.DUMMYFUNCTION("""COMPUTED_VALUE"""),59894.0)</f>
        <v>59894</v>
      </c>
    </row>
    <row r="583">
      <c r="A583" s="2">
        <f>IFERROR(__xludf.DUMMYFUNCTION("""COMPUTED_VALUE"""),40014.666666666664)</f>
        <v>40014.66667</v>
      </c>
      <c r="B583" s="1">
        <f>IFERROR(__xludf.DUMMYFUNCTION("""COMPUTED_VALUE"""),0.79)</f>
        <v>0.79</v>
      </c>
      <c r="C583" s="1">
        <f>IFERROR(__xludf.DUMMYFUNCTION("""COMPUTED_VALUE"""),0.8)</f>
        <v>0.8</v>
      </c>
      <c r="D583" s="1">
        <f>IFERROR(__xludf.DUMMYFUNCTION("""COMPUTED_VALUE"""),0.77)</f>
        <v>0.77</v>
      </c>
      <c r="E583" s="1">
        <f>IFERROR(__xludf.DUMMYFUNCTION("""COMPUTED_VALUE"""),0.78)</f>
        <v>0.78</v>
      </c>
      <c r="F583" s="1">
        <f>IFERROR(__xludf.DUMMYFUNCTION("""COMPUTED_VALUE"""),39851.0)</f>
        <v>39851</v>
      </c>
    </row>
    <row r="584">
      <c r="A584" s="2">
        <f>IFERROR(__xludf.DUMMYFUNCTION("""COMPUTED_VALUE"""),40015.666666666664)</f>
        <v>40015.66667</v>
      </c>
      <c r="B584" s="1">
        <f>IFERROR(__xludf.DUMMYFUNCTION("""COMPUTED_VALUE"""),0.77)</f>
        <v>0.77</v>
      </c>
      <c r="C584" s="1">
        <f>IFERROR(__xludf.DUMMYFUNCTION("""COMPUTED_VALUE"""),0.78)</f>
        <v>0.78</v>
      </c>
      <c r="D584" s="1">
        <f>IFERROR(__xludf.DUMMYFUNCTION("""COMPUTED_VALUE"""),0.76)</f>
        <v>0.76</v>
      </c>
      <c r="E584" s="1">
        <f>IFERROR(__xludf.DUMMYFUNCTION("""COMPUTED_VALUE"""),0.78)</f>
        <v>0.78</v>
      </c>
      <c r="F584" s="1">
        <f>IFERROR(__xludf.DUMMYFUNCTION("""COMPUTED_VALUE"""),33633.0)</f>
        <v>33633</v>
      </c>
    </row>
    <row r="585">
      <c r="A585" s="2">
        <f>IFERROR(__xludf.DUMMYFUNCTION("""COMPUTED_VALUE"""),40016.666666666664)</f>
        <v>40016.66667</v>
      </c>
      <c r="B585" s="1">
        <f>IFERROR(__xludf.DUMMYFUNCTION("""COMPUTED_VALUE"""),0.77)</f>
        <v>0.77</v>
      </c>
      <c r="C585" s="1">
        <f>IFERROR(__xludf.DUMMYFUNCTION("""COMPUTED_VALUE"""),0.78)</f>
        <v>0.78</v>
      </c>
      <c r="D585" s="1">
        <f>IFERROR(__xludf.DUMMYFUNCTION("""COMPUTED_VALUE"""),0.76)</f>
        <v>0.76</v>
      </c>
      <c r="E585" s="1">
        <f>IFERROR(__xludf.DUMMYFUNCTION("""COMPUTED_VALUE"""),0.78)</f>
        <v>0.78</v>
      </c>
      <c r="F585" s="1">
        <f>IFERROR(__xludf.DUMMYFUNCTION("""COMPUTED_VALUE"""),52675.0)</f>
        <v>52675</v>
      </c>
    </row>
    <row r="586">
      <c r="A586" s="2">
        <f>IFERROR(__xludf.DUMMYFUNCTION("""COMPUTED_VALUE"""),40017.666666666664)</f>
        <v>40017.66667</v>
      </c>
      <c r="B586" s="1">
        <f>IFERROR(__xludf.DUMMYFUNCTION("""COMPUTED_VALUE"""),0.77)</f>
        <v>0.77</v>
      </c>
      <c r="C586" s="1">
        <f>IFERROR(__xludf.DUMMYFUNCTION("""COMPUTED_VALUE"""),0.78)</f>
        <v>0.78</v>
      </c>
      <c r="D586" s="1">
        <f>IFERROR(__xludf.DUMMYFUNCTION("""COMPUTED_VALUE"""),0.77)</f>
        <v>0.77</v>
      </c>
      <c r="E586" s="1">
        <f>IFERROR(__xludf.DUMMYFUNCTION("""COMPUTED_VALUE"""),0.78)</f>
        <v>0.78</v>
      </c>
      <c r="F586" s="1">
        <f>IFERROR(__xludf.DUMMYFUNCTION("""COMPUTED_VALUE"""),85683.0)</f>
        <v>85683</v>
      </c>
    </row>
    <row r="587">
      <c r="A587" s="2">
        <f>IFERROR(__xludf.DUMMYFUNCTION("""COMPUTED_VALUE"""),40018.666666666664)</f>
        <v>40018.66667</v>
      </c>
      <c r="B587" s="1">
        <f>IFERROR(__xludf.DUMMYFUNCTION("""COMPUTED_VALUE"""),0.78)</f>
        <v>0.78</v>
      </c>
      <c r="C587" s="1">
        <f>IFERROR(__xludf.DUMMYFUNCTION("""COMPUTED_VALUE"""),0.78)</f>
        <v>0.78</v>
      </c>
      <c r="D587" s="1">
        <f>IFERROR(__xludf.DUMMYFUNCTION("""COMPUTED_VALUE"""),0.77)</f>
        <v>0.77</v>
      </c>
      <c r="E587" s="1">
        <f>IFERROR(__xludf.DUMMYFUNCTION("""COMPUTED_VALUE"""),0.77)</f>
        <v>0.77</v>
      </c>
      <c r="F587" s="1">
        <f>IFERROR(__xludf.DUMMYFUNCTION("""COMPUTED_VALUE"""),45821.0)</f>
        <v>45821</v>
      </c>
    </row>
    <row r="588">
      <c r="A588" s="2">
        <f>IFERROR(__xludf.DUMMYFUNCTION("""COMPUTED_VALUE"""),40021.666666666664)</f>
        <v>40021.66667</v>
      </c>
      <c r="B588" s="1">
        <f>IFERROR(__xludf.DUMMYFUNCTION("""COMPUTED_VALUE"""),0.78)</f>
        <v>0.78</v>
      </c>
      <c r="C588" s="1">
        <f>IFERROR(__xludf.DUMMYFUNCTION("""COMPUTED_VALUE"""),0.78)</f>
        <v>0.78</v>
      </c>
      <c r="D588" s="1">
        <f>IFERROR(__xludf.DUMMYFUNCTION("""COMPUTED_VALUE"""),0.77)</f>
        <v>0.77</v>
      </c>
      <c r="E588" s="1">
        <f>IFERROR(__xludf.DUMMYFUNCTION("""COMPUTED_VALUE"""),0.78)</f>
        <v>0.78</v>
      </c>
      <c r="F588" s="1">
        <f>IFERROR(__xludf.DUMMYFUNCTION("""COMPUTED_VALUE"""),39583.0)</f>
        <v>39583</v>
      </c>
    </row>
    <row r="589">
      <c r="A589" s="2">
        <f>IFERROR(__xludf.DUMMYFUNCTION("""COMPUTED_VALUE"""),40022.666666666664)</f>
        <v>40022.66667</v>
      </c>
      <c r="B589" s="1">
        <f>IFERROR(__xludf.DUMMYFUNCTION("""COMPUTED_VALUE"""),0.79)</f>
        <v>0.79</v>
      </c>
      <c r="C589" s="1">
        <f>IFERROR(__xludf.DUMMYFUNCTION("""COMPUTED_VALUE"""),0.8)</f>
        <v>0.8</v>
      </c>
      <c r="D589" s="1">
        <f>IFERROR(__xludf.DUMMYFUNCTION("""COMPUTED_VALUE"""),0.77)</f>
        <v>0.77</v>
      </c>
      <c r="E589" s="1">
        <f>IFERROR(__xludf.DUMMYFUNCTION("""COMPUTED_VALUE"""),0.8)</f>
        <v>0.8</v>
      </c>
      <c r="F589" s="1">
        <f>IFERROR(__xludf.DUMMYFUNCTION("""COMPUTED_VALUE"""),44687.0)</f>
        <v>44687</v>
      </c>
    </row>
    <row r="590">
      <c r="A590" s="2">
        <f>IFERROR(__xludf.DUMMYFUNCTION("""COMPUTED_VALUE"""),40023.666666666664)</f>
        <v>40023.66667</v>
      </c>
      <c r="B590" s="1">
        <f>IFERROR(__xludf.DUMMYFUNCTION("""COMPUTED_VALUE"""),0.79)</f>
        <v>0.79</v>
      </c>
      <c r="C590" s="1">
        <f>IFERROR(__xludf.DUMMYFUNCTION("""COMPUTED_VALUE"""),0.8)</f>
        <v>0.8</v>
      </c>
      <c r="D590" s="1">
        <f>IFERROR(__xludf.DUMMYFUNCTION("""COMPUTED_VALUE"""),0.78)</f>
        <v>0.78</v>
      </c>
      <c r="E590" s="1">
        <f>IFERROR(__xludf.DUMMYFUNCTION("""COMPUTED_VALUE"""),0.8)</f>
        <v>0.8</v>
      </c>
      <c r="F590" s="1">
        <f>IFERROR(__xludf.DUMMYFUNCTION("""COMPUTED_VALUE"""),24217.0)</f>
        <v>24217</v>
      </c>
    </row>
    <row r="591">
      <c r="A591" s="2">
        <f>IFERROR(__xludf.DUMMYFUNCTION("""COMPUTED_VALUE"""),40024.666666666664)</f>
        <v>40024.66667</v>
      </c>
      <c r="B591" s="1">
        <f>IFERROR(__xludf.DUMMYFUNCTION("""COMPUTED_VALUE"""),0.8)</f>
        <v>0.8</v>
      </c>
      <c r="C591" s="1">
        <f>IFERROR(__xludf.DUMMYFUNCTION("""COMPUTED_VALUE"""),0.82)</f>
        <v>0.82</v>
      </c>
      <c r="D591" s="1">
        <f>IFERROR(__xludf.DUMMYFUNCTION("""COMPUTED_VALUE"""),0.79)</f>
        <v>0.79</v>
      </c>
      <c r="E591" s="1">
        <f>IFERROR(__xludf.DUMMYFUNCTION("""COMPUTED_VALUE"""),0.8)</f>
        <v>0.8</v>
      </c>
      <c r="F591" s="1">
        <f>IFERROR(__xludf.DUMMYFUNCTION("""COMPUTED_VALUE"""),56549.0)</f>
        <v>56549</v>
      </c>
    </row>
    <row r="592">
      <c r="A592" s="2">
        <f>IFERROR(__xludf.DUMMYFUNCTION("""COMPUTED_VALUE"""),40025.666666666664)</f>
        <v>40025.66667</v>
      </c>
      <c r="B592" s="1">
        <f>IFERROR(__xludf.DUMMYFUNCTION("""COMPUTED_VALUE"""),0.8)</f>
        <v>0.8</v>
      </c>
      <c r="C592" s="1">
        <f>IFERROR(__xludf.DUMMYFUNCTION("""COMPUTED_VALUE"""),0.8)</f>
        <v>0.8</v>
      </c>
      <c r="D592" s="1">
        <f>IFERROR(__xludf.DUMMYFUNCTION("""COMPUTED_VALUE"""),0.79)</f>
        <v>0.79</v>
      </c>
      <c r="E592" s="1">
        <f>IFERROR(__xludf.DUMMYFUNCTION("""COMPUTED_VALUE"""),0.79)</f>
        <v>0.79</v>
      </c>
      <c r="F592" s="1">
        <f>IFERROR(__xludf.DUMMYFUNCTION("""COMPUTED_VALUE"""),40621.0)</f>
        <v>40621</v>
      </c>
    </row>
    <row r="593">
      <c r="A593" s="2">
        <f>IFERROR(__xludf.DUMMYFUNCTION("""COMPUTED_VALUE"""),40028.666666666664)</f>
        <v>40028.66667</v>
      </c>
      <c r="B593" s="1">
        <f>IFERROR(__xludf.DUMMYFUNCTION("""COMPUTED_VALUE"""),0.78)</f>
        <v>0.78</v>
      </c>
      <c r="C593" s="1">
        <f>IFERROR(__xludf.DUMMYFUNCTION("""COMPUTED_VALUE"""),0.8)</f>
        <v>0.8</v>
      </c>
      <c r="D593" s="1">
        <f>IFERROR(__xludf.DUMMYFUNCTION("""COMPUTED_VALUE"""),0.77)</f>
        <v>0.77</v>
      </c>
      <c r="E593" s="1">
        <f>IFERROR(__xludf.DUMMYFUNCTION("""COMPUTED_VALUE"""),0.8)</f>
        <v>0.8</v>
      </c>
      <c r="F593" s="1">
        <f>IFERROR(__xludf.DUMMYFUNCTION("""COMPUTED_VALUE"""),49980.0)</f>
        <v>49980</v>
      </c>
    </row>
    <row r="594">
      <c r="A594" s="2">
        <f>IFERROR(__xludf.DUMMYFUNCTION("""COMPUTED_VALUE"""),40029.666666666664)</f>
        <v>40029.66667</v>
      </c>
      <c r="B594" s="1">
        <f>IFERROR(__xludf.DUMMYFUNCTION("""COMPUTED_VALUE"""),0.79)</f>
        <v>0.79</v>
      </c>
      <c r="C594" s="1">
        <f>IFERROR(__xludf.DUMMYFUNCTION("""COMPUTED_VALUE"""),0.81)</f>
        <v>0.81</v>
      </c>
      <c r="D594" s="1">
        <f>IFERROR(__xludf.DUMMYFUNCTION("""COMPUTED_VALUE"""),0.77)</f>
        <v>0.77</v>
      </c>
      <c r="E594" s="1">
        <f>IFERROR(__xludf.DUMMYFUNCTION("""COMPUTED_VALUE"""),0.8)</f>
        <v>0.8</v>
      </c>
      <c r="F594" s="1">
        <f>IFERROR(__xludf.DUMMYFUNCTION("""COMPUTED_VALUE"""),35754.0)</f>
        <v>35754</v>
      </c>
    </row>
    <row r="595">
      <c r="A595" s="2">
        <f>IFERROR(__xludf.DUMMYFUNCTION("""COMPUTED_VALUE"""),40030.666666666664)</f>
        <v>40030.66667</v>
      </c>
      <c r="B595" s="1">
        <f>IFERROR(__xludf.DUMMYFUNCTION("""COMPUTED_VALUE"""),0.79)</f>
        <v>0.79</v>
      </c>
      <c r="C595" s="1">
        <f>IFERROR(__xludf.DUMMYFUNCTION("""COMPUTED_VALUE"""),0.8)</f>
        <v>0.8</v>
      </c>
      <c r="D595" s="1">
        <f>IFERROR(__xludf.DUMMYFUNCTION("""COMPUTED_VALUE"""),0.73)</f>
        <v>0.73</v>
      </c>
      <c r="E595" s="1">
        <f>IFERROR(__xludf.DUMMYFUNCTION("""COMPUTED_VALUE"""),0.77)</f>
        <v>0.77</v>
      </c>
      <c r="F595" s="1">
        <f>IFERROR(__xludf.DUMMYFUNCTION("""COMPUTED_VALUE"""),53730.0)</f>
        <v>53730</v>
      </c>
    </row>
    <row r="596">
      <c r="A596" s="2">
        <f>IFERROR(__xludf.DUMMYFUNCTION("""COMPUTED_VALUE"""),40031.666666666664)</f>
        <v>40031.66667</v>
      </c>
      <c r="B596" s="1">
        <f>IFERROR(__xludf.DUMMYFUNCTION("""COMPUTED_VALUE"""),0.79)</f>
        <v>0.79</v>
      </c>
      <c r="C596" s="1">
        <f>IFERROR(__xludf.DUMMYFUNCTION("""COMPUTED_VALUE"""),0.8)</f>
        <v>0.8</v>
      </c>
      <c r="D596" s="1">
        <f>IFERROR(__xludf.DUMMYFUNCTION("""COMPUTED_VALUE"""),0.74)</f>
        <v>0.74</v>
      </c>
      <c r="E596" s="1">
        <f>IFERROR(__xludf.DUMMYFUNCTION("""COMPUTED_VALUE"""),0.77)</f>
        <v>0.77</v>
      </c>
      <c r="F596" s="1">
        <f>IFERROR(__xludf.DUMMYFUNCTION("""COMPUTED_VALUE"""),42168.0)</f>
        <v>42168</v>
      </c>
    </row>
    <row r="597">
      <c r="A597" s="2">
        <f>IFERROR(__xludf.DUMMYFUNCTION("""COMPUTED_VALUE"""),40032.666666666664)</f>
        <v>40032.66667</v>
      </c>
      <c r="B597" s="1">
        <f>IFERROR(__xludf.DUMMYFUNCTION("""COMPUTED_VALUE"""),0.77)</f>
        <v>0.77</v>
      </c>
      <c r="C597" s="1">
        <f>IFERROR(__xludf.DUMMYFUNCTION("""COMPUTED_VALUE"""),0.79)</f>
        <v>0.79</v>
      </c>
      <c r="D597" s="1">
        <f>IFERROR(__xludf.DUMMYFUNCTION("""COMPUTED_VALUE"""),0.76)</f>
        <v>0.76</v>
      </c>
      <c r="E597" s="1">
        <f>IFERROR(__xludf.DUMMYFUNCTION("""COMPUTED_VALUE"""),0.77)</f>
        <v>0.77</v>
      </c>
      <c r="F597" s="1">
        <f>IFERROR(__xludf.DUMMYFUNCTION("""COMPUTED_VALUE"""),98152.0)</f>
        <v>98152</v>
      </c>
    </row>
    <row r="598">
      <c r="A598" s="2">
        <f>IFERROR(__xludf.DUMMYFUNCTION("""COMPUTED_VALUE"""),40035.666666666664)</f>
        <v>40035.66667</v>
      </c>
      <c r="B598" s="1">
        <f>IFERROR(__xludf.DUMMYFUNCTION("""COMPUTED_VALUE"""),0.76)</f>
        <v>0.76</v>
      </c>
      <c r="C598" s="1">
        <f>IFERROR(__xludf.DUMMYFUNCTION("""COMPUTED_VALUE"""),0.78)</f>
        <v>0.78</v>
      </c>
      <c r="D598" s="1">
        <f>IFERROR(__xludf.DUMMYFUNCTION("""COMPUTED_VALUE"""),0.74)</f>
        <v>0.74</v>
      </c>
      <c r="E598" s="1">
        <f>IFERROR(__xludf.DUMMYFUNCTION("""COMPUTED_VALUE"""),0.74)</f>
        <v>0.74</v>
      </c>
      <c r="F598" s="1">
        <f>IFERROR(__xludf.DUMMYFUNCTION("""COMPUTED_VALUE"""),55408.0)</f>
        <v>55408</v>
      </c>
    </row>
    <row r="599">
      <c r="A599" s="2">
        <f>IFERROR(__xludf.DUMMYFUNCTION("""COMPUTED_VALUE"""),40036.666666666664)</f>
        <v>40036.66667</v>
      </c>
      <c r="B599" s="1">
        <f>IFERROR(__xludf.DUMMYFUNCTION("""COMPUTED_VALUE"""),0.75)</f>
        <v>0.75</v>
      </c>
      <c r="C599" s="1">
        <f>IFERROR(__xludf.DUMMYFUNCTION("""COMPUTED_VALUE"""),0.77)</f>
        <v>0.77</v>
      </c>
      <c r="D599" s="1">
        <f>IFERROR(__xludf.DUMMYFUNCTION("""COMPUTED_VALUE"""),0.71)</f>
        <v>0.71</v>
      </c>
      <c r="E599" s="1">
        <f>IFERROR(__xludf.DUMMYFUNCTION("""COMPUTED_VALUE"""),0.75)</f>
        <v>0.75</v>
      </c>
      <c r="F599" s="1">
        <f>IFERROR(__xludf.DUMMYFUNCTION("""COMPUTED_VALUE"""),54995.0)</f>
        <v>54995</v>
      </c>
    </row>
    <row r="600">
      <c r="A600" s="2">
        <f>IFERROR(__xludf.DUMMYFUNCTION("""COMPUTED_VALUE"""),40037.666666666664)</f>
        <v>40037.66667</v>
      </c>
      <c r="B600" s="1">
        <f>IFERROR(__xludf.DUMMYFUNCTION("""COMPUTED_VALUE"""),0.77)</f>
        <v>0.77</v>
      </c>
      <c r="C600" s="1">
        <f>IFERROR(__xludf.DUMMYFUNCTION("""COMPUTED_VALUE"""),0.79)</f>
        <v>0.79</v>
      </c>
      <c r="D600" s="1">
        <f>IFERROR(__xludf.DUMMYFUNCTION("""COMPUTED_VALUE"""),0.75)</f>
        <v>0.75</v>
      </c>
      <c r="E600" s="1">
        <f>IFERROR(__xludf.DUMMYFUNCTION("""COMPUTED_VALUE"""),0.78)</f>
        <v>0.78</v>
      </c>
      <c r="F600" s="1">
        <f>IFERROR(__xludf.DUMMYFUNCTION("""COMPUTED_VALUE"""),46785.0)</f>
        <v>46785</v>
      </c>
    </row>
    <row r="601">
      <c r="A601" s="2">
        <f>IFERROR(__xludf.DUMMYFUNCTION("""COMPUTED_VALUE"""),40038.666666666664)</f>
        <v>40038.66667</v>
      </c>
      <c r="B601" s="1">
        <f>IFERROR(__xludf.DUMMYFUNCTION("""COMPUTED_VALUE"""),0.77)</f>
        <v>0.77</v>
      </c>
      <c r="C601" s="1">
        <f>IFERROR(__xludf.DUMMYFUNCTION("""COMPUTED_VALUE"""),0.79)</f>
        <v>0.79</v>
      </c>
      <c r="D601" s="1">
        <f>IFERROR(__xludf.DUMMYFUNCTION("""COMPUTED_VALUE"""),0.77)</f>
        <v>0.77</v>
      </c>
      <c r="E601" s="1">
        <f>IFERROR(__xludf.DUMMYFUNCTION("""COMPUTED_VALUE"""),0.78)</f>
        <v>0.78</v>
      </c>
      <c r="F601" s="1">
        <f>IFERROR(__xludf.DUMMYFUNCTION("""COMPUTED_VALUE"""),31442.0)</f>
        <v>31442</v>
      </c>
    </row>
    <row r="602">
      <c r="A602" s="2">
        <f>IFERROR(__xludf.DUMMYFUNCTION("""COMPUTED_VALUE"""),40039.666666666664)</f>
        <v>40039.66667</v>
      </c>
      <c r="B602" s="1">
        <f>IFERROR(__xludf.DUMMYFUNCTION("""COMPUTED_VALUE"""),0.76)</f>
        <v>0.76</v>
      </c>
      <c r="C602" s="1">
        <f>IFERROR(__xludf.DUMMYFUNCTION("""COMPUTED_VALUE"""),0.78)</f>
        <v>0.78</v>
      </c>
      <c r="D602" s="1">
        <f>IFERROR(__xludf.DUMMYFUNCTION("""COMPUTED_VALUE"""),0.73)</f>
        <v>0.73</v>
      </c>
      <c r="E602" s="1">
        <f>IFERROR(__xludf.DUMMYFUNCTION("""COMPUTED_VALUE"""),0.76)</f>
        <v>0.76</v>
      </c>
      <c r="F602" s="1">
        <f>IFERROR(__xludf.DUMMYFUNCTION("""COMPUTED_VALUE"""),67045.0)</f>
        <v>67045</v>
      </c>
    </row>
    <row r="603">
      <c r="A603" s="2">
        <f>IFERROR(__xludf.DUMMYFUNCTION("""COMPUTED_VALUE"""),40042.666666666664)</f>
        <v>40042.66667</v>
      </c>
      <c r="B603" s="1">
        <f>IFERROR(__xludf.DUMMYFUNCTION("""COMPUTED_VALUE"""),0.74)</f>
        <v>0.74</v>
      </c>
      <c r="C603" s="1">
        <f>IFERROR(__xludf.DUMMYFUNCTION("""COMPUTED_VALUE"""),0.76)</f>
        <v>0.76</v>
      </c>
      <c r="D603" s="1">
        <f>IFERROR(__xludf.DUMMYFUNCTION("""COMPUTED_VALUE"""),0.73)</f>
        <v>0.73</v>
      </c>
      <c r="E603" s="1">
        <f>IFERROR(__xludf.DUMMYFUNCTION("""COMPUTED_VALUE"""),0.75)</f>
        <v>0.75</v>
      </c>
      <c r="F603" s="1">
        <f>IFERROR(__xludf.DUMMYFUNCTION("""COMPUTED_VALUE"""),73415.0)</f>
        <v>73415</v>
      </c>
    </row>
    <row r="604">
      <c r="A604" s="2">
        <f>IFERROR(__xludf.DUMMYFUNCTION("""COMPUTED_VALUE"""),40043.666666666664)</f>
        <v>40043.66667</v>
      </c>
      <c r="B604" s="1">
        <f>IFERROR(__xludf.DUMMYFUNCTION("""COMPUTED_VALUE"""),0.75)</f>
        <v>0.75</v>
      </c>
      <c r="C604" s="1">
        <f>IFERROR(__xludf.DUMMYFUNCTION("""COMPUTED_VALUE"""),0.76)</f>
        <v>0.76</v>
      </c>
      <c r="D604" s="1">
        <f>IFERROR(__xludf.DUMMYFUNCTION("""COMPUTED_VALUE"""),0.74)</f>
        <v>0.74</v>
      </c>
      <c r="E604" s="1">
        <f>IFERROR(__xludf.DUMMYFUNCTION("""COMPUTED_VALUE"""),0.75)</f>
        <v>0.75</v>
      </c>
      <c r="F604" s="1">
        <f>IFERROR(__xludf.DUMMYFUNCTION("""COMPUTED_VALUE"""),79801.0)</f>
        <v>79801</v>
      </c>
    </row>
    <row r="605">
      <c r="A605" s="2">
        <f>IFERROR(__xludf.DUMMYFUNCTION("""COMPUTED_VALUE"""),40044.666666666664)</f>
        <v>40044.66667</v>
      </c>
      <c r="B605" s="1">
        <f>IFERROR(__xludf.DUMMYFUNCTION("""COMPUTED_VALUE"""),0.75)</f>
        <v>0.75</v>
      </c>
      <c r="C605" s="1">
        <f>IFERROR(__xludf.DUMMYFUNCTION("""COMPUTED_VALUE"""),0.77)</f>
        <v>0.77</v>
      </c>
      <c r="D605" s="1">
        <f>IFERROR(__xludf.DUMMYFUNCTION("""COMPUTED_VALUE"""),0.75)</f>
        <v>0.75</v>
      </c>
      <c r="E605" s="1">
        <f>IFERROR(__xludf.DUMMYFUNCTION("""COMPUTED_VALUE"""),0.76)</f>
        <v>0.76</v>
      </c>
      <c r="F605" s="1">
        <f>IFERROR(__xludf.DUMMYFUNCTION("""COMPUTED_VALUE"""),123256.0)</f>
        <v>123256</v>
      </c>
    </row>
    <row r="606">
      <c r="A606" s="2">
        <f>IFERROR(__xludf.DUMMYFUNCTION("""COMPUTED_VALUE"""),40045.666666666664)</f>
        <v>40045.66667</v>
      </c>
      <c r="B606" s="1">
        <f>IFERROR(__xludf.DUMMYFUNCTION("""COMPUTED_VALUE"""),0.77)</f>
        <v>0.77</v>
      </c>
      <c r="C606" s="1">
        <f>IFERROR(__xludf.DUMMYFUNCTION("""COMPUTED_VALUE"""),0.77)</f>
        <v>0.77</v>
      </c>
      <c r="D606" s="1">
        <f>IFERROR(__xludf.DUMMYFUNCTION("""COMPUTED_VALUE"""),0.76)</f>
        <v>0.76</v>
      </c>
      <c r="E606" s="1">
        <f>IFERROR(__xludf.DUMMYFUNCTION("""COMPUTED_VALUE"""),0.77)</f>
        <v>0.77</v>
      </c>
      <c r="F606" s="1">
        <f>IFERROR(__xludf.DUMMYFUNCTION("""COMPUTED_VALUE"""),55184.0)</f>
        <v>55184</v>
      </c>
    </row>
    <row r="607">
      <c r="A607" s="2">
        <f>IFERROR(__xludf.DUMMYFUNCTION("""COMPUTED_VALUE"""),40046.666666666664)</f>
        <v>40046.66667</v>
      </c>
      <c r="B607" s="1">
        <f>IFERROR(__xludf.DUMMYFUNCTION("""COMPUTED_VALUE"""),0.78)</f>
        <v>0.78</v>
      </c>
      <c r="C607" s="1">
        <f>IFERROR(__xludf.DUMMYFUNCTION("""COMPUTED_VALUE"""),0.78)</f>
        <v>0.78</v>
      </c>
      <c r="D607" s="1">
        <f>IFERROR(__xludf.DUMMYFUNCTION("""COMPUTED_VALUE"""),0.76)</f>
        <v>0.76</v>
      </c>
      <c r="E607" s="1">
        <f>IFERROR(__xludf.DUMMYFUNCTION("""COMPUTED_VALUE"""),0.78)</f>
        <v>0.78</v>
      </c>
      <c r="F607" s="1">
        <f>IFERROR(__xludf.DUMMYFUNCTION("""COMPUTED_VALUE"""),112072.0)</f>
        <v>112072</v>
      </c>
    </row>
    <row r="608">
      <c r="A608" s="2">
        <f>IFERROR(__xludf.DUMMYFUNCTION("""COMPUTED_VALUE"""),40049.666666666664)</f>
        <v>40049.66667</v>
      </c>
      <c r="B608" s="1">
        <f>IFERROR(__xludf.DUMMYFUNCTION("""COMPUTED_VALUE"""),0.78)</f>
        <v>0.78</v>
      </c>
      <c r="C608" s="1">
        <f>IFERROR(__xludf.DUMMYFUNCTION("""COMPUTED_VALUE"""),0.79)</f>
        <v>0.79</v>
      </c>
      <c r="D608" s="1">
        <f>IFERROR(__xludf.DUMMYFUNCTION("""COMPUTED_VALUE"""),0.77)</f>
        <v>0.77</v>
      </c>
      <c r="E608" s="1">
        <f>IFERROR(__xludf.DUMMYFUNCTION("""COMPUTED_VALUE"""),0.78)</f>
        <v>0.78</v>
      </c>
      <c r="F608" s="1">
        <f>IFERROR(__xludf.DUMMYFUNCTION("""COMPUTED_VALUE"""),78048.0)</f>
        <v>78048</v>
      </c>
    </row>
    <row r="609">
      <c r="A609" s="2">
        <f>IFERROR(__xludf.DUMMYFUNCTION("""COMPUTED_VALUE"""),40050.666666666664)</f>
        <v>40050.66667</v>
      </c>
      <c r="B609" s="1">
        <f>IFERROR(__xludf.DUMMYFUNCTION("""COMPUTED_VALUE"""),0.78)</f>
        <v>0.78</v>
      </c>
      <c r="C609" s="1">
        <f>IFERROR(__xludf.DUMMYFUNCTION("""COMPUTED_VALUE"""),0.79)</f>
        <v>0.79</v>
      </c>
      <c r="D609" s="1">
        <f>IFERROR(__xludf.DUMMYFUNCTION("""COMPUTED_VALUE"""),0.78)</f>
        <v>0.78</v>
      </c>
      <c r="E609" s="1">
        <f>IFERROR(__xludf.DUMMYFUNCTION("""COMPUTED_VALUE"""),0.79)</f>
        <v>0.79</v>
      </c>
      <c r="F609" s="1">
        <f>IFERROR(__xludf.DUMMYFUNCTION("""COMPUTED_VALUE"""),101164.0)</f>
        <v>101164</v>
      </c>
    </row>
    <row r="610">
      <c r="A610" s="2">
        <f>IFERROR(__xludf.DUMMYFUNCTION("""COMPUTED_VALUE"""),40051.666666666664)</f>
        <v>40051.66667</v>
      </c>
      <c r="B610" s="1">
        <f>IFERROR(__xludf.DUMMYFUNCTION("""COMPUTED_VALUE"""),0.79)</f>
        <v>0.79</v>
      </c>
      <c r="C610" s="1">
        <f>IFERROR(__xludf.DUMMYFUNCTION("""COMPUTED_VALUE"""),0.8)</f>
        <v>0.8</v>
      </c>
      <c r="D610" s="1">
        <f>IFERROR(__xludf.DUMMYFUNCTION("""COMPUTED_VALUE"""),0.78)</f>
        <v>0.78</v>
      </c>
      <c r="E610" s="1">
        <f>IFERROR(__xludf.DUMMYFUNCTION("""COMPUTED_VALUE"""),0.8)</f>
        <v>0.8</v>
      </c>
      <c r="F610" s="1">
        <f>IFERROR(__xludf.DUMMYFUNCTION("""COMPUTED_VALUE"""),71331.0)</f>
        <v>71331</v>
      </c>
    </row>
    <row r="611">
      <c r="A611" s="2">
        <f>IFERROR(__xludf.DUMMYFUNCTION("""COMPUTED_VALUE"""),40052.666666666664)</f>
        <v>40052.66667</v>
      </c>
      <c r="B611" s="1">
        <f>IFERROR(__xludf.DUMMYFUNCTION("""COMPUTED_VALUE"""),0.8)</f>
        <v>0.8</v>
      </c>
      <c r="C611" s="1">
        <f>IFERROR(__xludf.DUMMYFUNCTION("""COMPUTED_VALUE"""),0.81)</f>
        <v>0.81</v>
      </c>
      <c r="D611" s="1">
        <f>IFERROR(__xludf.DUMMYFUNCTION("""COMPUTED_VALUE"""),0.8)</f>
        <v>0.8</v>
      </c>
      <c r="E611" s="1">
        <f>IFERROR(__xludf.DUMMYFUNCTION("""COMPUTED_VALUE"""),0.81)</f>
        <v>0.81</v>
      </c>
      <c r="F611" s="1">
        <f>IFERROR(__xludf.DUMMYFUNCTION("""COMPUTED_VALUE"""),129103.0)</f>
        <v>129103</v>
      </c>
    </row>
    <row r="612">
      <c r="A612" s="2">
        <f>IFERROR(__xludf.DUMMYFUNCTION("""COMPUTED_VALUE"""),40053.666666666664)</f>
        <v>40053.66667</v>
      </c>
      <c r="B612" s="1">
        <f>IFERROR(__xludf.DUMMYFUNCTION("""COMPUTED_VALUE"""),0.81)</f>
        <v>0.81</v>
      </c>
      <c r="C612" s="1">
        <f>IFERROR(__xludf.DUMMYFUNCTION("""COMPUTED_VALUE"""),0.81)</f>
        <v>0.81</v>
      </c>
      <c r="D612" s="1">
        <f>IFERROR(__xludf.DUMMYFUNCTION("""COMPUTED_VALUE"""),0.79)</f>
        <v>0.79</v>
      </c>
      <c r="E612" s="1">
        <f>IFERROR(__xludf.DUMMYFUNCTION("""COMPUTED_VALUE"""),0.81)</f>
        <v>0.81</v>
      </c>
      <c r="F612" s="1">
        <f>IFERROR(__xludf.DUMMYFUNCTION("""COMPUTED_VALUE"""),85989.0)</f>
        <v>85989</v>
      </c>
    </row>
    <row r="613">
      <c r="A613" s="2">
        <f>IFERROR(__xludf.DUMMYFUNCTION("""COMPUTED_VALUE"""),40056.666666666664)</f>
        <v>40056.66667</v>
      </c>
      <c r="B613" s="1">
        <f>IFERROR(__xludf.DUMMYFUNCTION("""COMPUTED_VALUE"""),0.8)</f>
        <v>0.8</v>
      </c>
      <c r="C613" s="1">
        <f>IFERROR(__xludf.DUMMYFUNCTION("""COMPUTED_VALUE"""),0.81)</f>
        <v>0.81</v>
      </c>
      <c r="D613" s="1">
        <f>IFERROR(__xludf.DUMMYFUNCTION("""COMPUTED_VALUE"""),0.79)</f>
        <v>0.79</v>
      </c>
      <c r="E613" s="1">
        <f>IFERROR(__xludf.DUMMYFUNCTION("""COMPUTED_VALUE"""),0.8)</f>
        <v>0.8</v>
      </c>
      <c r="F613" s="1">
        <f>IFERROR(__xludf.DUMMYFUNCTION("""COMPUTED_VALUE"""),133503.0)</f>
        <v>133503</v>
      </c>
    </row>
    <row r="614">
      <c r="A614" s="2">
        <f>IFERROR(__xludf.DUMMYFUNCTION("""COMPUTED_VALUE"""),40057.666666666664)</f>
        <v>40057.66667</v>
      </c>
      <c r="B614" s="1">
        <f>IFERROR(__xludf.DUMMYFUNCTION("""COMPUTED_VALUE"""),0.79)</f>
        <v>0.79</v>
      </c>
      <c r="C614" s="1">
        <f>IFERROR(__xludf.DUMMYFUNCTION("""COMPUTED_VALUE"""),0.81)</f>
        <v>0.81</v>
      </c>
      <c r="D614" s="1">
        <f>IFERROR(__xludf.DUMMYFUNCTION("""COMPUTED_VALUE"""),0.78)</f>
        <v>0.78</v>
      </c>
      <c r="E614" s="1">
        <f>IFERROR(__xludf.DUMMYFUNCTION("""COMPUTED_VALUE"""),0.79)</f>
        <v>0.79</v>
      </c>
      <c r="F614" s="1">
        <f>IFERROR(__xludf.DUMMYFUNCTION("""COMPUTED_VALUE"""),88392.0)</f>
        <v>88392</v>
      </c>
    </row>
    <row r="615">
      <c r="A615" s="2">
        <f>IFERROR(__xludf.DUMMYFUNCTION("""COMPUTED_VALUE"""),40058.666666666664)</f>
        <v>40058.66667</v>
      </c>
      <c r="B615" s="1">
        <f>IFERROR(__xludf.DUMMYFUNCTION("""COMPUTED_VALUE"""),0.79)</f>
        <v>0.79</v>
      </c>
      <c r="C615" s="1">
        <f>IFERROR(__xludf.DUMMYFUNCTION("""COMPUTED_VALUE"""),0.8)</f>
        <v>0.8</v>
      </c>
      <c r="D615" s="1">
        <f>IFERROR(__xludf.DUMMYFUNCTION("""COMPUTED_VALUE"""),0.79)</f>
        <v>0.79</v>
      </c>
      <c r="E615" s="1">
        <f>IFERROR(__xludf.DUMMYFUNCTION("""COMPUTED_VALUE"""),0.79)</f>
        <v>0.79</v>
      </c>
      <c r="F615" s="1">
        <f>IFERROR(__xludf.DUMMYFUNCTION("""COMPUTED_VALUE"""),85973.0)</f>
        <v>85973</v>
      </c>
    </row>
    <row r="616">
      <c r="A616" s="2">
        <f>IFERROR(__xludf.DUMMYFUNCTION("""COMPUTED_VALUE"""),40059.666666666664)</f>
        <v>40059.66667</v>
      </c>
      <c r="B616" s="1">
        <f>IFERROR(__xludf.DUMMYFUNCTION("""COMPUTED_VALUE"""),0.79)</f>
        <v>0.79</v>
      </c>
      <c r="C616" s="1">
        <f>IFERROR(__xludf.DUMMYFUNCTION("""COMPUTED_VALUE"""),0.8)</f>
        <v>0.8</v>
      </c>
      <c r="D616" s="1">
        <f>IFERROR(__xludf.DUMMYFUNCTION("""COMPUTED_VALUE"""),0.79)</f>
        <v>0.79</v>
      </c>
      <c r="E616" s="1">
        <f>IFERROR(__xludf.DUMMYFUNCTION("""COMPUTED_VALUE"""),0.79)</f>
        <v>0.79</v>
      </c>
      <c r="F616" s="1">
        <f>IFERROR(__xludf.DUMMYFUNCTION("""COMPUTED_VALUE"""),133571.0)</f>
        <v>133571</v>
      </c>
    </row>
    <row r="617">
      <c r="A617" s="2">
        <f>IFERROR(__xludf.DUMMYFUNCTION("""COMPUTED_VALUE"""),40060.666666666664)</f>
        <v>40060.66667</v>
      </c>
      <c r="B617" s="1">
        <f>IFERROR(__xludf.DUMMYFUNCTION("""COMPUTED_VALUE"""),0.79)</f>
        <v>0.79</v>
      </c>
      <c r="C617" s="1">
        <f>IFERROR(__xludf.DUMMYFUNCTION("""COMPUTED_VALUE"""),0.81)</f>
        <v>0.81</v>
      </c>
      <c r="D617" s="1">
        <f>IFERROR(__xludf.DUMMYFUNCTION("""COMPUTED_VALUE"""),0.79)</f>
        <v>0.79</v>
      </c>
      <c r="E617" s="1">
        <f>IFERROR(__xludf.DUMMYFUNCTION("""COMPUTED_VALUE"""),0.8)</f>
        <v>0.8</v>
      </c>
      <c r="F617" s="1">
        <f>IFERROR(__xludf.DUMMYFUNCTION("""COMPUTED_VALUE"""),87982.0)</f>
        <v>87982</v>
      </c>
    </row>
    <row r="618">
      <c r="A618" s="2">
        <f>IFERROR(__xludf.DUMMYFUNCTION("""COMPUTED_VALUE"""),40064.666666666664)</f>
        <v>40064.66667</v>
      </c>
      <c r="B618" s="1">
        <f>IFERROR(__xludf.DUMMYFUNCTION("""COMPUTED_VALUE"""),0.8)</f>
        <v>0.8</v>
      </c>
      <c r="C618" s="1">
        <f>IFERROR(__xludf.DUMMYFUNCTION("""COMPUTED_VALUE"""),0.8)</f>
        <v>0.8</v>
      </c>
      <c r="D618" s="1">
        <f>IFERROR(__xludf.DUMMYFUNCTION("""COMPUTED_VALUE"""),0.79)</f>
        <v>0.79</v>
      </c>
      <c r="E618" s="1">
        <f>IFERROR(__xludf.DUMMYFUNCTION("""COMPUTED_VALUE"""),0.8)</f>
        <v>0.8</v>
      </c>
      <c r="F618" s="1">
        <f>IFERROR(__xludf.DUMMYFUNCTION("""COMPUTED_VALUE"""),77426.0)</f>
        <v>77426</v>
      </c>
    </row>
    <row r="619">
      <c r="A619" s="2">
        <f>IFERROR(__xludf.DUMMYFUNCTION("""COMPUTED_VALUE"""),40065.666666666664)</f>
        <v>40065.66667</v>
      </c>
      <c r="B619" s="1">
        <f>IFERROR(__xludf.DUMMYFUNCTION("""COMPUTED_VALUE"""),0.8)</f>
        <v>0.8</v>
      </c>
      <c r="C619" s="1">
        <f>IFERROR(__xludf.DUMMYFUNCTION("""COMPUTED_VALUE"""),0.85)</f>
        <v>0.85</v>
      </c>
      <c r="D619" s="1">
        <f>IFERROR(__xludf.DUMMYFUNCTION("""COMPUTED_VALUE"""),0.79)</f>
        <v>0.79</v>
      </c>
      <c r="E619" s="1">
        <f>IFERROR(__xludf.DUMMYFUNCTION("""COMPUTED_VALUE"""),0.84)</f>
        <v>0.84</v>
      </c>
      <c r="F619" s="1">
        <f>IFERROR(__xludf.DUMMYFUNCTION("""COMPUTED_VALUE"""),158913.0)</f>
        <v>158913</v>
      </c>
    </row>
    <row r="620">
      <c r="A620" s="2">
        <f>IFERROR(__xludf.DUMMYFUNCTION("""COMPUTED_VALUE"""),40066.666666666664)</f>
        <v>40066.66667</v>
      </c>
      <c r="B620" s="1">
        <f>IFERROR(__xludf.DUMMYFUNCTION("""COMPUTED_VALUE"""),0.84)</f>
        <v>0.84</v>
      </c>
      <c r="C620" s="1">
        <f>IFERROR(__xludf.DUMMYFUNCTION("""COMPUTED_VALUE"""),0.85)</f>
        <v>0.85</v>
      </c>
      <c r="D620" s="1">
        <f>IFERROR(__xludf.DUMMYFUNCTION("""COMPUTED_VALUE"""),0.82)</f>
        <v>0.82</v>
      </c>
      <c r="E620" s="1">
        <f>IFERROR(__xludf.DUMMYFUNCTION("""COMPUTED_VALUE"""),0.85)</f>
        <v>0.85</v>
      </c>
      <c r="F620" s="1">
        <f>IFERROR(__xludf.DUMMYFUNCTION("""COMPUTED_VALUE"""),97166.0)</f>
        <v>97166</v>
      </c>
    </row>
    <row r="621">
      <c r="A621" s="2">
        <f>IFERROR(__xludf.DUMMYFUNCTION("""COMPUTED_VALUE"""),40067.666666666664)</f>
        <v>40067.66667</v>
      </c>
      <c r="B621" s="1">
        <f>IFERROR(__xludf.DUMMYFUNCTION("""COMPUTED_VALUE"""),0.85)</f>
        <v>0.85</v>
      </c>
      <c r="C621" s="1">
        <f>IFERROR(__xludf.DUMMYFUNCTION("""COMPUTED_VALUE"""),0.85)</f>
        <v>0.85</v>
      </c>
      <c r="D621" s="1">
        <f>IFERROR(__xludf.DUMMYFUNCTION("""COMPUTED_VALUE"""),0.83)</f>
        <v>0.83</v>
      </c>
      <c r="E621" s="1">
        <f>IFERROR(__xludf.DUMMYFUNCTION("""COMPUTED_VALUE"""),0.85)</f>
        <v>0.85</v>
      </c>
      <c r="F621" s="1">
        <f>IFERROR(__xludf.DUMMYFUNCTION("""COMPUTED_VALUE"""),90664.0)</f>
        <v>90664</v>
      </c>
    </row>
    <row r="622">
      <c r="A622" s="2">
        <f>IFERROR(__xludf.DUMMYFUNCTION("""COMPUTED_VALUE"""),40070.666666666664)</f>
        <v>40070.66667</v>
      </c>
      <c r="B622" s="1">
        <f>IFERROR(__xludf.DUMMYFUNCTION("""COMPUTED_VALUE"""),0.84)</f>
        <v>0.84</v>
      </c>
      <c r="C622" s="1">
        <f>IFERROR(__xludf.DUMMYFUNCTION("""COMPUTED_VALUE"""),0.85)</f>
        <v>0.85</v>
      </c>
      <c r="D622" s="1">
        <f>IFERROR(__xludf.DUMMYFUNCTION("""COMPUTED_VALUE"""),0.81)</f>
        <v>0.81</v>
      </c>
      <c r="E622" s="1">
        <f>IFERROR(__xludf.DUMMYFUNCTION("""COMPUTED_VALUE"""),0.84)</f>
        <v>0.84</v>
      </c>
      <c r="F622" s="1">
        <f>IFERROR(__xludf.DUMMYFUNCTION("""COMPUTED_VALUE"""),59442.0)</f>
        <v>59442</v>
      </c>
    </row>
    <row r="623">
      <c r="A623" s="2">
        <f>IFERROR(__xludf.DUMMYFUNCTION("""COMPUTED_VALUE"""),40071.666666666664)</f>
        <v>40071.66667</v>
      </c>
      <c r="B623" s="1">
        <f>IFERROR(__xludf.DUMMYFUNCTION("""COMPUTED_VALUE"""),0.84)</f>
        <v>0.84</v>
      </c>
      <c r="C623" s="1">
        <f>IFERROR(__xludf.DUMMYFUNCTION("""COMPUTED_VALUE"""),0.89)</f>
        <v>0.89</v>
      </c>
      <c r="D623" s="1">
        <f>IFERROR(__xludf.DUMMYFUNCTION("""COMPUTED_VALUE"""),0.83)</f>
        <v>0.83</v>
      </c>
      <c r="E623" s="1">
        <f>IFERROR(__xludf.DUMMYFUNCTION("""COMPUTED_VALUE"""),0.88)</f>
        <v>0.88</v>
      </c>
      <c r="F623" s="1">
        <f>IFERROR(__xludf.DUMMYFUNCTION("""COMPUTED_VALUE"""),125784.0)</f>
        <v>125784</v>
      </c>
    </row>
    <row r="624">
      <c r="A624" s="2">
        <f>IFERROR(__xludf.DUMMYFUNCTION("""COMPUTED_VALUE"""),40072.666666666664)</f>
        <v>40072.66667</v>
      </c>
      <c r="B624" s="1">
        <f>IFERROR(__xludf.DUMMYFUNCTION("""COMPUTED_VALUE"""),0.88)</f>
        <v>0.88</v>
      </c>
      <c r="C624" s="1">
        <f>IFERROR(__xludf.DUMMYFUNCTION("""COMPUTED_VALUE"""),0.88)</f>
        <v>0.88</v>
      </c>
      <c r="D624" s="1">
        <f>IFERROR(__xludf.DUMMYFUNCTION("""COMPUTED_VALUE"""),0.86)</f>
        <v>0.86</v>
      </c>
      <c r="E624" s="1">
        <f>IFERROR(__xludf.DUMMYFUNCTION("""COMPUTED_VALUE"""),0.88)</f>
        <v>0.88</v>
      </c>
      <c r="F624" s="1">
        <f>IFERROR(__xludf.DUMMYFUNCTION("""COMPUTED_VALUE"""),80967.0)</f>
        <v>80967</v>
      </c>
    </row>
    <row r="625">
      <c r="A625" s="2">
        <f>IFERROR(__xludf.DUMMYFUNCTION("""COMPUTED_VALUE"""),40073.666666666664)</f>
        <v>40073.66667</v>
      </c>
      <c r="B625" s="1">
        <f>IFERROR(__xludf.DUMMYFUNCTION("""COMPUTED_VALUE"""),0.88)</f>
        <v>0.88</v>
      </c>
      <c r="C625" s="1">
        <f>IFERROR(__xludf.DUMMYFUNCTION("""COMPUTED_VALUE"""),0.88)</f>
        <v>0.88</v>
      </c>
      <c r="D625" s="1">
        <f>IFERROR(__xludf.DUMMYFUNCTION("""COMPUTED_VALUE"""),0.87)</f>
        <v>0.87</v>
      </c>
      <c r="E625" s="1">
        <f>IFERROR(__xludf.DUMMYFUNCTION("""COMPUTED_VALUE"""),0.87)</f>
        <v>0.87</v>
      </c>
      <c r="F625" s="1">
        <f>IFERROR(__xludf.DUMMYFUNCTION("""COMPUTED_VALUE"""),49713.0)</f>
        <v>49713</v>
      </c>
    </row>
    <row r="626">
      <c r="A626" s="2">
        <f>IFERROR(__xludf.DUMMYFUNCTION("""COMPUTED_VALUE"""),40074.666666666664)</f>
        <v>40074.66667</v>
      </c>
      <c r="B626" s="1">
        <f>IFERROR(__xludf.DUMMYFUNCTION("""COMPUTED_VALUE"""),0.87)</f>
        <v>0.87</v>
      </c>
      <c r="C626" s="1">
        <f>IFERROR(__xludf.DUMMYFUNCTION("""COMPUTED_VALUE"""),0.87)</f>
        <v>0.87</v>
      </c>
      <c r="D626" s="1">
        <f>IFERROR(__xludf.DUMMYFUNCTION("""COMPUTED_VALUE"""),0.86)</f>
        <v>0.86</v>
      </c>
      <c r="E626" s="1">
        <f>IFERROR(__xludf.DUMMYFUNCTION("""COMPUTED_VALUE"""),0.87)</f>
        <v>0.87</v>
      </c>
      <c r="F626" s="1">
        <f>IFERROR(__xludf.DUMMYFUNCTION("""COMPUTED_VALUE"""),128293.0)</f>
        <v>128293</v>
      </c>
    </row>
    <row r="627">
      <c r="A627" s="2">
        <f>IFERROR(__xludf.DUMMYFUNCTION("""COMPUTED_VALUE"""),40077.666666666664)</f>
        <v>40077.66667</v>
      </c>
      <c r="B627" s="1">
        <f>IFERROR(__xludf.DUMMYFUNCTION("""COMPUTED_VALUE"""),0.86)</f>
        <v>0.86</v>
      </c>
      <c r="C627" s="1">
        <f>IFERROR(__xludf.DUMMYFUNCTION("""COMPUTED_VALUE"""),0.87)</f>
        <v>0.87</v>
      </c>
      <c r="D627" s="1">
        <f>IFERROR(__xludf.DUMMYFUNCTION("""COMPUTED_VALUE"""),0.85)</f>
        <v>0.85</v>
      </c>
      <c r="E627" s="1">
        <f>IFERROR(__xludf.DUMMYFUNCTION("""COMPUTED_VALUE"""),0.87)</f>
        <v>0.87</v>
      </c>
      <c r="F627" s="1">
        <f>IFERROR(__xludf.DUMMYFUNCTION("""COMPUTED_VALUE"""),105124.0)</f>
        <v>105124</v>
      </c>
    </row>
    <row r="628">
      <c r="A628" s="2">
        <f>IFERROR(__xludf.DUMMYFUNCTION("""COMPUTED_VALUE"""),40078.666666666664)</f>
        <v>40078.66667</v>
      </c>
      <c r="B628" s="1">
        <f>IFERROR(__xludf.DUMMYFUNCTION("""COMPUTED_VALUE"""),0.87)</f>
        <v>0.87</v>
      </c>
      <c r="C628" s="1">
        <f>IFERROR(__xludf.DUMMYFUNCTION("""COMPUTED_VALUE"""),0.88)</f>
        <v>0.88</v>
      </c>
      <c r="D628" s="1">
        <f>IFERROR(__xludf.DUMMYFUNCTION("""COMPUTED_VALUE"""),0.86)</f>
        <v>0.86</v>
      </c>
      <c r="E628" s="1">
        <f>IFERROR(__xludf.DUMMYFUNCTION("""COMPUTED_VALUE"""),0.88)</f>
        <v>0.88</v>
      </c>
      <c r="F628" s="1">
        <f>IFERROR(__xludf.DUMMYFUNCTION("""COMPUTED_VALUE"""),98709.0)</f>
        <v>98709</v>
      </c>
    </row>
    <row r="629">
      <c r="A629" s="2">
        <f>IFERROR(__xludf.DUMMYFUNCTION("""COMPUTED_VALUE"""),40079.666666666664)</f>
        <v>40079.66667</v>
      </c>
      <c r="B629" s="1">
        <f>IFERROR(__xludf.DUMMYFUNCTION("""COMPUTED_VALUE"""),0.88)</f>
        <v>0.88</v>
      </c>
      <c r="C629" s="1">
        <f>IFERROR(__xludf.DUMMYFUNCTION("""COMPUTED_VALUE"""),0.88)</f>
        <v>0.88</v>
      </c>
      <c r="D629" s="1">
        <f>IFERROR(__xludf.DUMMYFUNCTION("""COMPUTED_VALUE"""),0.86)</f>
        <v>0.86</v>
      </c>
      <c r="E629" s="1">
        <f>IFERROR(__xludf.DUMMYFUNCTION("""COMPUTED_VALUE"""),0.86)</f>
        <v>0.86</v>
      </c>
      <c r="F629" s="1">
        <f>IFERROR(__xludf.DUMMYFUNCTION("""COMPUTED_VALUE"""),65633.0)</f>
        <v>65633</v>
      </c>
    </row>
    <row r="630">
      <c r="A630" s="2">
        <f>IFERROR(__xludf.DUMMYFUNCTION("""COMPUTED_VALUE"""),40080.666666666664)</f>
        <v>40080.66667</v>
      </c>
      <c r="B630" s="1">
        <f>IFERROR(__xludf.DUMMYFUNCTION("""COMPUTED_VALUE"""),0.86)</f>
        <v>0.86</v>
      </c>
      <c r="C630" s="1">
        <f>IFERROR(__xludf.DUMMYFUNCTION("""COMPUTED_VALUE"""),0.86)</f>
        <v>0.86</v>
      </c>
      <c r="D630" s="1">
        <f>IFERROR(__xludf.DUMMYFUNCTION("""COMPUTED_VALUE"""),0.84)</f>
        <v>0.84</v>
      </c>
      <c r="E630" s="1">
        <f>IFERROR(__xludf.DUMMYFUNCTION("""COMPUTED_VALUE"""),0.85)</f>
        <v>0.85</v>
      </c>
      <c r="F630" s="1">
        <f>IFERROR(__xludf.DUMMYFUNCTION("""COMPUTED_VALUE"""),76561.0)</f>
        <v>76561</v>
      </c>
    </row>
    <row r="631">
      <c r="A631" s="2">
        <f>IFERROR(__xludf.DUMMYFUNCTION("""COMPUTED_VALUE"""),40081.666666666664)</f>
        <v>40081.66667</v>
      </c>
      <c r="B631" s="1">
        <f>IFERROR(__xludf.DUMMYFUNCTION("""COMPUTED_VALUE"""),0.83)</f>
        <v>0.83</v>
      </c>
      <c r="C631" s="1">
        <f>IFERROR(__xludf.DUMMYFUNCTION("""COMPUTED_VALUE"""),0.86)</f>
        <v>0.86</v>
      </c>
      <c r="D631" s="1">
        <f>IFERROR(__xludf.DUMMYFUNCTION("""COMPUTED_VALUE"""),0.83)</f>
        <v>0.83</v>
      </c>
      <c r="E631" s="1">
        <f>IFERROR(__xludf.DUMMYFUNCTION("""COMPUTED_VALUE"""),0.85)</f>
        <v>0.85</v>
      </c>
      <c r="F631" s="1">
        <f>IFERROR(__xludf.DUMMYFUNCTION("""COMPUTED_VALUE"""),28705.0)</f>
        <v>28705</v>
      </c>
    </row>
    <row r="632">
      <c r="A632" s="2">
        <f>IFERROR(__xludf.DUMMYFUNCTION("""COMPUTED_VALUE"""),40084.666666666664)</f>
        <v>40084.66667</v>
      </c>
      <c r="B632" s="1">
        <f>IFERROR(__xludf.DUMMYFUNCTION("""COMPUTED_VALUE"""),0.85)</f>
        <v>0.85</v>
      </c>
      <c r="C632" s="1">
        <f>IFERROR(__xludf.DUMMYFUNCTION("""COMPUTED_VALUE"""),0.89)</f>
        <v>0.89</v>
      </c>
      <c r="D632" s="1">
        <f>IFERROR(__xludf.DUMMYFUNCTION("""COMPUTED_VALUE"""),0.82)</f>
        <v>0.82</v>
      </c>
      <c r="E632" s="1">
        <f>IFERROR(__xludf.DUMMYFUNCTION("""COMPUTED_VALUE"""),0.88)</f>
        <v>0.88</v>
      </c>
      <c r="F632" s="1">
        <f>IFERROR(__xludf.DUMMYFUNCTION("""COMPUTED_VALUE"""),79461.0)</f>
        <v>79461</v>
      </c>
    </row>
    <row r="633">
      <c r="A633" s="2">
        <f>IFERROR(__xludf.DUMMYFUNCTION("""COMPUTED_VALUE"""),40085.666666666664)</f>
        <v>40085.66667</v>
      </c>
      <c r="B633" s="1">
        <f>IFERROR(__xludf.DUMMYFUNCTION("""COMPUTED_VALUE"""),0.88)</f>
        <v>0.88</v>
      </c>
      <c r="C633" s="1">
        <f>IFERROR(__xludf.DUMMYFUNCTION("""COMPUTED_VALUE"""),0.88)</f>
        <v>0.88</v>
      </c>
      <c r="D633" s="1">
        <f>IFERROR(__xludf.DUMMYFUNCTION("""COMPUTED_VALUE"""),0.87)</f>
        <v>0.87</v>
      </c>
      <c r="E633" s="1">
        <f>IFERROR(__xludf.DUMMYFUNCTION("""COMPUTED_VALUE"""),0.87)</f>
        <v>0.87</v>
      </c>
      <c r="F633" s="1">
        <f>IFERROR(__xludf.DUMMYFUNCTION("""COMPUTED_VALUE"""),34434.0)</f>
        <v>34434</v>
      </c>
    </row>
    <row r="634">
      <c r="A634" s="2">
        <f>IFERROR(__xludf.DUMMYFUNCTION("""COMPUTED_VALUE"""),40086.666666666664)</f>
        <v>40086.66667</v>
      </c>
      <c r="B634" s="1">
        <f>IFERROR(__xludf.DUMMYFUNCTION("""COMPUTED_VALUE"""),0.87)</f>
        <v>0.87</v>
      </c>
      <c r="C634" s="1">
        <f>IFERROR(__xludf.DUMMYFUNCTION("""COMPUTED_VALUE"""),0.87)</f>
        <v>0.87</v>
      </c>
      <c r="D634" s="1">
        <f>IFERROR(__xludf.DUMMYFUNCTION("""COMPUTED_VALUE"""),0.84)</f>
        <v>0.84</v>
      </c>
      <c r="E634" s="1">
        <f>IFERROR(__xludf.DUMMYFUNCTION("""COMPUTED_VALUE"""),0.85)</f>
        <v>0.85</v>
      </c>
      <c r="F634" s="1">
        <f>IFERROR(__xludf.DUMMYFUNCTION("""COMPUTED_VALUE"""),98551.0)</f>
        <v>98551</v>
      </c>
    </row>
    <row r="635">
      <c r="A635" s="2">
        <f>IFERROR(__xludf.DUMMYFUNCTION("""COMPUTED_VALUE"""),40087.666666666664)</f>
        <v>40087.66667</v>
      </c>
      <c r="B635" s="1">
        <f>IFERROR(__xludf.DUMMYFUNCTION("""COMPUTED_VALUE"""),0.85)</f>
        <v>0.85</v>
      </c>
      <c r="C635" s="1">
        <f>IFERROR(__xludf.DUMMYFUNCTION("""COMPUTED_VALUE"""),0.85)</f>
        <v>0.85</v>
      </c>
      <c r="D635" s="1">
        <f>IFERROR(__xludf.DUMMYFUNCTION("""COMPUTED_VALUE"""),0.78)</f>
        <v>0.78</v>
      </c>
      <c r="E635" s="1">
        <f>IFERROR(__xludf.DUMMYFUNCTION("""COMPUTED_VALUE"""),0.78)</f>
        <v>0.78</v>
      </c>
      <c r="F635" s="1">
        <f>IFERROR(__xludf.DUMMYFUNCTION("""COMPUTED_VALUE"""),68671.0)</f>
        <v>68671</v>
      </c>
    </row>
    <row r="636">
      <c r="A636" s="2">
        <f>IFERROR(__xludf.DUMMYFUNCTION("""COMPUTED_VALUE"""),40088.666666666664)</f>
        <v>40088.66667</v>
      </c>
      <c r="B636" s="1">
        <f>IFERROR(__xludf.DUMMYFUNCTION("""COMPUTED_VALUE"""),0.78)</f>
        <v>0.78</v>
      </c>
      <c r="C636" s="1">
        <f>IFERROR(__xludf.DUMMYFUNCTION("""COMPUTED_VALUE"""),0.82)</f>
        <v>0.82</v>
      </c>
      <c r="D636" s="1">
        <f>IFERROR(__xludf.DUMMYFUNCTION("""COMPUTED_VALUE"""),0.78)</f>
        <v>0.78</v>
      </c>
      <c r="E636" s="1">
        <f>IFERROR(__xludf.DUMMYFUNCTION("""COMPUTED_VALUE"""),0.78)</f>
        <v>0.78</v>
      </c>
      <c r="F636" s="1">
        <f>IFERROR(__xludf.DUMMYFUNCTION("""COMPUTED_VALUE"""),111618.0)</f>
        <v>111618</v>
      </c>
    </row>
    <row r="637">
      <c r="A637" s="2">
        <f>IFERROR(__xludf.DUMMYFUNCTION("""COMPUTED_VALUE"""),40091.666666666664)</f>
        <v>40091.66667</v>
      </c>
      <c r="B637" s="1">
        <f>IFERROR(__xludf.DUMMYFUNCTION("""COMPUTED_VALUE"""),0.78)</f>
        <v>0.78</v>
      </c>
      <c r="C637" s="1">
        <f>IFERROR(__xludf.DUMMYFUNCTION("""COMPUTED_VALUE"""),0.8)</f>
        <v>0.8</v>
      </c>
      <c r="D637" s="1">
        <f>IFERROR(__xludf.DUMMYFUNCTION("""COMPUTED_VALUE"""),0.74)</f>
        <v>0.74</v>
      </c>
      <c r="E637" s="1">
        <f>IFERROR(__xludf.DUMMYFUNCTION("""COMPUTED_VALUE"""),0.76)</f>
        <v>0.76</v>
      </c>
      <c r="F637" s="1">
        <f>IFERROR(__xludf.DUMMYFUNCTION("""COMPUTED_VALUE"""),97808.0)</f>
        <v>97808</v>
      </c>
    </row>
    <row r="638">
      <c r="A638" s="2">
        <f>IFERROR(__xludf.DUMMYFUNCTION("""COMPUTED_VALUE"""),40092.666666666664)</f>
        <v>40092.66667</v>
      </c>
      <c r="B638" s="1">
        <f>IFERROR(__xludf.DUMMYFUNCTION("""COMPUTED_VALUE"""),0.76)</f>
        <v>0.76</v>
      </c>
      <c r="C638" s="1">
        <f>IFERROR(__xludf.DUMMYFUNCTION("""COMPUTED_VALUE"""),0.79)</f>
        <v>0.79</v>
      </c>
      <c r="D638" s="1">
        <f>IFERROR(__xludf.DUMMYFUNCTION("""COMPUTED_VALUE"""),0.75)</f>
        <v>0.75</v>
      </c>
      <c r="E638" s="1">
        <f>IFERROR(__xludf.DUMMYFUNCTION("""COMPUTED_VALUE"""),0.79)</f>
        <v>0.79</v>
      </c>
      <c r="F638" s="1">
        <f>IFERROR(__xludf.DUMMYFUNCTION("""COMPUTED_VALUE"""),45151.0)</f>
        <v>45151</v>
      </c>
    </row>
    <row r="639">
      <c r="A639" s="2">
        <f>IFERROR(__xludf.DUMMYFUNCTION("""COMPUTED_VALUE"""),40093.666666666664)</f>
        <v>40093.66667</v>
      </c>
      <c r="B639" s="1">
        <f>IFERROR(__xludf.DUMMYFUNCTION("""COMPUTED_VALUE"""),0.79)</f>
        <v>0.79</v>
      </c>
      <c r="C639" s="1">
        <f>IFERROR(__xludf.DUMMYFUNCTION("""COMPUTED_VALUE"""),0.82)</f>
        <v>0.82</v>
      </c>
      <c r="D639" s="1">
        <f>IFERROR(__xludf.DUMMYFUNCTION("""COMPUTED_VALUE"""),0.78)</f>
        <v>0.78</v>
      </c>
      <c r="E639" s="1">
        <f>IFERROR(__xludf.DUMMYFUNCTION("""COMPUTED_VALUE"""),0.81)</f>
        <v>0.81</v>
      </c>
      <c r="F639" s="1">
        <f>IFERROR(__xludf.DUMMYFUNCTION("""COMPUTED_VALUE"""),34728.0)</f>
        <v>34728</v>
      </c>
    </row>
    <row r="640">
      <c r="A640" s="2">
        <f>IFERROR(__xludf.DUMMYFUNCTION("""COMPUTED_VALUE"""),40094.666666666664)</f>
        <v>40094.66667</v>
      </c>
      <c r="B640" s="1">
        <f>IFERROR(__xludf.DUMMYFUNCTION("""COMPUTED_VALUE"""),0.81)</f>
        <v>0.81</v>
      </c>
      <c r="C640" s="1">
        <f>IFERROR(__xludf.DUMMYFUNCTION("""COMPUTED_VALUE"""),0.83)</f>
        <v>0.83</v>
      </c>
      <c r="D640" s="1">
        <f>IFERROR(__xludf.DUMMYFUNCTION("""COMPUTED_VALUE"""),0.8)</f>
        <v>0.8</v>
      </c>
      <c r="E640" s="1">
        <f>IFERROR(__xludf.DUMMYFUNCTION("""COMPUTED_VALUE"""),0.82)</f>
        <v>0.82</v>
      </c>
      <c r="F640" s="1">
        <f>IFERROR(__xludf.DUMMYFUNCTION("""COMPUTED_VALUE"""),110944.0)</f>
        <v>110944</v>
      </c>
    </row>
    <row r="641">
      <c r="A641" s="2">
        <f>IFERROR(__xludf.DUMMYFUNCTION("""COMPUTED_VALUE"""),40095.666666666664)</f>
        <v>40095.66667</v>
      </c>
      <c r="B641" s="1">
        <f>IFERROR(__xludf.DUMMYFUNCTION("""COMPUTED_VALUE"""),0.82)</f>
        <v>0.82</v>
      </c>
      <c r="C641" s="1">
        <f>IFERROR(__xludf.DUMMYFUNCTION("""COMPUTED_VALUE"""),0.85)</f>
        <v>0.85</v>
      </c>
      <c r="D641" s="1">
        <f>IFERROR(__xludf.DUMMYFUNCTION("""COMPUTED_VALUE"""),0.81)</f>
        <v>0.81</v>
      </c>
      <c r="E641" s="1">
        <f>IFERROR(__xludf.DUMMYFUNCTION("""COMPUTED_VALUE"""),0.85)</f>
        <v>0.85</v>
      </c>
      <c r="F641" s="1">
        <f>IFERROR(__xludf.DUMMYFUNCTION("""COMPUTED_VALUE"""),89263.0)</f>
        <v>89263</v>
      </c>
    </row>
    <row r="642">
      <c r="A642" s="2">
        <f>IFERROR(__xludf.DUMMYFUNCTION("""COMPUTED_VALUE"""),40098.666666666664)</f>
        <v>40098.66667</v>
      </c>
      <c r="B642" s="1">
        <f>IFERROR(__xludf.DUMMYFUNCTION("""COMPUTED_VALUE"""),0.85)</f>
        <v>0.85</v>
      </c>
      <c r="C642" s="1">
        <f>IFERROR(__xludf.DUMMYFUNCTION("""COMPUTED_VALUE"""),0.86)</f>
        <v>0.86</v>
      </c>
      <c r="D642" s="1">
        <f>IFERROR(__xludf.DUMMYFUNCTION("""COMPUTED_VALUE"""),0.84)</f>
        <v>0.84</v>
      </c>
      <c r="E642" s="1">
        <f>IFERROR(__xludf.DUMMYFUNCTION("""COMPUTED_VALUE"""),0.85)</f>
        <v>0.85</v>
      </c>
      <c r="F642" s="1">
        <f>IFERROR(__xludf.DUMMYFUNCTION("""COMPUTED_VALUE"""),82741.0)</f>
        <v>82741</v>
      </c>
    </row>
    <row r="643">
      <c r="A643" s="2">
        <f>IFERROR(__xludf.DUMMYFUNCTION("""COMPUTED_VALUE"""),40099.666666666664)</f>
        <v>40099.66667</v>
      </c>
      <c r="B643" s="1">
        <f>IFERROR(__xludf.DUMMYFUNCTION("""COMPUTED_VALUE"""),0.85)</f>
        <v>0.85</v>
      </c>
      <c r="C643" s="1">
        <f>IFERROR(__xludf.DUMMYFUNCTION("""COMPUTED_VALUE"""),0.86)</f>
        <v>0.86</v>
      </c>
      <c r="D643" s="1">
        <f>IFERROR(__xludf.DUMMYFUNCTION("""COMPUTED_VALUE"""),0.81)</f>
        <v>0.81</v>
      </c>
      <c r="E643" s="1">
        <f>IFERROR(__xludf.DUMMYFUNCTION("""COMPUTED_VALUE"""),0.81)</f>
        <v>0.81</v>
      </c>
      <c r="F643" s="1">
        <f>IFERROR(__xludf.DUMMYFUNCTION("""COMPUTED_VALUE"""),75137.0)</f>
        <v>75137</v>
      </c>
    </row>
    <row r="644">
      <c r="A644" s="2">
        <f>IFERROR(__xludf.DUMMYFUNCTION("""COMPUTED_VALUE"""),40100.666666666664)</f>
        <v>40100.66667</v>
      </c>
      <c r="B644" s="1">
        <f>IFERROR(__xludf.DUMMYFUNCTION("""COMPUTED_VALUE"""),0.82)</f>
        <v>0.82</v>
      </c>
      <c r="C644" s="1">
        <f>IFERROR(__xludf.DUMMYFUNCTION("""COMPUTED_VALUE"""),0.84)</f>
        <v>0.84</v>
      </c>
      <c r="D644" s="1">
        <f>IFERROR(__xludf.DUMMYFUNCTION("""COMPUTED_VALUE"""),0.82)</f>
        <v>0.82</v>
      </c>
      <c r="E644" s="1">
        <f>IFERROR(__xludf.DUMMYFUNCTION("""COMPUTED_VALUE"""),0.84)</f>
        <v>0.84</v>
      </c>
      <c r="F644" s="1">
        <f>IFERROR(__xludf.DUMMYFUNCTION("""COMPUTED_VALUE"""),99621.0)</f>
        <v>99621</v>
      </c>
    </row>
    <row r="645">
      <c r="A645" s="2">
        <f>IFERROR(__xludf.DUMMYFUNCTION("""COMPUTED_VALUE"""),40101.666666666664)</f>
        <v>40101.66667</v>
      </c>
      <c r="B645" s="1">
        <f>IFERROR(__xludf.DUMMYFUNCTION("""COMPUTED_VALUE"""),0.82)</f>
        <v>0.82</v>
      </c>
      <c r="C645" s="1">
        <f>IFERROR(__xludf.DUMMYFUNCTION("""COMPUTED_VALUE"""),0.87)</f>
        <v>0.87</v>
      </c>
      <c r="D645" s="1">
        <f>IFERROR(__xludf.DUMMYFUNCTION("""COMPUTED_VALUE"""),0.82)</f>
        <v>0.82</v>
      </c>
      <c r="E645" s="1">
        <f>IFERROR(__xludf.DUMMYFUNCTION("""COMPUTED_VALUE"""),0.86)</f>
        <v>0.86</v>
      </c>
      <c r="F645" s="1">
        <f>IFERROR(__xludf.DUMMYFUNCTION("""COMPUTED_VALUE"""),110993.0)</f>
        <v>110993</v>
      </c>
    </row>
    <row r="646">
      <c r="A646" s="2">
        <f>IFERROR(__xludf.DUMMYFUNCTION("""COMPUTED_VALUE"""),40102.666666666664)</f>
        <v>40102.66667</v>
      </c>
      <c r="B646" s="1">
        <f>IFERROR(__xludf.DUMMYFUNCTION("""COMPUTED_VALUE"""),0.86)</f>
        <v>0.86</v>
      </c>
      <c r="C646" s="1">
        <f>IFERROR(__xludf.DUMMYFUNCTION("""COMPUTED_VALUE"""),0.89)</f>
        <v>0.89</v>
      </c>
      <c r="D646" s="1">
        <f>IFERROR(__xludf.DUMMYFUNCTION("""COMPUTED_VALUE"""),0.85)</f>
        <v>0.85</v>
      </c>
      <c r="E646" s="1">
        <f>IFERROR(__xludf.DUMMYFUNCTION("""COMPUTED_VALUE"""),0.88)</f>
        <v>0.88</v>
      </c>
      <c r="F646" s="1">
        <f>IFERROR(__xludf.DUMMYFUNCTION("""COMPUTED_VALUE"""),84084.0)</f>
        <v>84084</v>
      </c>
    </row>
    <row r="647">
      <c r="A647" s="2">
        <f>IFERROR(__xludf.DUMMYFUNCTION("""COMPUTED_VALUE"""),40105.666666666664)</f>
        <v>40105.66667</v>
      </c>
      <c r="B647" s="1">
        <f>IFERROR(__xludf.DUMMYFUNCTION("""COMPUTED_VALUE"""),0.88)</f>
        <v>0.88</v>
      </c>
      <c r="C647" s="1">
        <f>IFERROR(__xludf.DUMMYFUNCTION("""COMPUTED_VALUE"""),0.89)</f>
        <v>0.89</v>
      </c>
      <c r="D647" s="1">
        <f>IFERROR(__xludf.DUMMYFUNCTION("""COMPUTED_VALUE"""),0.88)</f>
        <v>0.88</v>
      </c>
      <c r="E647" s="1">
        <f>IFERROR(__xludf.DUMMYFUNCTION("""COMPUTED_VALUE"""),0.88)</f>
        <v>0.88</v>
      </c>
      <c r="F647" s="1">
        <f>IFERROR(__xludf.DUMMYFUNCTION("""COMPUTED_VALUE"""),29277.0)</f>
        <v>29277</v>
      </c>
    </row>
    <row r="648">
      <c r="A648" s="2">
        <f>IFERROR(__xludf.DUMMYFUNCTION("""COMPUTED_VALUE"""),40106.666666666664)</f>
        <v>40106.66667</v>
      </c>
      <c r="B648" s="1">
        <f>IFERROR(__xludf.DUMMYFUNCTION("""COMPUTED_VALUE"""),0.88)</f>
        <v>0.88</v>
      </c>
      <c r="C648" s="1">
        <f>IFERROR(__xludf.DUMMYFUNCTION("""COMPUTED_VALUE"""),0.89)</f>
        <v>0.89</v>
      </c>
      <c r="D648" s="1">
        <f>IFERROR(__xludf.DUMMYFUNCTION("""COMPUTED_VALUE"""),0.88)</f>
        <v>0.88</v>
      </c>
      <c r="E648" s="1">
        <f>IFERROR(__xludf.DUMMYFUNCTION("""COMPUTED_VALUE"""),0.88)</f>
        <v>0.88</v>
      </c>
      <c r="F648" s="1">
        <f>IFERROR(__xludf.DUMMYFUNCTION("""COMPUTED_VALUE"""),44826.0)</f>
        <v>44826</v>
      </c>
    </row>
    <row r="649">
      <c r="A649" s="2">
        <f>IFERROR(__xludf.DUMMYFUNCTION("""COMPUTED_VALUE"""),40107.666666666664)</f>
        <v>40107.66667</v>
      </c>
      <c r="B649" s="1">
        <f>IFERROR(__xludf.DUMMYFUNCTION("""COMPUTED_VALUE"""),0.88)</f>
        <v>0.88</v>
      </c>
      <c r="C649" s="1">
        <f>IFERROR(__xludf.DUMMYFUNCTION("""COMPUTED_VALUE"""),0.89)</f>
        <v>0.89</v>
      </c>
      <c r="D649" s="1">
        <f>IFERROR(__xludf.DUMMYFUNCTION("""COMPUTED_VALUE"""),0.87)</f>
        <v>0.87</v>
      </c>
      <c r="E649" s="1">
        <f>IFERROR(__xludf.DUMMYFUNCTION("""COMPUTED_VALUE"""),0.88)</f>
        <v>0.88</v>
      </c>
      <c r="F649" s="1">
        <f>IFERROR(__xludf.DUMMYFUNCTION("""COMPUTED_VALUE"""),64257.0)</f>
        <v>64257</v>
      </c>
    </row>
    <row r="650">
      <c r="A650" s="2">
        <f>IFERROR(__xludf.DUMMYFUNCTION("""COMPUTED_VALUE"""),40108.666666666664)</f>
        <v>40108.66667</v>
      </c>
      <c r="B650" s="1">
        <f>IFERROR(__xludf.DUMMYFUNCTION("""COMPUTED_VALUE"""),0.87)</f>
        <v>0.87</v>
      </c>
      <c r="C650" s="1">
        <f>IFERROR(__xludf.DUMMYFUNCTION("""COMPUTED_VALUE"""),0.88)</f>
        <v>0.88</v>
      </c>
      <c r="D650" s="1">
        <f>IFERROR(__xludf.DUMMYFUNCTION("""COMPUTED_VALUE"""),0.87)</f>
        <v>0.87</v>
      </c>
      <c r="E650" s="1">
        <f>IFERROR(__xludf.DUMMYFUNCTION("""COMPUTED_VALUE"""),0.88)</f>
        <v>0.88</v>
      </c>
      <c r="F650" s="1">
        <f>IFERROR(__xludf.DUMMYFUNCTION("""COMPUTED_VALUE"""),57180.0)</f>
        <v>57180</v>
      </c>
    </row>
    <row r="651">
      <c r="A651" s="2">
        <f>IFERROR(__xludf.DUMMYFUNCTION("""COMPUTED_VALUE"""),40109.666666666664)</f>
        <v>40109.66667</v>
      </c>
      <c r="B651" s="1">
        <f>IFERROR(__xludf.DUMMYFUNCTION("""COMPUTED_VALUE"""),0.88)</f>
        <v>0.88</v>
      </c>
      <c r="C651" s="1">
        <f>IFERROR(__xludf.DUMMYFUNCTION("""COMPUTED_VALUE"""),0.88)</f>
        <v>0.88</v>
      </c>
      <c r="D651" s="1">
        <f>IFERROR(__xludf.DUMMYFUNCTION("""COMPUTED_VALUE"""),0.87)</f>
        <v>0.87</v>
      </c>
      <c r="E651" s="1">
        <f>IFERROR(__xludf.DUMMYFUNCTION("""COMPUTED_VALUE"""),0.88)</f>
        <v>0.88</v>
      </c>
      <c r="F651" s="1">
        <f>IFERROR(__xludf.DUMMYFUNCTION("""COMPUTED_VALUE"""),93310.0)</f>
        <v>93310</v>
      </c>
    </row>
    <row r="652">
      <c r="A652" s="2">
        <f>IFERROR(__xludf.DUMMYFUNCTION("""COMPUTED_VALUE"""),40112.666666666664)</f>
        <v>40112.66667</v>
      </c>
      <c r="B652" s="1">
        <f>IFERROR(__xludf.DUMMYFUNCTION("""COMPUTED_VALUE"""),0.88)</f>
        <v>0.88</v>
      </c>
      <c r="C652" s="1">
        <f>IFERROR(__xludf.DUMMYFUNCTION("""COMPUTED_VALUE"""),0.88)</f>
        <v>0.88</v>
      </c>
      <c r="D652" s="1">
        <f>IFERROR(__xludf.DUMMYFUNCTION("""COMPUTED_VALUE"""),0.83)</f>
        <v>0.83</v>
      </c>
      <c r="E652" s="1">
        <f>IFERROR(__xludf.DUMMYFUNCTION("""COMPUTED_VALUE"""),0.84)</f>
        <v>0.84</v>
      </c>
      <c r="F652" s="1">
        <f>IFERROR(__xludf.DUMMYFUNCTION("""COMPUTED_VALUE"""),56526.0)</f>
        <v>56526</v>
      </c>
    </row>
    <row r="653">
      <c r="A653" s="2">
        <f>IFERROR(__xludf.DUMMYFUNCTION("""COMPUTED_VALUE"""),40113.666666666664)</f>
        <v>40113.66667</v>
      </c>
      <c r="B653" s="1">
        <f>IFERROR(__xludf.DUMMYFUNCTION("""COMPUTED_VALUE"""),0.84)</f>
        <v>0.84</v>
      </c>
      <c r="C653" s="1">
        <f>IFERROR(__xludf.DUMMYFUNCTION("""COMPUTED_VALUE"""),0.86)</f>
        <v>0.86</v>
      </c>
      <c r="D653" s="1">
        <f>IFERROR(__xludf.DUMMYFUNCTION("""COMPUTED_VALUE"""),0.84)</f>
        <v>0.84</v>
      </c>
      <c r="E653" s="1">
        <f>IFERROR(__xludf.DUMMYFUNCTION("""COMPUTED_VALUE"""),0.84)</f>
        <v>0.84</v>
      </c>
      <c r="F653" s="1">
        <f>IFERROR(__xludf.DUMMYFUNCTION("""COMPUTED_VALUE"""),29134.0)</f>
        <v>29134</v>
      </c>
    </row>
    <row r="654">
      <c r="A654" s="2">
        <f>IFERROR(__xludf.DUMMYFUNCTION("""COMPUTED_VALUE"""),40114.666666666664)</f>
        <v>40114.66667</v>
      </c>
      <c r="B654" s="1">
        <f>IFERROR(__xludf.DUMMYFUNCTION("""COMPUTED_VALUE"""),0.89)</f>
        <v>0.89</v>
      </c>
      <c r="C654" s="1">
        <f>IFERROR(__xludf.DUMMYFUNCTION("""COMPUTED_VALUE"""),0.9)</f>
        <v>0.9</v>
      </c>
      <c r="D654" s="1">
        <f>IFERROR(__xludf.DUMMYFUNCTION("""COMPUTED_VALUE"""),0.83)</f>
        <v>0.83</v>
      </c>
      <c r="E654" s="1">
        <f>IFERROR(__xludf.DUMMYFUNCTION("""COMPUTED_VALUE"""),0.83)</f>
        <v>0.83</v>
      </c>
      <c r="F654" s="1">
        <f>IFERROR(__xludf.DUMMYFUNCTION("""COMPUTED_VALUE"""),215354.0)</f>
        <v>215354</v>
      </c>
    </row>
    <row r="655">
      <c r="A655" s="2">
        <f>IFERROR(__xludf.DUMMYFUNCTION("""COMPUTED_VALUE"""),40115.666666666664)</f>
        <v>40115.66667</v>
      </c>
      <c r="B655" s="1">
        <f>IFERROR(__xludf.DUMMYFUNCTION("""COMPUTED_VALUE"""),0.84)</f>
        <v>0.84</v>
      </c>
      <c r="C655" s="1">
        <f>IFERROR(__xludf.DUMMYFUNCTION("""COMPUTED_VALUE"""),0.85)</f>
        <v>0.85</v>
      </c>
      <c r="D655" s="1">
        <f>IFERROR(__xludf.DUMMYFUNCTION("""COMPUTED_VALUE"""),0.82)</f>
        <v>0.82</v>
      </c>
      <c r="E655" s="1">
        <f>IFERROR(__xludf.DUMMYFUNCTION("""COMPUTED_VALUE"""),0.83)</f>
        <v>0.83</v>
      </c>
      <c r="F655" s="1">
        <f>IFERROR(__xludf.DUMMYFUNCTION("""COMPUTED_VALUE"""),84563.0)</f>
        <v>84563</v>
      </c>
    </row>
    <row r="656">
      <c r="A656" s="2">
        <f>IFERROR(__xludf.DUMMYFUNCTION("""COMPUTED_VALUE"""),40116.666666666664)</f>
        <v>40116.66667</v>
      </c>
      <c r="B656" s="1">
        <f>IFERROR(__xludf.DUMMYFUNCTION("""COMPUTED_VALUE"""),0.81)</f>
        <v>0.81</v>
      </c>
      <c r="C656" s="1">
        <f>IFERROR(__xludf.DUMMYFUNCTION("""COMPUTED_VALUE"""),0.84)</f>
        <v>0.84</v>
      </c>
      <c r="D656" s="1">
        <f>IFERROR(__xludf.DUMMYFUNCTION("""COMPUTED_VALUE"""),0.8)</f>
        <v>0.8</v>
      </c>
      <c r="E656" s="1">
        <f>IFERROR(__xludf.DUMMYFUNCTION("""COMPUTED_VALUE"""),0.81)</f>
        <v>0.81</v>
      </c>
      <c r="F656" s="1">
        <f>IFERROR(__xludf.DUMMYFUNCTION("""COMPUTED_VALUE"""),118045.0)</f>
        <v>118045</v>
      </c>
    </row>
    <row r="657">
      <c r="A657" s="2">
        <f>IFERROR(__xludf.DUMMYFUNCTION("""COMPUTED_VALUE"""),40119.666666666664)</f>
        <v>40119.66667</v>
      </c>
      <c r="B657" s="1">
        <f>IFERROR(__xludf.DUMMYFUNCTION("""COMPUTED_VALUE"""),0.8)</f>
        <v>0.8</v>
      </c>
      <c r="C657" s="1">
        <f>IFERROR(__xludf.DUMMYFUNCTION("""COMPUTED_VALUE"""),0.8)</f>
        <v>0.8</v>
      </c>
      <c r="D657" s="1">
        <f>IFERROR(__xludf.DUMMYFUNCTION("""COMPUTED_VALUE"""),0.78)</f>
        <v>0.78</v>
      </c>
      <c r="E657" s="1">
        <f>IFERROR(__xludf.DUMMYFUNCTION("""COMPUTED_VALUE"""),0.79)</f>
        <v>0.79</v>
      </c>
      <c r="F657" s="1">
        <f>IFERROR(__xludf.DUMMYFUNCTION("""COMPUTED_VALUE"""),57424.0)</f>
        <v>57424</v>
      </c>
    </row>
    <row r="658">
      <c r="A658" s="2">
        <f>IFERROR(__xludf.DUMMYFUNCTION("""COMPUTED_VALUE"""),40120.666666666664)</f>
        <v>40120.66667</v>
      </c>
      <c r="B658" s="1">
        <f>IFERROR(__xludf.DUMMYFUNCTION("""COMPUTED_VALUE"""),0.78)</f>
        <v>0.78</v>
      </c>
      <c r="C658" s="1">
        <f>IFERROR(__xludf.DUMMYFUNCTION("""COMPUTED_VALUE"""),0.8)</f>
        <v>0.8</v>
      </c>
      <c r="D658" s="1">
        <f>IFERROR(__xludf.DUMMYFUNCTION("""COMPUTED_VALUE"""),0.76)</f>
        <v>0.76</v>
      </c>
      <c r="E658" s="1">
        <f>IFERROR(__xludf.DUMMYFUNCTION("""COMPUTED_VALUE"""),0.8)</f>
        <v>0.8</v>
      </c>
      <c r="F658" s="1">
        <f>IFERROR(__xludf.DUMMYFUNCTION("""COMPUTED_VALUE"""),100051.0)</f>
        <v>100051</v>
      </c>
    </row>
    <row r="659">
      <c r="A659" s="2">
        <f>IFERROR(__xludf.DUMMYFUNCTION("""COMPUTED_VALUE"""),40121.666666666664)</f>
        <v>40121.66667</v>
      </c>
      <c r="B659" s="1">
        <f>IFERROR(__xludf.DUMMYFUNCTION("""COMPUTED_VALUE"""),0.8)</f>
        <v>0.8</v>
      </c>
      <c r="C659" s="1">
        <f>IFERROR(__xludf.DUMMYFUNCTION("""COMPUTED_VALUE"""),0.81)</f>
        <v>0.81</v>
      </c>
      <c r="D659" s="1">
        <f>IFERROR(__xludf.DUMMYFUNCTION("""COMPUTED_VALUE"""),0.78)</f>
        <v>0.78</v>
      </c>
      <c r="E659" s="1">
        <f>IFERROR(__xludf.DUMMYFUNCTION("""COMPUTED_VALUE"""),0.78)</f>
        <v>0.78</v>
      </c>
      <c r="F659" s="1">
        <f>IFERROR(__xludf.DUMMYFUNCTION("""COMPUTED_VALUE"""),53441.0)</f>
        <v>53441</v>
      </c>
    </row>
    <row r="660">
      <c r="A660" s="2">
        <f>IFERROR(__xludf.DUMMYFUNCTION("""COMPUTED_VALUE"""),40122.666666666664)</f>
        <v>40122.66667</v>
      </c>
      <c r="B660" s="1">
        <f>IFERROR(__xludf.DUMMYFUNCTION("""COMPUTED_VALUE"""),0.79)</f>
        <v>0.79</v>
      </c>
      <c r="C660" s="1">
        <f>IFERROR(__xludf.DUMMYFUNCTION("""COMPUTED_VALUE"""),0.84)</f>
        <v>0.84</v>
      </c>
      <c r="D660" s="1">
        <f>IFERROR(__xludf.DUMMYFUNCTION("""COMPUTED_VALUE"""),0.78)</f>
        <v>0.78</v>
      </c>
      <c r="E660" s="1">
        <f>IFERROR(__xludf.DUMMYFUNCTION("""COMPUTED_VALUE"""),0.84)</f>
        <v>0.84</v>
      </c>
      <c r="F660" s="1">
        <f>IFERROR(__xludf.DUMMYFUNCTION("""COMPUTED_VALUE"""),95145.0)</f>
        <v>95145</v>
      </c>
    </row>
    <row r="661">
      <c r="A661" s="2">
        <f>IFERROR(__xludf.DUMMYFUNCTION("""COMPUTED_VALUE"""),40123.666666666664)</f>
        <v>40123.66667</v>
      </c>
      <c r="B661" s="1">
        <f>IFERROR(__xludf.DUMMYFUNCTION("""COMPUTED_VALUE"""),0.83)</f>
        <v>0.83</v>
      </c>
      <c r="C661" s="1">
        <f>IFERROR(__xludf.DUMMYFUNCTION("""COMPUTED_VALUE"""),0.89)</f>
        <v>0.89</v>
      </c>
      <c r="D661" s="1">
        <f>IFERROR(__xludf.DUMMYFUNCTION("""COMPUTED_VALUE"""),0.81)</f>
        <v>0.81</v>
      </c>
      <c r="E661" s="1">
        <f>IFERROR(__xludf.DUMMYFUNCTION("""COMPUTED_VALUE"""),0.89)</f>
        <v>0.89</v>
      </c>
      <c r="F661" s="1">
        <f>IFERROR(__xludf.DUMMYFUNCTION("""COMPUTED_VALUE"""),128156.0)</f>
        <v>128156</v>
      </c>
    </row>
    <row r="662">
      <c r="A662" s="2">
        <f>IFERROR(__xludf.DUMMYFUNCTION("""COMPUTED_VALUE"""),40126.666666666664)</f>
        <v>40126.66667</v>
      </c>
      <c r="B662" s="1">
        <f>IFERROR(__xludf.DUMMYFUNCTION("""COMPUTED_VALUE"""),0.89)</f>
        <v>0.89</v>
      </c>
      <c r="C662" s="1">
        <f>IFERROR(__xludf.DUMMYFUNCTION("""COMPUTED_VALUE"""),0.93)</f>
        <v>0.93</v>
      </c>
      <c r="D662" s="1">
        <f>IFERROR(__xludf.DUMMYFUNCTION("""COMPUTED_VALUE"""),0.89)</f>
        <v>0.89</v>
      </c>
      <c r="E662" s="1">
        <f>IFERROR(__xludf.DUMMYFUNCTION("""COMPUTED_VALUE"""),0.93)</f>
        <v>0.93</v>
      </c>
      <c r="F662" s="1">
        <f>IFERROR(__xludf.DUMMYFUNCTION("""COMPUTED_VALUE"""),242422.0)</f>
        <v>242422</v>
      </c>
    </row>
    <row r="663">
      <c r="A663" s="2">
        <f>IFERROR(__xludf.DUMMYFUNCTION("""COMPUTED_VALUE"""),40127.666666666664)</f>
        <v>40127.66667</v>
      </c>
      <c r="B663" s="1">
        <f>IFERROR(__xludf.DUMMYFUNCTION("""COMPUTED_VALUE"""),0.93)</f>
        <v>0.93</v>
      </c>
      <c r="C663" s="1">
        <f>IFERROR(__xludf.DUMMYFUNCTION("""COMPUTED_VALUE"""),0.94)</f>
        <v>0.94</v>
      </c>
      <c r="D663" s="1">
        <f>IFERROR(__xludf.DUMMYFUNCTION("""COMPUTED_VALUE"""),0.93)</f>
        <v>0.93</v>
      </c>
      <c r="E663" s="1">
        <f>IFERROR(__xludf.DUMMYFUNCTION("""COMPUTED_VALUE"""),0.94)</f>
        <v>0.94</v>
      </c>
      <c r="F663" s="1">
        <f>IFERROR(__xludf.DUMMYFUNCTION("""COMPUTED_VALUE"""),122932.0)</f>
        <v>122932</v>
      </c>
    </row>
    <row r="664">
      <c r="A664" s="2">
        <f>IFERROR(__xludf.DUMMYFUNCTION("""COMPUTED_VALUE"""),40128.666666666664)</f>
        <v>40128.66667</v>
      </c>
      <c r="B664" s="1">
        <f>IFERROR(__xludf.DUMMYFUNCTION("""COMPUTED_VALUE"""),0.94)</f>
        <v>0.94</v>
      </c>
      <c r="C664" s="1">
        <f>IFERROR(__xludf.DUMMYFUNCTION("""COMPUTED_VALUE"""),0.99)</f>
        <v>0.99</v>
      </c>
      <c r="D664" s="1">
        <f>IFERROR(__xludf.DUMMYFUNCTION("""COMPUTED_VALUE"""),0.94)</f>
        <v>0.94</v>
      </c>
      <c r="E664" s="1">
        <f>IFERROR(__xludf.DUMMYFUNCTION("""COMPUTED_VALUE"""),0.98)</f>
        <v>0.98</v>
      </c>
      <c r="F664" s="1">
        <f>IFERROR(__xludf.DUMMYFUNCTION("""COMPUTED_VALUE"""),280660.0)</f>
        <v>280660</v>
      </c>
    </row>
    <row r="665">
      <c r="A665" s="2">
        <f>IFERROR(__xludf.DUMMYFUNCTION("""COMPUTED_VALUE"""),40129.666666666664)</f>
        <v>40129.66667</v>
      </c>
      <c r="B665" s="1">
        <f>IFERROR(__xludf.DUMMYFUNCTION("""COMPUTED_VALUE"""),0.97)</f>
        <v>0.97</v>
      </c>
      <c r="C665" s="1">
        <f>IFERROR(__xludf.DUMMYFUNCTION("""COMPUTED_VALUE"""),0.97)</f>
        <v>0.97</v>
      </c>
      <c r="D665" s="1">
        <f>IFERROR(__xludf.DUMMYFUNCTION("""COMPUTED_VALUE"""),0.93)</f>
        <v>0.93</v>
      </c>
      <c r="E665" s="1">
        <f>IFERROR(__xludf.DUMMYFUNCTION("""COMPUTED_VALUE"""),0.93)</f>
        <v>0.93</v>
      </c>
      <c r="F665" s="1">
        <f>IFERROR(__xludf.DUMMYFUNCTION("""COMPUTED_VALUE"""),145699.0)</f>
        <v>145699</v>
      </c>
    </row>
    <row r="666">
      <c r="A666" s="2">
        <f>IFERROR(__xludf.DUMMYFUNCTION("""COMPUTED_VALUE"""),40130.666666666664)</f>
        <v>40130.66667</v>
      </c>
      <c r="B666" s="1">
        <f>IFERROR(__xludf.DUMMYFUNCTION("""COMPUTED_VALUE"""),0.93)</f>
        <v>0.93</v>
      </c>
      <c r="C666" s="1">
        <f>IFERROR(__xludf.DUMMYFUNCTION("""COMPUTED_VALUE"""),0.96)</f>
        <v>0.96</v>
      </c>
      <c r="D666" s="1">
        <f>IFERROR(__xludf.DUMMYFUNCTION("""COMPUTED_VALUE"""),0.91)</f>
        <v>0.91</v>
      </c>
      <c r="E666" s="1">
        <f>IFERROR(__xludf.DUMMYFUNCTION("""COMPUTED_VALUE"""),0.94)</f>
        <v>0.94</v>
      </c>
      <c r="F666" s="1">
        <f>IFERROR(__xludf.DUMMYFUNCTION("""COMPUTED_VALUE"""),64380.0)</f>
        <v>64380</v>
      </c>
    </row>
    <row r="667">
      <c r="A667" s="2">
        <f>IFERROR(__xludf.DUMMYFUNCTION("""COMPUTED_VALUE"""),40133.666666666664)</f>
        <v>40133.66667</v>
      </c>
      <c r="B667" s="1">
        <f>IFERROR(__xludf.DUMMYFUNCTION("""COMPUTED_VALUE"""),0.94)</f>
        <v>0.94</v>
      </c>
      <c r="C667" s="1">
        <f>IFERROR(__xludf.DUMMYFUNCTION("""COMPUTED_VALUE"""),0.99)</f>
        <v>0.99</v>
      </c>
      <c r="D667" s="1">
        <f>IFERROR(__xludf.DUMMYFUNCTION("""COMPUTED_VALUE"""),0.94)</f>
        <v>0.94</v>
      </c>
      <c r="E667" s="1">
        <f>IFERROR(__xludf.DUMMYFUNCTION("""COMPUTED_VALUE"""),0.98)</f>
        <v>0.98</v>
      </c>
      <c r="F667" s="1">
        <f>IFERROR(__xludf.DUMMYFUNCTION("""COMPUTED_VALUE"""),175070.0)</f>
        <v>175070</v>
      </c>
    </row>
    <row r="668">
      <c r="A668" s="2">
        <f>IFERROR(__xludf.DUMMYFUNCTION("""COMPUTED_VALUE"""),40134.666666666664)</f>
        <v>40134.66667</v>
      </c>
      <c r="B668" s="1">
        <f>IFERROR(__xludf.DUMMYFUNCTION("""COMPUTED_VALUE"""),0.98)</f>
        <v>0.98</v>
      </c>
      <c r="C668" s="1">
        <f>IFERROR(__xludf.DUMMYFUNCTION("""COMPUTED_VALUE"""),0.99)</f>
        <v>0.99</v>
      </c>
      <c r="D668" s="1">
        <f>IFERROR(__xludf.DUMMYFUNCTION("""COMPUTED_VALUE"""),0.97)</f>
        <v>0.97</v>
      </c>
      <c r="E668" s="1">
        <f>IFERROR(__xludf.DUMMYFUNCTION("""COMPUTED_VALUE"""),0.98)</f>
        <v>0.98</v>
      </c>
      <c r="F668" s="1">
        <f>IFERROR(__xludf.DUMMYFUNCTION("""COMPUTED_VALUE"""),186816.0)</f>
        <v>186816</v>
      </c>
    </row>
    <row r="669">
      <c r="A669" s="2">
        <f>IFERROR(__xludf.DUMMYFUNCTION("""COMPUTED_VALUE"""),40135.666666666664)</f>
        <v>40135.66667</v>
      </c>
      <c r="B669" s="1">
        <f>IFERROR(__xludf.DUMMYFUNCTION("""COMPUTED_VALUE"""),0.98)</f>
        <v>0.98</v>
      </c>
      <c r="C669" s="1">
        <f>IFERROR(__xludf.DUMMYFUNCTION("""COMPUTED_VALUE"""),1.01)</f>
        <v>1.01</v>
      </c>
      <c r="D669" s="1">
        <f>IFERROR(__xludf.DUMMYFUNCTION("""COMPUTED_VALUE"""),0.97)</f>
        <v>0.97</v>
      </c>
      <c r="E669" s="1">
        <f>IFERROR(__xludf.DUMMYFUNCTION("""COMPUTED_VALUE"""),1.01)</f>
        <v>1.01</v>
      </c>
      <c r="F669" s="1">
        <f>IFERROR(__xludf.DUMMYFUNCTION("""COMPUTED_VALUE"""),266485.0)</f>
        <v>266485</v>
      </c>
    </row>
    <row r="670">
      <c r="A670" s="2">
        <f>IFERROR(__xludf.DUMMYFUNCTION("""COMPUTED_VALUE"""),40136.666666666664)</f>
        <v>40136.66667</v>
      </c>
      <c r="B670" s="1">
        <f>IFERROR(__xludf.DUMMYFUNCTION("""COMPUTED_VALUE"""),0.98)</f>
        <v>0.98</v>
      </c>
      <c r="C670" s="1">
        <f>IFERROR(__xludf.DUMMYFUNCTION("""COMPUTED_VALUE"""),1.0)</f>
        <v>1</v>
      </c>
      <c r="D670" s="1">
        <f>IFERROR(__xludf.DUMMYFUNCTION("""COMPUTED_VALUE"""),0.94)</f>
        <v>0.94</v>
      </c>
      <c r="E670" s="1">
        <f>IFERROR(__xludf.DUMMYFUNCTION("""COMPUTED_VALUE"""),0.96)</f>
        <v>0.96</v>
      </c>
      <c r="F670" s="1">
        <f>IFERROR(__xludf.DUMMYFUNCTION("""COMPUTED_VALUE"""),101324.0)</f>
        <v>101324</v>
      </c>
    </row>
    <row r="671">
      <c r="A671" s="2">
        <f>IFERROR(__xludf.DUMMYFUNCTION("""COMPUTED_VALUE"""),40137.666666666664)</f>
        <v>40137.66667</v>
      </c>
      <c r="B671" s="1">
        <f>IFERROR(__xludf.DUMMYFUNCTION("""COMPUTED_VALUE"""),0.98)</f>
        <v>0.98</v>
      </c>
      <c r="C671" s="1">
        <f>IFERROR(__xludf.DUMMYFUNCTION("""COMPUTED_VALUE"""),0.99)</f>
        <v>0.99</v>
      </c>
      <c r="D671" s="1">
        <f>IFERROR(__xludf.DUMMYFUNCTION("""COMPUTED_VALUE"""),0.96)</f>
        <v>0.96</v>
      </c>
      <c r="E671" s="1">
        <f>IFERROR(__xludf.DUMMYFUNCTION("""COMPUTED_VALUE"""),0.99)</f>
        <v>0.99</v>
      </c>
      <c r="F671" s="1">
        <f>IFERROR(__xludf.DUMMYFUNCTION("""COMPUTED_VALUE"""),115092.0)</f>
        <v>115092</v>
      </c>
    </row>
    <row r="672">
      <c r="A672" s="2">
        <f>IFERROR(__xludf.DUMMYFUNCTION("""COMPUTED_VALUE"""),40140.666666666664)</f>
        <v>40140.66667</v>
      </c>
      <c r="B672" s="1">
        <f>IFERROR(__xludf.DUMMYFUNCTION("""COMPUTED_VALUE"""),1.0)</f>
        <v>1</v>
      </c>
      <c r="C672" s="1">
        <f>IFERROR(__xludf.DUMMYFUNCTION("""COMPUTED_VALUE"""),1.01)</f>
        <v>1.01</v>
      </c>
      <c r="D672" s="1">
        <f>IFERROR(__xludf.DUMMYFUNCTION("""COMPUTED_VALUE"""),0.99)</f>
        <v>0.99</v>
      </c>
      <c r="E672" s="1">
        <f>IFERROR(__xludf.DUMMYFUNCTION("""COMPUTED_VALUE"""),1.0)</f>
        <v>1</v>
      </c>
      <c r="F672" s="1">
        <f>IFERROR(__xludf.DUMMYFUNCTION("""COMPUTED_VALUE"""),311328.0)</f>
        <v>311328</v>
      </c>
    </row>
    <row r="673">
      <c r="A673" s="2">
        <f>IFERROR(__xludf.DUMMYFUNCTION("""COMPUTED_VALUE"""),40141.666666666664)</f>
        <v>40141.66667</v>
      </c>
      <c r="B673" s="1">
        <f>IFERROR(__xludf.DUMMYFUNCTION("""COMPUTED_VALUE"""),1.0)</f>
        <v>1</v>
      </c>
      <c r="C673" s="1">
        <f>IFERROR(__xludf.DUMMYFUNCTION("""COMPUTED_VALUE"""),1.01)</f>
        <v>1.01</v>
      </c>
      <c r="D673" s="1">
        <f>IFERROR(__xludf.DUMMYFUNCTION("""COMPUTED_VALUE"""),0.99)</f>
        <v>0.99</v>
      </c>
      <c r="E673" s="1">
        <f>IFERROR(__xludf.DUMMYFUNCTION("""COMPUTED_VALUE"""),1.01)</f>
        <v>1.01</v>
      </c>
      <c r="F673" s="1">
        <f>IFERROR(__xludf.DUMMYFUNCTION("""COMPUTED_VALUE"""),165601.0)</f>
        <v>165601</v>
      </c>
    </row>
    <row r="674">
      <c r="A674" s="2">
        <f>IFERROR(__xludf.DUMMYFUNCTION("""COMPUTED_VALUE"""),40142.666666666664)</f>
        <v>40142.66667</v>
      </c>
      <c r="B674" s="1">
        <f>IFERROR(__xludf.DUMMYFUNCTION("""COMPUTED_VALUE"""),1.0)</f>
        <v>1</v>
      </c>
      <c r="C674" s="1">
        <f>IFERROR(__xludf.DUMMYFUNCTION("""COMPUTED_VALUE"""),1.0)</f>
        <v>1</v>
      </c>
      <c r="D674" s="1">
        <f>IFERROR(__xludf.DUMMYFUNCTION("""COMPUTED_VALUE"""),1.0)</f>
        <v>1</v>
      </c>
      <c r="E674" s="1">
        <f>IFERROR(__xludf.DUMMYFUNCTION("""COMPUTED_VALUE"""),1.0)</f>
        <v>1</v>
      </c>
      <c r="F674" s="1">
        <f>IFERROR(__xludf.DUMMYFUNCTION("""COMPUTED_VALUE"""),148335.0)</f>
        <v>148335</v>
      </c>
    </row>
    <row r="675">
      <c r="A675" s="2">
        <f>IFERROR(__xludf.DUMMYFUNCTION("""COMPUTED_VALUE"""),40144.666666666664)</f>
        <v>40144.66667</v>
      </c>
      <c r="B675" s="1">
        <f>IFERROR(__xludf.DUMMYFUNCTION("""COMPUTED_VALUE"""),0.98)</f>
        <v>0.98</v>
      </c>
      <c r="C675" s="1">
        <f>IFERROR(__xludf.DUMMYFUNCTION("""COMPUTED_VALUE"""),0.98)</f>
        <v>0.98</v>
      </c>
      <c r="D675" s="1">
        <f>IFERROR(__xludf.DUMMYFUNCTION("""COMPUTED_VALUE"""),0.96)</f>
        <v>0.96</v>
      </c>
      <c r="E675" s="1">
        <f>IFERROR(__xludf.DUMMYFUNCTION("""COMPUTED_VALUE"""),0.97)</f>
        <v>0.97</v>
      </c>
      <c r="F675" s="1">
        <f>IFERROR(__xludf.DUMMYFUNCTION("""COMPUTED_VALUE"""),59445.0)</f>
        <v>59445</v>
      </c>
    </row>
    <row r="676">
      <c r="A676" s="2">
        <f>IFERROR(__xludf.DUMMYFUNCTION("""COMPUTED_VALUE"""),40147.666666666664)</f>
        <v>40147.66667</v>
      </c>
      <c r="B676" s="1">
        <f>IFERROR(__xludf.DUMMYFUNCTION("""COMPUTED_VALUE"""),0.97)</f>
        <v>0.97</v>
      </c>
      <c r="C676" s="1">
        <f>IFERROR(__xludf.DUMMYFUNCTION("""COMPUTED_VALUE"""),0.98)</f>
        <v>0.98</v>
      </c>
      <c r="D676" s="1">
        <f>IFERROR(__xludf.DUMMYFUNCTION("""COMPUTED_VALUE"""),0.94)</f>
        <v>0.94</v>
      </c>
      <c r="E676" s="1">
        <f>IFERROR(__xludf.DUMMYFUNCTION("""COMPUTED_VALUE"""),0.97)</f>
        <v>0.97</v>
      </c>
      <c r="F676" s="1">
        <f>IFERROR(__xludf.DUMMYFUNCTION("""COMPUTED_VALUE"""),95698.0)</f>
        <v>95698</v>
      </c>
    </row>
    <row r="677">
      <c r="A677" s="2">
        <f>IFERROR(__xludf.DUMMYFUNCTION("""COMPUTED_VALUE"""),40148.666666666664)</f>
        <v>40148.66667</v>
      </c>
      <c r="B677" s="1">
        <f>IFERROR(__xludf.DUMMYFUNCTION("""COMPUTED_VALUE"""),0.98)</f>
        <v>0.98</v>
      </c>
      <c r="C677" s="1">
        <f>IFERROR(__xludf.DUMMYFUNCTION("""COMPUTED_VALUE"""),1.01)</f>
        <v>1.01</v>
      </c>
      <c r="D677" s="1">
        <f>IFERROR(__xludf.DUMMYFUNCTION("""COMPUTED_VALUE"""),0.97)</f>
        <v>0.97</v>
      </c>
      <c r="E677" s="1">
        <f>IFERROR(__xludf.DUMMYFUNCTION("""COMPUTED_VALUE"""),1.01)</f>
        <v>1.01</v>
      </c>
      <c r="F677" s="1">
        <f>IFERROR(__xludf.DUMMYFUNCTION("""COMPUTED_VALUE"""),212816.0)</f>
        <v>212816</v>
      </c>
    </row>
    <row r="678">
      <c r="A678" s="2">
        <f>IFERROR(__xludf.DUMMYFUNCTION("""COMPUTED_VALUE"""),40149.666666666664)</f>
        <v>40149.66667</v>
      </c>
      <c r="B678" s="1">
        <f>IFERROR(__xludf.DUMMYFUNCTION("""COMPUTED_VALUE"""),1.01)</f>
        <v>1.01</v>
      </c>
      <c r="C678" s="1">
        <f>IFERROR(__xludf.DUMMYFUNCTION("""COMPUTED_VALUE"""),1.02)</f>
        <v>1.02</v>
      </c>
      <c r="D678" s="1">
        <f>IFERROR(__xludf.DUMMYFUNCTION("""COMPUTED_VALUE"""),1.01)</f>
        <v>1.01</v>
      </c>
      <c r="E678" s="1">
        <f>IFERROR(__xludf.DUMMYFUNCTION("""COMPUTED_VALUE"""),1.02)</f>
        <v>1.02</v>
      </c>
      <c r="F678" s="1">
        <f>IFERROR(__xludf.DUMMYFUNCTION("""COMPUTED_VALUE"""),191230.0)</f>
        <v>191230</v>
      </c>
    </row>
    <row r="679">
      <c r="A679" s="2">
        <f>IFERROR(__xludf.DUMMYFUNCTION("""COMPUTED_VALUE"""),40150.666666666664)</f>
        <v>40150.66667</v>
      </c>
      <c r="B679" s="1">
        <f>IFERROR(__xludf.DUMMYFUNCTION("""COMPUTED_VALUE"""),1.01)</f>
        <v>1.01</v>
      </c>
      <c r="C679" s="1">
        <f>IFERROR(__xludf.DUMMYFUNCTION("""COMPUTED_VALUE"""),1.03)</f>
        <v>1.03</v>
      </c>
      <c r="D679" s="1">
        <f>IFERROR(__xludf.DUMMYFUNCTION("""COMPUTED_VALUE"""),1.0)</f>
        <v>1</v>
      </c>
      <c r="E679" s="1">
        <f>IFERROR(__xludf.DUMMYFUNCTION("""COMPUTED_VALUE"""),1.02)</f>
        <v>1.02</v>
      </c>
      <c r="F679" s="1">
        <f>IFERROR(__xludf.DUMMYFUNCTION("""COMPUTED_VALUE"""),154164.0)</f>
        <v>154164</v>
      </c>
    </row>
    <row r="680">
      <c r="A680" s="2">
        <f>IFERROR(__xludf.DUMMYFUNCTION("""COMPUTED_VALUE"""),40151.666666666664)</f>
        <v>40151.66667</v>
      </c>
      <c r="B680" s="1">
        <f>IFERROR(__xludf.DUMMYFUNCTION("""COMPUTED_VALUE"""),1.02)</f>
        <v>1.02</v>
      </c>
      <c r="C680" s="1">
        <f>IFERROR(__xludf.DUMMYFUNCTION("""COMPUTED_VALUE"""),1.03)</f>
        <v>1.03</v>
      </c>
      <c r="D680" s="1">
        <f>IFERROR(__xludf.DUMMYFUNCTION("""COMPUTED_VALUE"""),1.02)</f>
        <v>1.02</v>
      </c>
      <c r="E680" s="1">
        <f>IFERROR(__xludf.DUMMYFUNCTION("""COMPUTED_VALUE"""),1.03)</f>
        <v>1.03</v>
      </c>
      <c r="F680" s="1">
        <f>IFERROR(__xludf.DUMMYFUNCTION("""COMPUTED_VALUE"""),98730.0)</f>
        <v>98730</v>
      </c>
    </row>
    <row r="681">
      <c r="A681" s="2">
        <f>IFERROR(__xludf.DUMMYFUNCTION("""COMPUTED_VALUE"""),40154.666666666664)</f>
        <v>40154.66667</v>
      </c>
      <c r="B681" s="1">
        <f>IFERROR(__xludf.DUMMYFUNCTION("""COMPUTED_VALUE"""),1.03)</f>
        <v>1.03</v>
      </c>
      <c r="C681" s="1">
        <f>IFERROR(__xludf.DUMMYFUNCTION("""COMPUTED_VALUE"""),1.05)</f>
        <v>1.05</v>
      </c>
      <c r="D681" s="1">
        <f>IFERROR(__xludf.DUMMYFUNCTION("""COMPUTED_VALUE"""),1.03)</f>
        <v>1.03</v>
      </c>
      <c r="E681" s="1">
        <f>IFERROR(__xludf.DUMMYFUNCTION("""COMPUTED_VALUE"""),1.05)</f>
        <v>1.05</v>
      </c>
      <c r="F681" s="1">
        <f>IFERROR(__xludf.DUMMYFUNCTION("""COMPUTED_VALUE"""),154790.0)</f>
        <v>154790</v>
      </c>
    </row>
    <row r="682">
      <c r="A682" s="2">
        <f>IFERROR(__xludf.DUMMYFUNCTION("""COMPUTED_VALUE"""),40155.666666666664)</f>
        <v>40155.66667</v>
      </c>
      <c r="B682" s="1">
        <f>IFERROR(__xludf.DUMMYFUNCTION("""COMPUTED_VALUE"""),1.03)</f>
        <v>1.03</v>
      </c>
      <c r="C682" s="1">
        <f>IFERROR(__xludf.DUMMYFUNCTION("""COMPUTED_VALUE"""),1.06)</f>
        <v>1.06</v>
      </c>
      <c r="D682" s="1">
        <f>IFERROR(__xludf.DUMMYFUNCTION("""COMPUTED_VALUE"""),1.03)</f>
        <v>1.03</v>
      </c>
      <c r="E682" s="1">
        <f>IFERROR(__xludf.DUMMYFUNCTION("""COMPUTED_VALUE"""),1.05)</f>
        <v>1.05</v>
      </c>
      <c r="F682" s="1">
        <f>IFERROR(__xludf.DUMMYFUNCTION("""COMPUTED_VALUE"""),133175.0)</f>
        <v>133175</v>
      </c>
    </row>
    <row r="683">
      <c r="A683" s="2">
        <f>IFERROR(__xludf.DUMMYFUNCTION("""COMPUTED_VALUE"""),40156.666666666664)</f>
        <v>40156.66667</v>
      </c>
      <c r="B683" s="1">
        <f>IFERROR(__xludf.DUMMYFUNCTION("""COMPUTED_VALUE"""),1.05)</f>
        <v>1.05</v>
      </c>
      <c r="C683" s="1">
        <f>IFERROR(__xludf.DUMMYFUNCTION("""COMPUTED_VALUE"""),1.09)</f>
        <v>1.09</v>
      </c>
      <c r="D683" s="1">
        <f>IFERROR(__xludf.DUMMYFUNCTION("""COMPUTED_VALUE"""),1.04)</f>
        <v>1.04</v>
      </c>
      <c r="E683" s="1">
        <f>IFERROR(__xludf.DUMMYFUNCTION("""COMPUTED_VALUE"""),1.08)</f>
        <v>1.08</v>
      </c>
      <c r="F683" s="1">
        <f>IFERROR(__xludf.DUMMYFUNCTION("""COMPUTED_VALUE"""),269206.0)</f>
        <v>269206</v>
      </c>
    </row>
    <row r="684">
      <c r="A684" s="2">
        <f>IFERROR(__xludf.DUMMYFUNCTION("""COMPUTED_VALUE"""),40157.666666666664)</f>
        <v>40157.66667</v>
      </c>
      <c r="B684" s="1">
        <f>IFERROR(__xludf.DUMMYFUNCTION("""COMPUTED_VALUE"""),1.09)</f>
        <v>1.09</v>
      </c>
      <c r="C684" s="1">
        <f>IFERROR(__xludf.DUMMYFUNCTION("""COMPUTED_VALUE"""),1.14)</f>
        <v>1.14</v>
      </c>
      <c r="D684" s="1">
        <f>IFERROR(__xludf.DUMMYFUNCTION("""COMPUTED_VALUE"""),1.08)</f>
        <v>1.08</v>
      </c>
      <c r="E684" s="1">
        <f>IFERROR(__xludf.DUMMYFUNCTION("""COMPUTED_VALUE"""),1.11)</f>
        <v>1.11</v>
      </c>
      <c r="F684" s="1">
        <f>IFERROR(__xludf.DUMMYFUNCTION("""COMPUTED_VALUE"""),406282.0)</f>
        <v>406282</v>
      </c>
    </row>
    <row r="685">
      <c r="A685" s="2">
        <f>IFERROR(__xludf.DUMMYFUNCTION("""COMPUTED_VALUE"""),40158.666666666664)</f>
        <v>40158.66667</v>
      </c>
      <c r="B685" s="1">
        <f>IFERROR(__xludf.DUMMYFUNCTION("""COMPUTED_VALUE"""),1.12)</f>
        <v>1.12</v>
      </c>
      <c r="C685" s="1">
        <f>IFERROR(__xludf.DUMMYFUNCTION("""COMPUTED_VALUE"""),1.14)</f>
        <v>1.14</v>
      </c>
      <c r="D685" s="1">
        <f>IFERROR(__xludf.DUMMYFUNCTION("""COMPUTED_VALUE"""),1.11)</f>
        <v>1.11</v>
      </c>
      <c r="E685" s="1">
        <f>IFERROR(__xludf.DUMMYFUNCTION("""COMPUTED_VALUE"""),1.13)</f>
        <v>1.13</v>
      </c>
      <c r="F685" s="1">
        <f>IFERROR(__xludf.DUMMYFUNCTION("""COMPUTED_VALUE"""),197646.0)</f>
        <v>197646</v>
      </c>
    </row>
    <row r="686">
      <c r="A686" s="2">
        <f>IFERROR(__xludf.DUMMYFUNCTION("""COMPUTED_VALUE"""),40161.666666666664)</f>
        <v>40161.66667</v>
      </c>
      <c r="B686" s="1">
        <f>IFERROR(__xludf.DUMMYFUNCTION("""COMPUTED_VALUE"""),1.13)</f>
        <v>1.13</v>
      </c>
      <c r="C686" s="1">
        <f>IFERROR(__xludf.DUMMYFUNCTION("""COMPUTED_VALUE"""),1.14)</f>
        <v>1.14</v>
      </c>
      <c r="D686" s="1">
        <f>IFERROR(__xludf.DUMMYFUNCTION("""COMPUTED_VALUE"""),1.12)</f>
        <v>1.12</v>
      </c>
      <c r="E686" s="1">
        <f>IFERROR(__xludf.DUMMYFUNCTION("""COMPUTED_VALUE"""),1.14)</f>
        <v>1.14</v>
      </c>
      <c r="F686" s="1">
        <f>IFERROR(__xludf.DUMMYFUNCTION("""COMPUTED_VALUE"""),105250.0)</f>
        <v>105250</v>
      </c>
    </row>
    <row r="687">
      <c r="A687" s="2">
        <f>IFERROR(__xludf.DUMMYFUNCTION("""COMPUTED_VALUE"""),40162.666666666664)</f>
        <v>40162.66667</v>
      </c>
      <c r="B687" s="1">
        <f>IFERROR(__xludf.DUMMYFUNCTION("""COMPUTED_VALUE"""),1.13)</f>
        <v>1.13</v>
      </c>
      <c r="C687" s="1">
        <f>IFERROR(__xludf.DUMMYFUNCTION("""COMPUTED_VALUE"""),1.15)</f>
        <v>1.15</v>
      </c>
      <c r="D687" s="1">
        <f>IFERROR(__xludf.DUMMYFUNCTION("""COMPUTED_VALUE"""),1.13)</f>
        <v>1.13</v>
      </c>
      <c r="E687" s="1">
        <f>IFERROR(__xludf.DUMMYFUNCTION("""COMPUTED_VALUE"""),1.13)</f>
        <v>1.13</v>
      </c>
      <c r="F687" s="1">
        <f>IFERROR(__xludf.DUMMYFUNCTION("""COMPUTED_VALUE"""),186328.0)</f>
        <v>186328</v>
      </c>
    </row>
    <row r="688">
      <c r="A688" s="2">
        <f>IFERROR(__xludf.DUMMYFUNCTION("""COMPUTED_VALUE"""),40163.666666666664)</f>
        <v>40163.66667</v>
      </c>
      <c r="B688" s="1">
        <f>IFERROR(__xludf.DUMMYFUNCTION("""COMPUTED_VALUE"""),1.14)</f>
        <v>1.14</v>
      </c>
      <c r="C688" s="1">
        <f>IFERROR(__xludf.DUMMYFUNCTION("""COMPUTED_VALUE"""),1.14)</f>
        <v>1.14</v>
      </c>
      <c r="D688" s="1">
        <f>IFERROR(__xludf.DUMMYFUNCTION("""COMPUTED_VALUE"""),1.11)</f>
        <v>1.11</v>
      </c>
      <c r="E688" s="1">
        <f>IFERROR(__xludf.DUMMYFUNCTION("""COMPUTED_VALUE"""),1.12)</f>
        <v>1.12</v>
      </c>
      <c r="F688" s="1">
        <f>IFERROR(__xludf.DUMMYFUNCTION("""COMPUTED_VALUE"""),124809.0)</f>
        <v>124809</v>
      </c>
    </row>
    <row r="689">
      <c r="A689" s="2">
        <f>IFERROR(__xludf.DUMMYFUNCTION("""COMPUTED_VALUE"""),40164.666666666664)</f>
        <v>40164.66667</v>
      </c>
      <c r="B689" s="1">
        <f>IFERROR(__xludf.DUMMYFUNCTION("""COMPUTED_VALUE"""),1.11)</f>
        <v>1.11</v>
      </c>
      <c r="C689" s="1">
        <f>IFERROR(__xludf.DUMMYFUNCTION("""COMPUTED_VALUE"""),1.11)</f>
        <v>1.11</v>
      </c>
      <c r="D689" s="1">
        <f>IFERROR(__xludf.DUMMYFUNCTION("""COMPUTED_VALUE"""),1.07)</f>
        <v>1.07</v>
      </c>
      <c r="E689" s="1">
        <f>IFERROR(__xludf.DUMMYFUNCTION("""COMPUTED_VALUE"""),1.08)</f>
        <v>1.08</v>
      </c>
      <c r="F689" s="1">
        <f>IFERROR(__xludf.DUMMYFUNCTION("""COMPUTED_VALUE"""),88294.0)</f>
        <v>88294</v>
      </c>
    </row>
    <row r="690">
      <c r="A690" s="2">
        <f>IFERROR(__xludf.DUMMYFUNCTION("""COMPUTED_VALUE"""),40165.666666666664)</f>
        <v>40165.66667</v>
      </c>
      <c r="B690" s="1">
        <f>IFERROR(__xludf.DUMMYFUNCTION("""COMPUTED_VALUE"""),1.07)</f>
        <v>1.07</v>
      </c>
      <c r="C690" s="1">
        <f>IFERROR(__xludf.DUMMYFUNCTION("""COMPUTED_VALUE"""),1.09)</f>
        <v>1.09</v>
      </c>
      <c r="D690" s="1">
        <f>IFERROR(__xludf.DUMMYFUNCTION("""COMPUTED_VALUE"""),1.03)</f>
        <v>1.03</v>
      </c>
      <c r="E690" s="1">
        <f>IFERROR(__xludf.DUMMYFUNCTION("""COMPUTED_VALUE"""),1.09)</f>
        <v>1.09</v>
      </c>
      <c r="F690" s="1">
        <f>IFERROR(__xludf.DUMMYFUNCTION("""COMPUTED_VALUE"""),331437.0)</f>
        <v>331437</v>
      </c>
    </row>
    <row r="691">
      <c r="A691" s="2">
        <f>IFERROR(__xludf.DUMMYFUNCTION("""COMPUTED_VALUE"""),40168.666666666664)</f>
        <v>40168.66667</v>
      </c>
      <c r="B691" s="1">
        <f>IFERROR(__xludf.DUMMYFUNCTION("""COMPUTED_VALUE"""),1.09)</f>
        <v>1.09</v>
      </c>
      <c r="C691" s="1">
        <f>IFERROR(__xludf.DUMMYFUNCTION("""COMPUTED_VALUE"""),1.11)</f>
        <v>1.11</v>
      </c>
      <c r="D691" s="1">
        <f>IFERROR(__xludf.DUMMYFUNCTION("""COMPUTED_VALUE"""),1.08)</f>
        <v>1.08</v>
      </c>
      <c r="E691" s="1">
        <f>IFERROR(__xludf.DUMMYFUNCTION("""COMPUTED_VALUE"""),1.11)</f>
        <v>1.11</v>
      </c>
      <c r="F691" s="1">
        <f>IFERROR(__xludf.DUMMYFUNCTION("""COMPUTED_VALUE"""),139100.0)</f>
        <v>139100</v>
      </c>
    </row>
    <row r="692">
      <c r="A692" s="2">
        <f>IFERROR(__xludf.DUMMYFUNCTION("""COMPUTED_VALUE"""),40169.666666666664)</f>
        <v>40169.66667</v>
      </c>
      <c r="B692" s="1">
        <f>IFERROR(__xludf.DUMMYFUNCTION("""COMPUTED_VALUE"""),1.11)</f>
        <v>1.11</v>
      </c>
      <c r="C692" s="1">
        <f>IFERROR(__xludf.DUMMYFUNCTION("""COMPUTED_VALUE"""),1.15)</f>
        <v>1.15</v>
      </c>
      <c r="D692" s="1">
        <f>IFERROR(__xludf.DUMMYFUNCTION("""COMPUTED_VALUE"""),1.1)</f>
        <v>1.1</v>
      </c>
      <c r="E692" s="1">
        <f>IFERROR(__xludf.DUMMYFUNCTION("""COMPUTED_VALUE"""),1.15)</f>
        <v>1.15</v>
      </c>
      <c r="F692" s="1">
        <f>IFERROR(__xludf.DUMMYFUNCTION("""COMPUTED_VALUE"""),145920.0)</f>
        <v>145920</v>
      </c>
    </row>
    <row r="693">
      <c r="A693" s="2">
        <f>IFERROR(__xludf.DUMMYFUNCTION("""COMPUTED_VALUE"""),40170.666666666664)</f>
        <v>40170.66667</v>
      </c>
      <c r="B693" s="1">
        <f>IFERROR(__xludf.DUMMYFUNCTION("""COMPUTED_VALUE"""),1.13)</f>
        <v>1.13</v>
      </c>
      <c r="C693" s="1">
        <f>IFERROR(__xludf.DUMMYFUNCTION("""COMPUTED_VALUE"""),1.15)</f>
        <v>1.15</v>
      </c>
      <c r="D693" s="1">
        <f>IFERROR(__xludf.DUMMYFUNCTION("""COMPUTED_VALUE"""),1.13)</f>
        <v>1.13</v>
      </c>
      <c r="E693" s="1">
        <f>IFERROR(__xludf.DUMMYFUNCTION("""COMPUTED_VALUE"""),1.13)</f>
        <v>1.13</v>
      </c>
      <c r="F693" s="1">
        <f>IFERROR(__xludf.DUMMYFUNCTION("""COMPUTED_VALUE"""),64102.0)</f>
        <v>64102</v>
      </c>
    </row>
    <row r="694">
      <c r="A694" s="2">
        <f>IFERROR(__xludf.DUMMYFUNCTION("""COMPUTED_VALUE"""),40171.666666666664)</f>
        <v>40171.66667</v>
      </c>
      <c r="B694" s="1">
        <f>IFERROR(__xludf.DUMMYFUNCTION("""COMPUTED_VALUE"""),1.13)</f>
        <v>1.13</v>
      </c>
      <c r="C694" s="1">
        <f>IFERROR(__xludf.DUMMYFUNCTION("""COMPUTED_VALUE"""),1.14)</f>
        <v>1.14</v>
      </c>
      <c r="D694" s="1">
        <f>IFERROR(__xludf.DUMMYFUNCTION("""COMPUTED_VALUE"""),1.13)</f>
        <v>1.13</v>
      </c>
      <c r="E694" s="1">
        <f>IFERROR(__xludf.DUMMYFUNCTION("""COMPUTED_VALUE"""),1.14)</f>
        <v>1.14</v>
      </c>
      <c r="F694" s="1">
        <f>IFERROR(__xludf.DUMMYFUNCTION("""COMPUTED_VALUE"""),17459.0)</f>
        <v>17459</v>
      </c>
    </row>
    <row r="695">
      <c r="A695" s="2">
        <f>IFERROR(__xludf.DUMMYFUNCTION("""COMPUTED_VALUE"""),40175.666666666664)</f>
        <v>40175.66667</v>
      </c>
      <c r="B695" s="1">
        <f>IFERROR(__xludf.DUMMYFUNCTION("""COMPUTED_VALUE"""),1.13)</f>
        <v>1.13</v>
      </c>
      <c r="C695" s="1">
        <f>IFERROR(__xludf.DUMMYFUNCTION("""COMPUTED_VALUE"""),1.14)</f>
        <v>1.14</v>
      </c>
      <c r="D695" s="1">
        <f>IFERROR(__xludf.DUMMYFUNCTION("""COMPUTED_VALUE"""),1.12)</f>
        <v>1.12</v>
      </c>
      <c r="E695" s="1">
        <f>IFERROR(__xludf.DUMMYFUNCTION("""COMPUTED_VALUE"""),1.14)</f>
        <v>1.14</v>
      </c>
      <c r="F695" s="1">
        <f>IFERROR(__xludf.DUMMYFUNCTION("""COMPUTED_VALUE"""),70058.0)</f>
        <v>70058</v>
      </c>
    </row>
    <row r="696">
      <c r="A696" s="2">
        <f>IFERROR(__xludf.DUMMYFUNCTION("""COMPUTED_VALUE"""),40176.666666666664)</f>
        <v>40176.66667</v>
      </c>
      <c r="B696" s="1">
        <f>IFERROR(__xludf.DUMMYFUNCTION("""COMPUTED_VALUE"""),1.14)</f>
        <v>1.14</v>
      </c>
      <c r="C696" s="1">
        <f>IFERROR(__xludf.DUMMYFUNCTION("""COMPUTED_VALUE"""),1.15)</f>
        <v>1.15</v>
      </c>
      <c r="D696" s="1">
        <f>IFERROR(__xludf.DUMMYFUNCTION("""COMPUTED_VALUE"""),1.12)</f>
        <v>1.12</v>
      </c>
      <c r="E696" s="1">
        <f>IFERROR(__xludf.DUMMYFUNCTION("""COMPUTED_VALUE"""),1.13)</f>
        <v>1.13</v>
      </c>
      <c r="F696" s="1">
        <f>IFERROR(__xludf.DUMMYFUNCTION("""COMPUTED_VALUE"""),44791.0)</f>
        <v>44791</v>
      </c>
    </row>
    <row r="697">
      <c r="A697" s="2">
        <f>IFERROR(__xludf.DUMMYFUNCTION("""COMPUTED_VALUE"""),40177.666666666664)</f>
        <v>40177.66667</v>
      </c>
      <c r="B697" s="1">
        <f>IFERROR(__xludf.DUMMYFUNCTION("""COMPUTED_VALUE"""),1.12)</f>
        <v>1.12</v>
      </c>
      <c r="C697" s="1">
        <f>IFERROR(__xludf.DUMMYFUNCTION("""COMPUTED_VALUE"""),1.13)</f>
        <v>1.13</v>
      </c>
      <c r="D697" s="1">
        <f>IFERROR(__xludf.DUMMYFUNCTION("""COMPUTED_VALUE"""),1.12)</f>
        <v>1.12</v>
      </c>
      <c r="E697" s="1">
        <f>IFERROR(__xludf.DUMMYFUNCTION("""COMPUTED_VALUE"""),1.13)</f>
        <v>1.13</v>
      </c>
      <c r="F697" s="1">
        <f>IFERROR(__xludf.DUMMYFUNCTION("""COMPUTED_VALUE"""),74305.0)</f>
        <v>74305</v>
      </c>
    </row>
    <row r="698">
      <c r="A698" s="2">
        <f>IFERROR(__xludf.DUMMYFUNCTION("""COMPUTED_VALUE"""),40178.666666666664)</f>
        <v>40178.66667</v>
      </c>
      <c r="B698" s="1">
        <f>IFERROR(__xludf.DUMMYFUNCTION("""COMPUTED_VALUE"""),1.13)</f>
        <v>1.13</v>
      </c>
      <c r="C698" s="1">
        <f>IFERROR(__xludf.DUMMYFUNCTION("""COMPUTED_VALUE"""),1.13)</f>
        <v>1.13</v>
      </c>
      <c r="D698" s="1">
        <f>IFERROR(__xludf.DUMMYFUNCTION("""COMPUTED_VALUE"""),1.11)</f>
        <v>1.11</v>
      </c>
      <c r="E698" s="1">
        <f>IFERROR(__xludf.DUMMYFUNCTION("""COMPUTED_VALUE"""),1.11)</f>
        <v>1.11</v>
      </c>
      <c r="F698" s="1">
        <f>IFERROR(__xludf.DUMMYFUNCTION("""COMPUTED_VALUE"""),83248.0)</f>
        <v>83248</v>
      </c>
    </row>
    <row r="699">
      <c r="A699" s="2">
        <f>IFERROR(__xludf.DUMMYFUNCTION("""COMPUTED_VALUE"""),40182.666666666664)</f>
        <v>40182.66667</v>
      </c>
      <c r="B699" s="1">
        <f>IFERROR(__xludf.DUMMYFUNCTION("""COMPUTED_VALUE"""),1.12)</f>
        <v>1.12</v>
      </c>
      <c r="C699" s="1">
        <f>IFERROR(__xludf.DUMMYFUNCTION("""COMPUTED_VALUE"""),1.16)</f>
        <v>1.16</v>
      </c>
      <c r="D699" s="1">
        <f>IFERROR(__xludf.DUMMYFUNCTION("""COMPUTED_VALUE"""),1.11)</f>
        <v>1.11</v>
      </c>
      <c r="E699" s="1">
        <f>IFERROR(__xludf.DUMMYFUNCTION("""COMPUTED_VALUE"""),1.15)</f>
        <v>1.15</v>
      </c>
      <c r="F699" s="1">
        <f>IFERROR(__xludf.DUMMYFUNCTION("""COMPUTED_VALUE"""),139576.0)</f>
        <v>139576</v>
      </c>
    </row>
    <row r="700">
      <c r="A700" s="2">
        <f>IFERROR(__xludf.DUMMYFUNCTION("""COMPUTED_VALUE"""),40183.666666666664)</f>
        <v>40183.66667</v>
      </c>
      <c r="B700" s="1">
        <f>IFERROR(__xludf.DUMMYFUNCTION("""COMPUTED_VALUE"""),1.14)</f>
        <v>1.14</v>
      </c>
      <c r="C700" s="1">
        <f>IFERROR(__xludf.DUMMYFUNCTION("""COMPUTED_VALUE"""),1.16)</f>
        <v>1.16</v>
      </c>
      <c r="D700" s="1">
        <f>IFERROR(__xludf.DUMMYFUNCTION("""COMPUTED_VALUE"""),1.12)</f>
        <v>1.12</v>
      </c>
      <c r="E700" s="1">
        <f>IFERROR(__xludf.DUMMYFUNCTION("""COMPUTED_VALUE"""),1.13)</f>
        <v>1.13</v>
      </c>
      <c r="F700" s="1">
        <f>IFERROR(__xludf.DUMMYFUNCTION("""COMPUTED_VALUE"""),115730.0)</f>
        <v>115730</v>
      </c>
    </row>
    <row r="701">
      <c r="A701" s="2">
        <f>IFERROR(__xludf.DUMMYFUNCTION("""COMPUTED_VALUE"""),40184.666666666664)</f>
        <v>40184.66667</v>
      </c>
      <c r="B701" s="1">
        <f>IFERROR(__xludf.DUMMYFUNCTION("""COMPUTED_VALUE"""),1.12)</f>
        <v>1.12</v>
      </c>
      <c r="C701" s="1">
        <f>IFERROR(__xludf.DUMMYFUNCTION("""COMPUTED_VALUE"""),1.15)</f>
        <v>1.15</v>
      </c>
      <c r="D701" s="1">
        <f>IFERROR(__xludf.DUMMYFUNCTION("""COMPUTED_VALUE"""),1.11)</f>
        <v>1.11</v>
      </c>
      <c r="E701" s="1">
        <f>IFERROR(__xludf.DUMMYFUNCTION("""COMPUTED_VALUE"""),1.15)</f>
        <v>1.15</v>
      </c>
      <c r="F701" s="1">
        <f>IFERROR(__xludf.DUMMYFUNCTION("""COMPUTED_VALUE"""),85285.0)</f>
        <v>85285</v>
      </c>
    </row>
    <row r="702">
      <c r="A702" s="2">
        <f>IFERROR(__xludf.DUMMYFUNCTION("""COMPUTED_VALUE"""),40185.666666666664)</f>
        <v>40185.66667</v>
      </c>
      <c r="B702" s="1">
        <f>IFERROR(__xludf.DUMMYFUNCTION("""COMPUTED_VALUE"""),1.14)</f>
        <v>1.14</v>
      </c>
      <c r="C702" s="1">
        <f>IFERROR(__xludf.DUMMYFUNCTION("""COMPUTED_VALUE"""),1.16)</f>
        <v>1.16</v>
      </c>
      <c r="D702" s="1">
        <f>IFERROR(__xludf.DUMMYFUNCTION("""COMPUTED_VALUE"""),1.14)</f>
        <v>1.14</v>
      </c>
      <c r="E702" s="1">
        <f>IFERROR(__xludf.DUMMYFUNCTION("""COMPUTED_VALUE"""),1.16)</f>
        <v>1.16</v>
      </c>
      <c r="F702" s="1">
        <f>IFERROR(__xludf.DUMMYFUNCTION("""COMPUTED_VALUE"""),114610.0)</f>
        <v>114610</v>
      </c>
    </row>
    <row r="703">
      <c r="A703" s="2">
        <f>IFERROR(__xludf.DUMMYFUNCTION("""COMPUTED_VALUE"""),40186.666666666664)</f>
        <v>40186.66667</v>
      </c>
      <c r="B703" s="1">
        <f>IFERROR(__xludf.DUMMYFUNCTION("""COMPUTED_VALUE"""),1.15)</f>
        <v>1.15</v>
      </c>
      <c r="C703" s="1">
        <f>IFERROR(__xludf.DUMMYFUNCTION("""COMPUTED_VALUE"""),1.17)</f>
        <v>1.17</v>
      </c>
      <c r="D703" s="1">
        <f>IFERROR(__xludf.DUMMYFUNCTION("""COMPUTED_VALUE"""),1.15)</f>
        <v>1.15</v>
      </c>
      <c r="E703" s="1">
        <f>IFERROR(__xludf.DUMMYFUNCTION("""COMPUTED_VALUE"""),1.17)</f>
        <v>1.17</v>
      </c>
      <c r="F703" s="1">
        <f>IFERROR(__xludf.DUMMYFUNCTION("""COMPUTED_VALUE"""),57706.0)</f>
        <v>57706</v>
      </c>
    </row>
    <row r="704">
      <c r="A704" s="2">
        <f>IFERROR(__xludf.DUMMYFUNCTION("""COMPUTED_VALUE"""),40189.666666666664)</f>
        <v>40189.66667</v>
      </c>
      <c r="B704" s="1">
        <f>IFERROR(__xludf.DUMMYFUNCTION("""COMPUTED_VALUE"""),1.17)</f>
        <v>1.17</v>
      </c>
      <c r="C704" s="1">
        <f>IFERROR(__xludf.DUMMYFUNCTION("""COMPUTED_VALUE"""),1.17)</f>
        <v>1.17</v>
      </c>
      <c r="D704" s="1">
        <f>IFERROR(__xludf.DUMMYFUNCTION("""COMPUTED_VALUE"""),1.15)</f>
        <v>1.15</v>
      </c>
      <c r="E704" s="1">
        <f>IFERROR(__xludf.DUMMYFUNCTION("""COMPUTED_VALUE"""),1.17)</f>
        <v>1.17</v>
      </c>
      <c r="F704" s="1">
        <f>IFERROR(__xludf.DUMMYFUNCTION("""COMPUTED_VALUE"""),58240.0)</f>
        <v>58240</v>
      </c>
    </row>
    <row r="705">
      <c r="A705" s="2">
        <f>IFERROR(__xludf.DUMMYFUNCTION("""COMPUTED_VALUE"""),40190.666666666664)</f>
        <v>40190.66667</v>
      </c>
      <c r="B705" s="1">
        <f>IFERROR(__xludf.DUMMYFUNCTION("""COMPUTED_VALUE"""),1.17)</f>
        <v>1.17</v>
      </c>
      <c r="C705" s="1">
        <f>IFERROR(__xludf.DUMMYFUNCTION("""COMPUTED_VALUE"""),1.18)</f>
        <v>1.18</v>
      </c>
      <c r="D705" s="1">
        <f>IFERROR(__xludf.DUMMYFUNCTION("""COMPUTED_VALUE"""),1.15)</f>
        <v>1.15</v>
      </c>
      <c r="E705" s="1">
        <f>IFERROR(__xludf.DUMMYFUNCTION("""COMPUTED_VALUE"""),1.16)</f>
        <v>1.16</v>
      </c>
      <c r="F705" s="1">
        <f>IFERROR(__xludf.DUMMYFUNCTION("""COMPUTED_VALUE"""),79378.0)</f>
        <v>79378</v>
      </c>
    </row>
    <row r="706">
      <c r="A706" s="2">
        <f>IFERROR(__xludf.DUMMYFUNCTION("""COMPUTED_VALUE"""),40191.666666666664)</f>
        <v>40191.66667</v>
      </c>
      <c r="B706" s="1">
        <f>IFERROR(__xludf.DUMMYFUNCTION("""COMPUTED_VALUE"""),1.15)</f>
        <v>1.15</v>
      </c>
      <c r="C706" s="1">
        <f>IFERROR(__xludf.DUMMYFUNCTION("""COMPUTED_VALUE"""),1.31)</f>
        <v>1.31</v>
      </c>
      <c r="D706" s="1">
        <f>IFERROR(__xludf.DUMMYFUNCTION("""COMPUTED_VALUE"""),1.15)</f>
        <v>1.15</v>
      </c>
      <c r="E706" s="1">
        <f>IFERROR(__xludf.DUMMYFUNCTION("""COMPUTED_VALUE"""),1.3)</f>
        <v>1.3</v>
      </c>
      <c r="F706" s="1">
        <f>IFERROR(__xludf.DUMMYFUNCTION("""COMPUTED_VALUE"""),448165.0)</f>
        <v>448165</v>
      </c>
    </row>
    <row r="707">
      <c r="A707" s="2">
        <f>IFERROR(__xludf.DUMMYFUNCTION("""COMPUTED_VALUE"""),40192.666666666664)</f>
        <v>40192.66667</v>
      </c>
      <c r="B707" s="1">
        <f>IFERROR(__xludf.DUMMYFUNCTION("""COMPUTED_VALUE"""),1.28)</f>
        <v>1.28</v>
      </c>
      <c r="C707" s="1">
        <f>IFERROR(__xludf.DUMMYFUNCTION("""COMPUTED_VALUE"""),1.3)</f>
        <v>1.3</v>
      </c>
      <c r="D707" s="1">
        <f>IFERROR(__xludf.DUMMYFUNCTION("""COMPUTED_VALUE"""),1.25)</f>
        <v>1.25</v>
      </c>
      <c r="E707" s="1">
        <f>IFERROR(__xludf.DUMMYFUNCTION("""COMPUTED_VALUE"""),1.26)</f>
        <v>1.26</v>
      </c>
      <c r="F707" s="1">
        <f>IFERROR(__xludf.DUMMYFUNCTION("""COMPUTED_VALUE"""),126835.0)</f>
        <v>126835</v>
      </c>
    </row>
    <row r="708">
      <c r="A708" s="2">
        <f>IFERROR(__xludf.DUMMYFUNCTION("""COMPUTED_VALUE"""),40193.666666666664)</f>
        <v>40193.66667</v>
      </c>
      <c r="B708" s="1">
        <f>IFERROR(__xludf.DUMMYFUNCTION("""COMPUTED_VALUE"""),1.28)</f>
        <v>1.28</v>
      </c>
      <c r="C708" s="1">
        <f>IFERROR(__xludf.DUMMYFUNCTION("""COMPUTED_VALUE"""),1.29)</f>
        <v>1.29</v>
      </c>
      <c r="D708" s="1">
        <f>IFERROR(__xludf.DUMMYFUNCTION("""COMPUTED_VALUE"""),1.25)</f>
        <v>1.25</v>
      </c>
      <c r="E708" s="1">
        <f>IFERROR(__xludf.DUMMYFUNCTION("""COMPUTED_VALUE"""),1.28)</f>
        <v>1.28</v>
      </c>
      <c r="F708" s="1">
        <f>IFERROR(__xludf.DUMMYFUNCTION("""COMPUTED_VALUE"""),165277.0)</f>
        <v>165277</v>
      </c>
    </row>
    <row r="709">
      <c r="A709" s="2">
        <f>IFERROR(__xludf.DUMMYFUNCTION("""COMPUTED_VALUE"""),40197.666666666664)</f>
        <v>40197.66667</v>
      </c>
      <c r="B709" s="1">
        <f>IFERROR(__xludf.DUMMYFUNCTION("""COMPUTED_VALUE"""),1.29)</f>
        <v>1.29</v>
      </c>
      <c r="C709" s="1">
        <f>IFERROR(__xludf.DUMMYFUNCTION("""COMPUTED_VALUE"""),1.31)</f>
        <v>1.31</v>
      </c>
      <c r="D709" s="1">
        <f>IFERROR(__xludf.DUMMYFUNCTION("""COMPUTED_VALUE"""),1.28)</f>
        <v>1.28</v>
      </c>
      <c r="E709" s="1">
        <f>IFERROR(__xludf.DUMMYFUNCTION("""COMPUTED_VALUE"""),1.3)</f>
        <v>1.3</v>
      </c>
      <c r="F709" s="1">
        <f>IFERROR(__xludf.DUMMYFUNCTION("""COMPUTED_VALUE"""),229467.0)</f>
        <v>229467</v>
      </c>
    </row>
    <row r="710">
      <c r="A710" s="2">
        <f>IFERROR(__xludf.DUMMYFUNCTION("""COMPUTED_VALUE"""),40198.666666666664)</f>
        <v>40198.66667</v>
      </c>
      <c r="B710" s="1">
        <f>IFERROR(__xludf.DUMMYFUNCTION("""COMPUTED_VALUE"""),1.28)</f>
        <v>1.28</v>
      </c>
      <c r="C710" s="1">
        <f>IFERROR(__xludf.DUMMYFUNCTION("""COMPUTED_VALUE"""),1.31)</f>
        <v>1.31</v>
      </c>
      <c r="D710" s="1">
        <f>IFERROR(__xludf.DUMMYFUNCTION("""COMPUTED_VALUE"""),1.23)</f>
        <v>1.23</v>
      </c>
      <c r="E710" s="1">
        <f>IFERROR(__xludf.DUMMYFUNCTION("""COMPUTED_VALUE"""),1.24)</f>
        <v>1.24</v>
      </c>
      <c r="F710" s="1">
        <f>IFERROR(__xludf.DUMMYFUNCTION("""COMPUTED_VALUE"""),180878.0)</f>
        <v>180878</v>
      </c>
    </row>
    <row r="711">
      <c r="A711" s="2">
        <f>IFERROR(__xludf.DUMMYFUNCTION("""COMPUTED_VALUE"""),40199.666666666664)</f>
        <v>40199.66667</v>
      </c>
      <c r="B711" s="1">
        <f>IFERROR(__xludf.DUMMYFUNCTION("""COMPUTED_VALUE"""),1.24)</f>
        <v>1.24</v>
      </c>
      <c r="C711" s="1">
        <f>IFERROR(__xludf.DUMMYFUNCTION("""COMPUTED_VALUE"""),1.25)</f>
        <v>1.25</v>
      </c>
      <c r="D711" s="1">
        <f>IFERROR(__xludf.DUMMYFUNCTION("""COMPUTED_VALUE"""),1.18)</f>
        <v>1.18</v>
      </c>
      <c r="E711" s="1">
        <f>IFERROR(__xludf.DUMMYFUNCTION("""COMPUTED_VALUE"""),1.18)</f>
        <v>1.18</v>
      </c>
      <c r="F711" s="1">
        <f>IFERROR(__xludf.DUMMYFUNCTION("""COMPUTED_VALUE"""),118198.0)</f>
        <v>118198</v>
      </c>
    </row>
    <row r="712">
      <c r="A712" s="2">
        <f>IFERROR(__xludf.DUMMYFUNCTION("""COMPUTED_VALUE"""),40200.666666666664)</f>
        <v>40200.66667</v>
      </c>
      <c r="B712" s="1">
        <f>IFERROR(__xludf.DUMMYFUNCTION("""COMPUTED_VALUE"""),1.18)</f>
        <v>1.18</v>
      </c>
      <c r="C712" s="1">
        <f>IFERROR(__xludf.DUMMYFUNCTION("""COMPUTED_VALUE"""),1.21)</f>
        <v>1.21</v>
      </c>
      <c r="D712" s="1">
        <f>IFERROR(__xludf.DUMMYFUNCTION("""COMPUTED_VALUE"""),1.15)</f>
        <v>1.15</v>
      </c>
      <c r="E712" s="1">
        <f>IFERROR(__xludf.DUMMYFUNCTION("""COMPUTED_VALUE"""),1.15)</f>
        <v>1.15</v>
      </c>
      <c r="F712" s="1">
        <f>IFERROR(__xludf.DUMMYFUNCTION("""COMPUTED_VALUE"""),276729.0)</f>
        <v>276729</v>
      </c>
    </row>
    <row r="713">
      <c r="A713" s="2">
        <f>IFERROR(__xludf.DUMMYFUNCTION("""COMPUTED_VALUE"""),40203.666666666664)</f>
        <v>40203.66667</v>
      </c>
      <c r="B713" s="1">
        <f>IFERROR(__xludf.DUMMYFUNCTION("""COMPUTED_VALUE"""),1.17)</f>
        <v>1.17</v>
      </c>
      <c r="C713" s="1">
        <f>IFERROR(__xludf.DUMMYFUNCTION("""COMPUTED_VALUE"""),1.2)</f>
        <v>1.2</v>
      </c>
      <c r="D713" s="1">
        <f>IFERROR(__xludf.DUMMYFUNCTION("""COMPUTED_VALUE"""),1.16)</f>
        <v>1.16</v>
      </c>
      <c r="E713" s="1">
        <f>IFERROR(__xludf.DUMMYFUNCTION("""COMPUTED_VALUE"""),1.18)</f>
        <v>1.18</v>
      </c>
      <c r="F713" s="1">
        <f>IFERROR(__xludf.DUMMYFUNCTION("""COMPUTED_VALUE"""),138947.0)</f>
        <v>138947</v>
      </c>
    </row>
    <row r="714">
      <c r="A714" s="2">
        <f>IFERROR(__xludf.DUMMYFUNCTION("""COMPUTED_VALUE"""),40204.666666666664)</f>
        <v>40204.66667</v>
      </c>
      <c r="B714" s="1">
        <f>IFERROR(__xludf.DUMMYFUNCTION("""COMPUTED_VALUE"""),1.19)</f>
        <v>1.19</v>
      </c>
      <c r="C714" s="1">
        <f>IFERROR(__xludf.DUMMYFUNCTION("""COMPUTED_VALUE"""),1.19)</f>
        <v>1.19</v>
      </c>
      <c r="D714" s="1">
        <f>IFERROR(__xludf.DUMMYFUNCTION("""COMPUTED_VALUE"""),1.16)</f>
        <v>1.16</v>
      </c>
      <c r="E714" s="1">
        <f>IFERROR(__xludf.DUMMYFUNCTION("""COMPUTED_VALUE"""),1.16)</f>
        <v>1.16</v>
      </c>
      <c r="F714" s="1">
        <f>IFERROR(__xludf.DUMMYFUNCTION("""COMPUTED_VALUE"""),150090.0)</f>
        <v>150090</v>
      </c>
    </row>
    <row r="715">
      <c r="A715" s="2">
        <f>IFERROR(__xludf.DUMMYFUNCTION("""COMPUTED_VALUE"""),40205.666666666664)</f>
        <v>40205.66667</v>
      </c>
      <c r="B715" s="1">
        <f>IFERROR(__xludf.DUMMYFUNCTION("""COMPUTED_VALUE"""),1.31)</f>
        <v>1.31</v>
      </c>
      <c r="C715" s="1">
        <f>IFERROR(__xludf.DUMMYFUNCTION("""COMPUTED_VALUE"""),1.38)</f>
        <v>1.38</v>
      </c>
      <c r="D715" s="1">
        <f>IFERROR(__xludf.DUMMYFUNCTION("""COMPUTED_VALUE"""),1.28)</f>
        <v>1.28</v>
      </c>
      <c r="E715" s="1">
        <f>IFERROR(__xludf.DUMMYFUNCTION("""COMPUTED_VALUE"""),1.35)</f>
        <v>1.35</v>
      </c>
      <c r="F715" s="1">
        <f>IFERROR(__xludf.DUMMYFUNCTION("""COMPUTED_VALUE"""),941825.0)</f>
        <v>941825</v>
      </c>
    </row>
    <row r="716">
      <c r="A716" s="2">
        <f>IFERROR(__xludf.DUMMYFUNCTION("""COMPUTED_VALUE"""),40206.666666666664)</f>
        <v>40206.66667</v>
      </c>
      <c r="B716" s="1">
        <f>IFERROR(__xludf.DUMMYFUNCTION("""COMPUTED_VALUE"""),1.35)</f>
        <v>1.35</v>
      </c>
      <c r="C716" s="1">
        <f>IFERROR(__xludf.DUMMYFUNCTION("""COMPUTED_VALUE"""),1.36)</f>
        <v>1.36</v>
      </c>
      <c r="D716" s="1">
        <f>IFERROR(__xludf.DUMMYFUNCTION("""COMPUTED_VALUE"""),1.27)</f>
        <v>1.27</v>
      </c>
      <c r="E716" s="1">
        <f>IFERROR(__xludf.DUMMYFUNCTION("""COMPUTED_VALUE"""),1.29)</f>
        <v>1.29</v>
      </c>
      <c r="F716" s="1">
        <f>IFERROR(__xludf.DUMMYFUNCTION("""COMPUTED_VALUE"""),171406.0)</f>
        <v>171406</v>
      </c>
    </row>
    <row r="717">
      <c r="A717" s="2">
        <f>IFERROR(__xludf.DUMMYFUNCTION("""COMPUTED_VALUE"""),40207.666666666664)</f>
        <v>40207.66667</v>
      </c>
      <c r="B717" s="1">
        <f>IFERROR(__xludf.DUMMYFUNCTION("""COMPUTED_VALUE"""),1.3)</f>
        <v>1.3</v>
      </c>
      <c r="C717" s="1">
        <f>IFERROR(__xludf.DUMMYFUNCTION("""COMPUTED_VALUE"""),1.32)</f>
        <v>1.32</v>
      </c>
      <c r="D717" s="1">
        <f>IFERROR(__xludf.DUMMYFUNCTION("""COMPUTED_VALUE"""),1.23)</f>
        <v>1.23</v>
      </c>
      <c r="E717" s="1">
        <f>IFERROR(__xludf.DUMMYFUNCTION("""COMPUTED_VALUE"""),1.24)</f>
        <v>1.24</v>
      </c>
      <c r="F717" s="1">
        <f>IFERROR(__xludf.DUMMYFUNCTION("""COMPUTED_VALUE"""),224219.0)</f>
        <v>224219</v>
      </c>
    </row>
    <row r="718">
      <c r="A718" s="2">
        <f>IFERROR(__xludf.DUMMYFUNCTION("""COMPUTED_VALUE"""),40210.666666666664)</f>
        <v>40210.66667</v>
      </c>
      <c r="B718" s="1">
        <f>IFERROR(__xludf.DUMMYFUNCTION("""COMPUTED_VALUE"""),1.25)</f>
        <v>1.25</v>
      </c>
      <c r="C718" s="1">
        <f>IFERROR(__xludf.DUMMYFUNCTION("""COMPUTED_VALUE"""),1.29)</f>
        <v>1.29</v>
      </c>
      <c r="D718" s="1">
        <f>IFERROR(__xludf.DUMMYFUNCTION("""COMPUTED_VALUE"""),1.23)</f>
        <v>1.23</v>
      </c>
      <c r="E718" s="1">
        <f>IFERROR(__xludf.DUMMYFUNCTION("""COMPUTED_VALUE"""),1.25)</f>
        <v>1.25</v>
      </c>
      <c r="F718" s="1">
        <f>IFERROR(__xludf.DUMMYFUNCTION("""COMPUTED_VALUE"""),210534.0)</f>
        <v>210534</v>
      </c>
    </row>
    <row r="719">
      <c r="A719" s="2">
        <f>IFERROR(__xludf.DUMMYFUNCTION("""COMPUTED_VALUE"""),40211.666666666664)</f>
        <v>40211.66667</v>
      </c>
      <c r="B719" s="1">
        <f>IFERROR(__xludf.DUMMYFUNCTION("""COMPUTED_VALUE"""),1.25)</f>
        <v>1.25</v>
      </c>
      <c r="C719" s="1">
        <f>IFERROR(__xludf.DUMMYFUNCTION("""COMPUTED_VALUE"""),1.27)</f>
        <v>1.27</v>
      </c>
      <c r="D719" s="1">
        <f>IFERROR(__xludf.DUMMYFUNCTION("""COMPUTED_VALUE"""),1.24)</f>
        <v>1.24</v>
      </c>
      <c r="E719" s="1">
        <f>IFERROR(__xludf.DUMMYFUNCTION("""COMPUTED_VALUE"""),1.27)</f>
        <v>1.27</v>
      </c>
      <c r="F719" s="1">
        <f>IFERROR(__xludf.DUMMYFUNCTION("""COMPUTED_VALUE"""),210473.0)</f>
        <v>210473</v>
      </c>
    </row>
    <row r="720">
      <c r="A720" s="2">
        <f>IFERROR(__xludf.DUMMYFUNCTION("""COMPUTED_VALUE"""),40212.666666666664)</f>
        <v>40212.66667</v>
      </c>
      <c r="B720" s="1">
        <f>IFERROR(__xludf.DUMMYFUNCTION("""COMPUTED_VALUE"""),1.27)</f>
        <v>1.27</v>
      </c>
      <c r="C720" s="1">
        <f>IFERROR(__xludf.DUMMYFUNCTION("""COMPUTED_VALUE"""),1.3)</f>
        <v>1.3</v>
      </c>
      <c r="D720" s="1">
        <f>IFERROR(__xludf.DUMMYFUNCTION("""COMPUTED_VALUE"""),1.23)</f>
        <v>1.23</v>
      </c>
      <c r="E720" s="1">
        <f>IFERROR(__xludf.DUMMYFUNCTION("""COMPUTED_VALUE"""),1.24)</f>
        <v>1.24</v>
      </c>
      <c r="F720" s="1">
        <f>IFERROR(__xludf.DUMMYFUNCTION("""COMPUTED_VALUE"""),129355.0)</f>
        <v>129355</v>
      </c>
    </row>
    <row r="721">
      <c r="A721" s="2">
        <f>IFERROR(__xludf.DUMMYFUNCTION("""COMPUTED_VALUE"""),40213.666666666664)</f>
        <v>40213.66667</v>
      </c>
      <c r="B721" s="1">
        <f>IFERROR(__xludf.DUMMYFUNCTION("""COMPUTED_VALUE"""),1.23)</f>
        <v>1.23</v>
      </c>
      <c r="C721" s="1">
        <f>IFERROR(__xludf.DUMMYFUNCTION("""COMPUTED_VALUE"""),1.24)</f>
        <v>1.24</v>
      </c>
      <c r="D721" s="1">
        <f>IFERROR(__xludf.DUMMYFUNCTION("""COMPUTED_VALUE"""),1.17)</f>
        <v>1.17</v>
      </c>
      <c r="E721" s="1">
        <f>IFERROR(__xludf.DUMMYFUNCTION("""COMPUTED_VALUE"""),1.19)</f>
        <v>1.19</v>
      </c>
      <c r="F721" s="1">
        <f>IFERROR(__xludf.DUMMYFUNCTION("""COMPUTED_VALUE"""),186382.0)</f>
        <v>186382</v>
      </c>
    </row>
    <row r="722">
      <c r="A722" s="2">
        <f>IFERROR(__xludf.DUMMYFUNCTION("""COMPUTED_VALUE"""),40214.666666666664)</f>
        <v>40214.66667</v>
      </c>
      <c r="B722" s="1">
        <f>IFERROR(__xludf.DUMMYFUNCTION("""COMPUTED_VALUE"""),1.19)</f>
        <v>1.19</v>
      </c>
      <c r="C722" s="1">
        <f>IFERROR(__xludf.DUMMYFUNCTION("""COMPUTED_VALUE"""),1.24)</f>
        <v>1.24</v>
      </c>
      <c r="D722" s="1">
        <f>IFERROR(__xludf.DUMMYFUNCTION("""COMPUTED_VALUE"""),1.17)</f>
        <v>1.17</v>
      </c>
      <c r="E722" s="1">
        <f>IFERROR(__xludf.DUMMYFUNCTION("""COMPUTED_VALUE"""),1.24)</f>
        <v>1.24</v>
      </c>
      <c r="F722" s="1">
        <f>IFERROR(__xludf.DUMMYFUNCTION("""COMPUTED_VALUE"""),170554.0)</f>
        <v>170554</v>
      </c>
    </row>
    <row r="723">
      <c r="A723" s="2">
        <f>IFERROR(__xludf.DUMMYFUNCTION("""COMPUTED_VALUE"""),40217.666666666664)</f>
        <v>40217.66667</v>
      </c>
      <c r="B723" s="1">
        <f>IFERROR(__xludf.DUMMYFUNCTION("""COMPUTED_VALUE"""),1.23)</f>
        <v>1.23</v>
      </c>
      <c r="C723" s="1">
        <f>IFERROR(__xludf.DUMMYFUNCTION("""COMPUTED_VALUE"""),1.28)</f>
        <v>1.28</v>
      </c>
      <c r="D723" s="1">
        <f>IFERROR(__xludf.DUMMYFUNCTION("""COMPUTED_VALUE"""),1.22)</f>
        <v>1.22</v>
      </c>
      <c r="E723" s="1">
        <f>IFERROR(__xludf.DUMMYFUNCTION("""COMPUTED_VALUE"""),1.26)</f>
        <v>1.26</v>
      </c>
      <c r="F723" s="1">
        <f>IFERROR(__xludf.DUMMYFUNCTION("""COMPUTED_VALUE"""),181078.0)</f>
        <v>181078</v>
      </c>
    </row>
    <row r="724">
      <c r="A724" s="2">
        <f>IFERROR(__xludf.DUMMYFUNCTION("""COMPUTED_VALUE"""),40218.666666666664)</f>
        <v>40218.66667</v>
      </c>
      <c r="B724" s="1">
        <f>IFERROR(__xludf.DUMMYFUNCTION("""COMPUTED_VALUE"""),1.27)</f>
        <v>1.27</v>
      </c>
      <c r="C724" s="1">
        <f>IFERROR(__xludf.DUMMYFUNCTION("""COMPUTED_VALUE"""),1.29)</f>
        <v>1.29</v>
      </c>
      <c r="D724" s="1">
        <f>IFERROR(__xludf.DUMMYFUNCTION("""COMPUTED_VALUE"""),1.26)</f>
        <v>1.26</v>
      </c>
      <c r="E724" s="1">
        <f>IFERROR(__xludf.DUMMYFUNCTION("""COMPUTED_VALUE"""),1.27)</f>
        <v>1.27</v>
      </c>
      <c r="F724" s="1">
        <f>IFERROR(__xludf.DUMMYFUNCTION("""COMPUTED_VALUE"""),88630.0)</f>
        <v>88630</v>
      </c>
    </row>
    <row r="725">
      <c r="A725" s="2">
        <f>IFERROR(__xludf.DUMMYFUNCTION("""COMPUTED_VALUE"""),40219.666666666664)</f>
        <v>40219.66667</v>
      </c>
      <c r="B725" s="1">
        <f>IFERROR(__xludf.DUMMYFUNCTION("""COMPUTED_VALUE"""),1.27)</f>
        <v>1.27</v>
      </c>
      <c r="C725" s="1">
        <f>IFERROR(__xludf.DUMMYFUNCTION("""COMPUTED_VALUE"""),1.29)</f>
        <v>1.29</v>
      </c>
      <c r="D725" s="1">
        <f>IFERROR(__xludf.DUMMYFUNCTION("""COMPUTED_VALUE"""),1.23)</f>
        <v>1.23</v>
      </c>
      <c r="E725" s="1">
        <f>IFERROR(__xludf.DUMMYFUNCTION("""COMPUTED_VALUE"""),1.29)</f>
        <v>1.29</v>
      </c>
      <c r="F725" s="1">
        <f>IFERROR(__xludf.DUMMYFUNCTION("""COMPUTED_VALUE"""),145905.0)</f>
        <v>145905</v>
      </c>
    </row>
    <row r="726">
      <c r="A726" s="2">
        <f>IFERROR(__xludf.DUMMYFUNCTION("""COMPUTED_VALUE"""),40220.666666666664)</f>
        <v>40220.66667</v>
      </c>
      <c r="B726" s="1">
        <f>IFERROR(__xludf.DUMMYFUNCTION("""COMPUTED_VALUE"""),1.29)</f>
        <v>1.29</v>
      </c>
      <c r="C726" s="1">
        <f>IFERROR(__xludf.DUMMYFUNCTION("""COMPUTED_VALUE"""),1.33)</f>
        <v>1.33</v>
      </c>
      <c r="D726" s="1">
        <f>IFERROR(__xludf.DUMMYFUNCTION("""COMPUTED_VALUE"""),1.26)</f>
        <v>1.26</v>
      </c>
      <c r="E726" s="1">
        <f>IFERROR(__xludf.DUMMYFUNCTION("""COMPUTED_VALUE"""),1.33)</f>
        <v>1.33</v>
      </c>
      <c r="F726" s="1">
        <f>IFERROR(__xludf.DUMMYFUNCTION("""COMPUTED_VALUE"""),183096.0)</f>
        <v>183096</v>
      </c>
    </row>
    <row r="727">
      <c r="A727" s="2">
        <f>IFERROR(__xludf.DUMMYFUNCTION("""COMPUTED_VALUE"""),40221.666666666664)</f>
        <v>40221.66667</v>
      </c>
      <c r="B727" s="1">
        <f>IFERROR(__xludf.DUMMYFUNCTION("""COMPUTED_VALUE"""),1.29)</f>
        <v>1.29</v>
      </c>
      <c r="C727" s="1">
        <f>IFERROR(__xludf.DUMMYFUNCTION("""COMPUTED_VALUE"""),1.36)</f>
        <v>1.36</v>
      </c>
      <c r="D727" s="1">
        <f>IFERROR(__xludf.DUMMYFUNCTION("""COMPUTED_VALUE"""),1.25)</f>
        <v>1.25</v>
      </c>
      <c r="E727" s="1">
        <f>IFERROR(__xludf.DUMMYFUNCTION("""COMPUTED_VALUE"""),1.36)</f>
        <v>1.36</v>
      </c>
      <c r="F727" s="1">
        <f>IFERROR(__xludf.DUMMYFUNCTION("""COMPUTED_VALUE"""),411907.0)</f>
        <v>411907</v>
      </c>
    </row>
    <row r="728">
      <c r="A728" s="2">
        <f>IFERROR(__xludf.DUMMYFUNCTION("""COMPUTED_VALUE"""),40225.666666666664)</f>
        <v>40225.66667</v>
      </c>
      <c r="B728" s="1">
        <f>IFERROR(__xludf.DUMMYFUNCTION("""COMPUTED_VALUE"""),1.35)</f>
        <v>1.35</v>
      </c>
      <c r="C728" s="1">
        <f>IFERROR(__xludf.DUMMYFUNCTION("""COMPUTED_VALUE"""),1.48)</f>
        <v>1.48</v>
      </c>
      <c r="D728" s="1">
        <f>IFERROR(__xludf.DUMMYFUNCTION("""COMPUTED_VALUE"""),1.35)</f>
        <v>1.35</v>
      </c>
      <c r="E728" s="1">
        <f>IFERROR(__xludf.DUMMYFUNCTION("""COMPUTED_VALUE"""),1.46)</f>
        <v>1.46</v>
      </c>
      <c r="F728" s="1">
        <f>IFERROR(__xludf.DUMMYFUNCTION("""COMPUTED_VALUE"""),834844.0)</f>
        <v>834844</v>
      </c>
    </row>
    <row r="729">
      <c r="A729" s="2">
        <f>IFERROR(__xludf.DUMMYFUNCTION("""COMPUTED_VALUE"""),40226.666666666664)</f>
        <v>40226.66667</v>
      </c>
      <c r="B729" s="1">
        <f>IFERROR(__xludf.DUMMYFUNCTION("""COMPUTED_VALUE"""),1.46)</f>
        <v>1.46</v>
      </c>
      <c r="C729" s="1">
        <f>IFERROR(__xludf.DUMMYFUNCTION("""COMPUTED_VALUE"""),1.5)</f>
        <v>1.5</v>
      </c>
      <c r="D729" s="1">
        <f>IFERROR(__xludf.DUMMYFUNCTION("""COMPUTED_VALUE"""),1.45)</f>
        <v>1.45</v>
      </c>
      <c r="E729" s="1">
        <f>IFERROR(__xludf.DUMMYFUNCTION("""COMPUTED_VALUE"""),1.47)</f>
        <v>1.47</v>
      </c>
      <c r="F729" s="1">
        <f>IFERROR(__xludf.DUMMYFUNCTION("""COMPUTED_VALUE"""),487628.0)</f>
        <v>487628</v>
      </c>
    </row>
    <row r="730">
      <c r="A730" s="2">
        <f>IFERROR(__xludf.DUMMYFUNCTION("""COMPUTED_VALUE"""),40227.666666666664)</f>
        <v>40227.66667</v>
      </c>
      <c r="B730" s="1">
        <f>IFERROR(__xludf.DUMMYFUNCTION("""COMPUTED_VALUE"""),1.44)</f>
        <v>1.44</v>
      </c>
      <c r="C730" s="1">
        <f>IFERROR(__xludf.DUMMYFUNCTION("""COMPUTED_VALUE"""),1.49)</f>
        <v>1.49</v>
      </c>
      <c r="D730" s="1">
        <f>IFERROR(__xludf.DUMMYFUNCTION("""COMPUTED_VALUE"""),1.44)</f>
        <v>1.44</v>
      </c>
      <c r="E730" s="1">
        <f>IFERROR(__xludf.DUMMYFUNCTION("""COMPUTED_VALUE"""),1.48)</f>
        <v>1.48</v>
      </c>
      <c r="F730" s="1">
        <f>IFERROR(__xludf.DUMMYFUNCTION("""COMPUTED_VALUE"""),194960.0)</f>
        <v>194960</v>
      </c>
    </row>
    <row r="731">
      <c r="A731" s="2">
        <f>IFERROR(__xludf.DUMMYFUNCTION("""COMPUTED_VALUE"""),40228.666666666664)</f>
        <v>40228.66667</v>
      </c>
      <c r="B731" s="1">
        <f>IFERROR(__xludf.DUMMYFUNCTION("""COMPUTED_VALUE"""),1.45)</f>
        <v>1.45</v>
      </c>
      <c r="C731" s="1">
        <f>IFERROR(__xludf.DUMMYFUNCTION("""COMPUTED_VALUE"""),1.47)</f>
        <v>1.47</v>
      </c>
      <c r="D731" s="1">
        <f>IFERROR(__xludf.DUMMYFUNCTION("""COMPUTED_VALUE"""),1.42)</f>
        <v>1.42</v>
      </c>
      <c r="E731" s="1">
        <f>IFERROR(__xludf.DUMMYFUNCTION("""COMPUTED_VALUE"""),1.46)</f>
        <v>1.46</v>
      </c>
      <c r="F731" s="1">
        <f>IFERROR(__xludf.DUMMYFUNCTION("""COMPUTED_VALUE"""),169291.0)</f>
        <v>169291</v>
      </c>
    </row>
    <row r="732">
      <c r="A732" s="2">
        <f>IFERROR(__xludf.DUMMYFUNCTION("""COMPUTED_VALUE"""),40231.666666666664)</f>
        <v>40231.66667</v>
      </c>
      <c r="B732" s="1">
        <f>IFERROR(__xludf.DUMMYFUNCTION("""COMPUTED_VALUE"""),1.47)</f>
        <v>1.47</v>
      </c>
      <c r="C732" s="1">
        <f>IFERROR(__xludf.DUMMYFUNCTION("""COMPUTED_VALUE"""),1.49)</f>
        <v>1.49</v>
      </c>
      <c r="D732" s="1">
        <f>IFERROR(__xludf.DUMMYFUNCTION("""COMPUTED_VALUE"""),1.46)</f>
        <v>1.46</v>
      </c>
      <c r="E732" s="1">
        <f>IFERROR(__xludf.DUMMYFUNCTION("""COMPUTED_VALUE"""),1.47)</f>
        <v>1.47</v>
      </c>
      <c r="F732" s="1">
        <f>IFERROR(__xludf.DUMMYFUNCTION("""COMPUTED_VALUE"""),173214.0)</f>
        <v>173214</v>
      </c>
    </row>
    <row r="733">
      <c r="A733" s="2">
        <f>IFERROR(__xludf.DUMMYFUNCTION("""COMPUTED_VALUE"""),40232.666666666664)</f>
        <v>40232.66667</v>
      </c>
      <c r="B733" s="1">
        <f>IFERROR(__xludf.DUMMYFUNCTION("""COMPUTED_VALUE"""),1.44)</f>
        <v>1.44</v>
      </c>
      <c r="C733" s="1">
        <f>IFERROR(__xludf.DUMMYFUNCTION("""COMPUTED_VALUE"""),1.47)</f>
        <v>1.47</v>
      </c>
      <c r="D733" s="1">
        <f>IFERROR(__xludf.DUMMYFUNCTION("""COMPUTED_VALUE"""),1.41)</f>
        <v>1.41</v>
      </c>
      <c r="E733" s="1">
        <f>IFERROR(__xludf.DUMMYFUNCTION("""COMPUTED_VALUE"""),1.43)</f>
        <v>1.43</v>
      </c>
      <c r="F733" s="1">
        <f>IFERROR(__xludf.DUMMYFUNCTION("""COMPUTED_VALUE"""),305437.0)</f>
        <v>305437</v>
      </c>
    </row>
    <row r="734">
      <c r="A734" s="2">
        <f>IFERROR(__xludf.DUMMYFUNCTION("""COMPUTED_VALUE"""),40233.666666666664)</f>
        <v>40233.66667</v>
      </c>
      <c r="B734" s="1">
        <f>IFERROR(__xludf.DUMMYFUNCTION("""COMPUTED_VALUE"""),1.45)</f>
        <v>1.45</v>
      </c>
      <c r="C734" s="1">
        <f>IFERROR(__xludf.DUMMYFUNCTION("""COMPUTED_VALUE"""),1.47)</f>
        <v>1.47</v>
      </c>
      <c r="D734" s="1">
        <f>IFERROR(__xludf.DUMMYFUNCTION("""COMPUTED_VALUE"""),1.43)</f>
        <v>1.43</v>
      </c>
      <c r="E734" s="1">
        <f>IFERROR(__xludf.DUMMYFUNCTION("""COMPUTED_VALUE"""),1.47)</f>
        <v>1.47</v>
      </c>
      <c r="F734" s="1">
        <f>IFERROR(__xludf.DUMMYFUNCTION("""COMPUTED_VALUE"""),143279.0)</f>
        <v>143279</v>
      </c>
    </row>
    <row r="735">
      <c r="A735" s="2">
        <f>IFERROR(__xludf.DUMMYFUNCTION("""COMPUTED_VALUE"""),40234.666666666664)</f>
        <v>40234.66667</v>
      </c>
      <c r="B735" s="1">
        <f>IFERROR(__xludf.DUMMYFUNCTION("""COMPUTED_VALUE"""),1.45)</f>
        <v>1.45</v>
      </c>
      <c r="C735" s="1">
        <f>IFERROR(__xludf.DUMMYFUNCTION("""COMPUTED_VALUE"""),1.46)</f>
        <v>1.46</v>
      </c>
      <c r="D735" s="1">
        <f>IFERROR(__xludf.DUMMYFUNCTION("""COMPUTED_VALUE"""),1.43)</f>
        <v>1.43</v>
      </c>
      <c r="E735" s="1">
        <f>IFERROR(__xludf.DUMMYFUNCTION("""COMPUTED_VALUE"""),1.45)</f>
        <v>1.45</v>
      </c>
      <c r="F735" s="1">
        <f>IFERROR(__xludf.DUMMYFUNCTION("""COMPUTED_VALUE"""),240068.0)</f>
        <v>240068</v>
      </c>
    </row>
    <row r="736">
      <c r="A736" s="2">
        <f>IFERROR(__xludf.DUMMYFUNCTION("""COMPUTED_VALUE"""),40235.666666666664)</f>
        <v>40235.66667</v>
      </c>
      <c r="B736" s="1">
        <f>IFERROR(__xludf.DUMMYFUNCTION("""COMPUTED_VALUE"""),1.46)</f>
        <v>1.46</v>
      </c>
      <c r="C736" s="1">
        <f>IFERROR(__xludf.DUMMYFUNCTION("""COMPUTED_VALUE"""),1.51)</f>
        <v>1.51</v>
      </c>
      <c r="D736" s="1">
        <f>IFERROR(__xludf.DUMMYFUNCTION("""COMPUTED_VALUE"""),1.44)</f>
        <v>1.44</v>
      </c>
      <c r="E736" s="1">
        <f>IFERROR(__xludf.DUMMYFUNCTION("""COMPUTED_VALUE"""),1.5)</f>
        <v>1.5</v>
      </c>
      <c r="F736" s="1">
        <f>IFERROR(__xludf.DUMMYFUNCTION("""COMPUTED_VALUE"""),728625.0)</f>
        <v>728625</v>
      </c>
    </row>
    <row r="737">
      <c r="A737" s="2">
        <f>IFERROR(__xludf.DUMMYFUNCTION("""COMPUTED_VALUE"""),40238.666666666664)</f>
        <v>40238.66667</v>
      </c>
      <c r="B737" s="1">
        <f>IFERROR(__xludf.DUMMYFUNCTION("""COMPUTED_VALUE"""),1.51)</f>
        <v>1.51</v>
      </c>
      <c r="C737" s="1">
        <f>IFERROR(__xludf.DUMMYFUNCTION("""COMPUTED_VALUE"""),1.62)</f>
        <v>1.62</v>
      </c>
      <c r="D737" s="1">
        <f>IFERROR(__xludf.DUMMYFUNCTION("""COMPUTED_VALUE"""),1.5)</f>
        <v>1.5</v>
      </c>
      <c r="E737" s="1">
        <f>IFERROR(__xludf.DUMMYFUNCTION("""COMPUTED_VALUE"""),1.59)</f>
        <v>1.59</v>
      </c>
      <c r="F737" s="1">
        <f>IFERROR(__xludf.DUMMYFUNCTION("""COMPUTED_VALUE"""),853484.0)</f>
        <v>853484</v>
      </c>
    </row>
    <row r="738">
      <c r="A738" s="2">
        <f>IFERROR(__xludf.DUMMYFUNCTION("""COMPUTED_VALUE"""),40239.666666666664)</f>
        <v>40239.66667</v>
      </c>
      <c r="B738" s="1">
        <f>IFERROR(__xludf.DUMMYFUNCTION("""COMPUTED_VALUE"""),1.6)</f>
        <v>1.6</v>
      </c>
      <c r="C738" s="1">
        <f>IFERROR(__xludf.DUMMYFUNCTION("""COMPUTED_VALUE"""),1.65)</f>
        <v>1.65</v>
      </c>
      <c r="D738" s="1">
        <f>IFERROR(__xludf.DUMMYFUNCTION("""COMPUTED_VALUE"""),1.58)</f>
        <v>1.58</v>
      </c>
      <c r="E738" s="1">
        <f>IFERROR(__xludf.DUMMYFUNCTION("""COMPUTED_VALUE"""),1.61)</f>
        <v>1.61</v>
      </c>
      <c r="F738" s="1">
        <f>IFERROR(__xludf.DUMMYFUNCTION("""COMPUTED_VALUE"""),643642.0)</f>
        <v>643642</v>
      </c>
    </row>
    <row r="739">
      <c r="A739" s="2">
        <f>IFERROR(__xludf.DUMMYFUNCTION("""COMPUTED_VALUE"""),40240.666666666664)</f>
        <v>40240.66667</v>
      </c>
      <c r="B739" s="1">
        <f>IFERROR(__xludf.DUMMYFUNCTION("""COMPUTED_VALUE"""),1.63)</f>
        <v>1.63</v>
      </c>
      <c r="C739" s="1">
        <f>IFERROR(__xludf.DUMMYFUNCTION("""COMPUTED_VALUE"""),1.64)</f>
        <v>1.64</v>
      </c>
      <c r="D739" s="1">
        <f>IFERROR(__xludf.DUMMYFUNCTION("""COMPUTED_VALUE"""),1.6)</f>
        <v>1.6</v>
      </c>
      <c r="E739" s="1">
        <f>IFERROR(__xludf.DUMMYFUNCTION("""COMPUTED_VALUE"""),1.61)</f>
        <v>1.61</v>
      </c>
      <c r="F739" s="1">
        <f>IFERROR(__xludf.DUMMYFUNCTION("""COMPUTED_VALUE"""),256280.0)</f>
        <v>256280</v>
      </c>
    </row>
    <row r="740">
      <c r="A740" s="2">
        <f>IFERROR(__xludf.DUMMYFUNCTION("""COMPUTED_VALUE"""),40241.666666666664)</f>
        <v>40241.66667</v>
      </c>
      <c r="B740" s="1">
        <f>IFERROR(__xludf.DUMMYFUNCTION("""COMPUTED_VALUE"""),1.61)</f>
        <v>1.61</v>
      </c>
      <c r="C740" s="1">
        <f>IFERROR(__xludf.DUMMYFUNCTION("""COMPUTED_VALUE"""),1.62)</f>
        <v>1.62</v>
      </c>
      <c r="D740" s="1">
        <f>IFERROR(__xludf.DUMMYFUNCTION("""COMPUTED_VALUE"""),1.58)</f>
        <v>1.58</v>
      </c>
      <c r="E740" s="1">
        <f>IFERROR(__xludf.DUMMYFUNCTION("""COMPUTED_VALUE"""),1.59)</f>
        <v>1.59</v>
      </c>
      <c r="F740" s="1">
        <f>IFERROR(__xludf.DUMMYFUNCTION("""COMPUTED_VALUE"""),62454.0)</f>
        <v>62454</v>
      </c>
    </row>
    <row r="741">
      <c r="A741" s="2">
        <f>IFERROR(__xludf.DUMMYFUNCTION("""COMPUTED_VALUE"""),40242.666666666664)</f>
        <v>40242.66667</v>
      </c>
      <c r="B741" s="1">
        <f>IFERROR(__xludf.DUMMYFUNCTION("""COMPUTED_VALUE"""),1.6)</f>
        <v>1.6</v>
      </c>
      <c r="C741" s="1">
        <f>IFERROR(__xludf.DUMMYFUNCTION("""COMPUTED_VALUE"""),1.64)</f>
        <v>1.64</v>
      </c>
      <c r="D741" s="1">
        <f>IFERROR(__xludf.DUMMYFUNCTION("""COMPUTED_VALUE"""),1.6)</f>
        <v>1.6</v>
      </c>
      <c r="E741" s="1">
        <f>IFERROR(__xludf.DUMMYFUNCTION("""COMPUTED_VALUE"""),1.63)</f>
        <v>1.63</v>
      </c>
      <c r="F741" s="1">
        <f>IFERROR(__xludf.DUMMYFUNCTION("""COMPUTED_VALUE"""),247403.0)</f>
        <v>247403</v>
      </c>
    </row>
    <row r="742">
      <c r="A742" s="2">
        <f>IFERROR(__xludf.DUMMYFUNCTION("""COMPUTED_VALUE"""),40245.666666666664)</f>
        <v>40245.66667</v>
      </c>
      <c r="B742" s="1">
        <f>IFERROR(__xludf.DUMMYFUNCTION("""COMPUTED_VALUE"""),1.64)</f>
        <v>1.64</v>
      </c>
      <c r="C742" s="1">
        <f>IFERROR(__xludf.DUMMYFUNCTION("""COMPUTED_VALUE"""),1.67)</f>
        <v>1.67</v>
      </c>
      <c r="D742" s="1">
        <f>IFERROR(__xludf.DUMMYFUNCTION("""COMPUTED_VALUE"""),1.63)</f>
        <v>1.63</v>
      </c>
      <c r="E742" s="1">
        <f>IFERROR(__xludf.DUMMYFUNCTION("""COMPUTED_VALUE"""),1.64)</f>
        <v>1.64</v>
      </c>
      <c r="F742" s="1">
        <f>IFERROR(__xludf.DUMMYFUNCTION("""COMPUTED_VALUE"""),126866.0)</f>
        <v>126866</v>
      </c>
    </row>
    <row r="743">
      <c r="A743" s="2">
        <f>IFERROR(__xludf.DUMMYFUNCTION("""COMPUTED_VALUE"""),40246.666666666664)</f>
        <v>40246.66667</v>
      </c>
      <c r="B743" s="1">
        <f>IFERROR(__xludf.DUMMYFUNCTION("""COMPUTED_VALUE"""),1.64)</f>
        <v>1.64</v>
      </c>
      <c r="C743" s="1">
        <f>IFERROR(__xludf.DUMMYFUNCTION("""COMPUTED_VALUE"""),1.66)</f>
        <v>1.66</v>
      </c>
      <c r="D743" s="1">
        <f>IFERROR(__xludf.DUMMYFUNCTION("""COMPUTED_VALUE"""),1.63)</f>
        <v>1.63</v>
      </c>
      <c r="E743" s="1">
        <f>IFERROR(__xludf.DUMMYFUNCTION("""COMPUTED_VALUE"""),1.65)</f>
        <v>1.65</v>
      </c>
      <c r="F743" s="1">
        <f>IFERROR(__xludf.DUMMYFUNCTION("""COMPUTED_VALUE"""),185394.0)</f>
        <v>185394</v>
      </c>
    </row>
    <row r="744">
      <c r="A744" s="2">
        <f>IFERROR(__xludf.DUMMYFUNCTION("""COMPUTED_VALUE"""),40247.666666666664)</f>
        <v>40247.66667</v>
      </c>
      <c r="B744" s="1">
        <f>IFERROR(__xludf.DUMMYFUNCTION("""COMPUTED_VALUE"""),1.65)</f>
        <v>1.65</v>
      </c>
      <c r="C744" s="1">
        <f>IFERROR(__xludf.DUMMYFUNCTION("""COMPUTED_VALUE"""),1.71)</f>
        <v>1.71</v>
      </c>
      <c r="D744" s="1">
        <f>IFERROR(__xludf.DUMMYFUNCTION("""COMPUTED_VALUE"""),1.65)</f>
        <v>1.65</v>
      </c>
      <c r="E744" s="1">
        <f>IFERROR(__xludf.DUMMYFUNCTION("""COMPUTED_VALUE"""),1.66)</f>
        <v>1.66</v>
      </c>
      <c r="F744" s="1">
        <f>IFERROR(__xludf.DUMMYFUNCTION("""COMPUTED_VALUE"""),291965.0)</f>
        <v>291965</v>
      </c>
    </row>
    <row r="745">
      <c r="A745" s="2">
        <f>IFERROR(__xludf.DUMMYFUNCTION("""COMPUTED_VALUE"""),40248.666666666664)</f>
        <v>40248.66667</v>
      </c>
      <c r="B745" s="1">
        <f>IFERROR(__xludf.DUMMYFUNCTION("""COMPUTED_VALUE"""),1.66)</f>
        <v>1.66</v>
      </c>
      <c r="C745" s="1">
        <f>IFERROR(__xludf.DUMMYFUNCTION("""COMPUTED_VALUE"""),1.69)</f>
        <v>1.69</v>
      </c>
      <c r="D745" s="1">
        <f>IFERROR(__xludf.DUMMYFUNCTION("""COMPUTED_VALUE"""),1.64)</f>
        <v>1.64</v>
      </c>
      <c r="E745" s="1">
        <f>IFERROR(__xludf.DUMMYFUNCTION("""COMPUTED_VALUE"""),1.65)</f>
        <v>1.65</v>
      </c>
      <c r="F745" s="1">
        <f>IFERROR(__xludf.DUMMYFUNCTION("""COMPUTED_VALUE"""),76133.0)</f>
        <v>76133</v>
      </c>
    </row>
    <row r="746">
      <c r="A746" s="2">
        <f>IFERROR(__xludf.DUMMYFUNCTION("""COMPUTED_VALUE"""),40249.666666666664)</f>
        <v>40249.66667</v>
      </c>
      <c r="B746" s="1">
        <f>IFERROR(__xludf.DUMMYFUNCTION("""COMPUTED_VALUE"""),1.67)</f>
        <v>1.67</v>
      </c>
      <c r="C746" s="1">
        <f>IFERROR(__xludf.DUMMYFUNCTION("""COMPUTED_VALUE"""),1.68)</f>
        <v>1.68</v>
      </c>
      <c r="D746" s="1">
        <f>IFERROR(__xludf.DUMMYFUNCTION("""COMPUTED_VALUE"""),1.62)</f>
        <v>1.62</v>
      </c>
      <c r="E746" s="1">
        <f>IFERROR(__xludf.DUMMYFUNCTION("""COMPUTED_VALUE"""),1.65)</f>
        <v>1.65</v>
      </c>
      <c r="F746" s="1">
        <f>IFERROR(__xludf.DUMMYFUNCTION("""COMPUTED_VALUE"""),139464.0)</f>
        <v>139464</v>
      </c>
    </row>
    <row r="747">
      <c r="A747" s="2">
        <f>IFERROR(__xludf.DUMMYFUNCTION("""COMPUTED_VALUE"""),40252.666666666664)</f>
        <v>40252.66667</v>
      </c>
      <c r="B747" s="1">
        <f>IFERROR(__xludf.DUMMYFUNCTION("""COMPUTED_VALUE"""),1.63)</f>
        <v>1.63</v>
      </c>
      <c r="C747" s="1">
        <f>IFERROR(__xludf.DUMMYFUNCTION("""COMPUTED_VALUE"""),1.65)</f>
        <v>1.65</v>
      </c>
      <c r="D747" s="1">
        <f>IFERROR(__xludf.DUMMYFUNCTION("""COMPUTED_VALUE"""),1.59)</f>
        <v>1.59</v>
      </c>
      <c r="E747" s="1">
        <f>IFERROR(__xludf.DUMMYFUNCTION("""COMPUTED_VALUE"""),1.61)</f>
        <v>1.61</v>
      </c>
      <c r="F747" s="1">
        <f>IFERROR(__xludf.DUMMYFUNCTION("""COMPUTED_VALUE"""),103013.0)</f>
        <v>103013</v>
      </c>
    </row>
    <row r="748">
      <c r="A748" s="2">
        <f>IFERROR(__xludf.DUMMYFUNCTION("""COMPUTED_VALUE"""),40253.666666666664)</f>
        <v>40253.66667</v>
      </c>
      <c r="B748" s="1">
        <f>IFERROR(__xludf.DUMMYFUNCTION("""COMPUTED_VALUE"""),1.61)</f>
        <v>1.61</v>
      </c>
      <c r="C748" s="1">
        <f>IFERROR(__xludf.DUMMYFUNCTION("""COMPUTED_VALUE"""),1.62)</f>
        <v>1.62</v>
      </c>
      <c r="D748" s="1">
        <f>IFERROR(__xludf.DUMMYFUNCTION("""COMPUTED_VALUE"""),1.56)</f>
        <v>1.56</v>
      </c>
      <c r="E748" s="1">
        <f>IFERROR(__xludf.DUMMYFUNCTION("""COMPUTED_VALUE"""),1.62)</f>
        <v>1.62</v>
      </c>
      <c r="F748" s="1">
        <f>IFERROR(__xludf.DUMMYFUNCTION("""COMPUTED_VALUE"""),177009.0)</f>
        <v>177009</v>
      </c>
    </row>
    <row r="749">
      <c r="A749" s="2">
        <f>IFERROR(__xludf.DUMMYFUNCTION("""COMPUTED_VALUE"""),40254.666666666664)</f>
        <v>40254.66667</v>
      </c>
      <c r="B749" s="1">
        <f>IFERROR(__xludf.DUMMYFUNCTION("""COMPUTED_VALUE"""),1.61)</f>
        <v>1.61</v>
      </c>
      <c r="C749" s="1">
        <f>IFERROR(__xludf.DUMMYFUNCTION("""COMPUTED_VALUE"""),1.75)</f>
        <v>1.75</v>
      </c>
      <c r="D749" s="1">
        <f>IFERROR(__xludf.DUMMYFUNCTION("""COMPUTED_VALUE"""),1.57)</f>
        <v>1.57</v>
      </c>
      <c r="E749" s="1">
        <f>IFERROR(__xludf.DUMMYFUNCTION("""COMPUTED_VALUE"""),1.74)</f>
        <v>1.74</v>
      </c>
      <c r="F749" s="1">
        <f>IFERROR(__xludf.DUMMYFUNCTION("""COMPUTED_VALUE"""),619764.0)</f>
        <v>619764</v>
      </c>
    </row>
    <row r="750">
      <c r="A750" s="2">
        <f>IFERROR(__xludf.DUMMYFUNCTION("""COMPUTED_VALUE"""),40255.666666666664)</f>
        <v>40255.66667</v>
      </c>
      <c r="B750" s="1">
        <f>IFERROR(__xludf.DUMMYFUNCTION("""COMPUTED_VALUE"""),1.75)</f>
        <v>1.75</v>
      </c>
      <c r="C750" s="1">
        <f>IFERROR(__xludf.DUMMYFUNCTION("""COMPUTED_VALUE"""),1.75)</f>
        <v>1.75</v>
      </c>
      <c r="D750" s="1">
        <f>IFERROR(__xludf.DUMMYFUNCTION("""COMPUTED_VALUE"""),1.68)</f>
        <v>1.68</v>
      </c>
      <c r="E750" s="1">
        <f>IFERROR(__xludf.DUMMYFUNCTION("""COMPUTED_VALUE"""),1.69)</f>
        <v>1.69</v>
      </c>
      <c r="F750" s="1">
        <f>IFERROR(__xludf.DUMMYFUNCTION("""COMPUTED_VALUE"""),164678.0)</f>
        <v>164678</v>
      </c>
    </row>
    <row r="751">
      <c r="A751" s="2">
        <f>IFERROR(__xludf.DUMMYFUNCTION("""COMPUTED_VALUE"""),40256.666666666664)</f>
        <v>40256.66667</v>
      </c>
      <c r="B751" s="1">
        <f>IFERROR(__xludf.DUMMYFUNCTION("""COMPUTED_VALUE"""),1.7)</f>
        <v>1.7</v>
      </c>
      <c r="C751" s="1">
        <f>IFERROR(__xludf.DUMMYFUNCTION("""COMPUTED_VALUE"""),1.79)</f>
        <v>1.79</v>
      </c>
      <c r="D751" s="1">
        <f>IFERROR(__xludf.DUMMYFUNCTION("""COMPUTED_VALUE"""),1.65)</f>
        <v>1.65</v>
      </c>
      <c r="E751" s="1">
        <f>IFERROR(__xludf.DUMMYFUNCTION("""COMPUTED_VALUE"""),1.72)</f>
        <v>1.72</v>
      </c>
      <c r="F751" s="1">
        <f>IFERROR(__xludf.DUMMYFUNCTION("""COMPUTED_VALUE"""),548607.0)</f>
        <v>548607</v>
      </c>
    </row>
    <row r="752">
      <c r="A752" s="2">
        <f>IFERROR(__xludf.DUMMYFUNCTION("""COMPUTED_VALUE"""),40259.666666666664)</f>
        <v>40259.66667</v>
      </c>
      <c r="B752" s="1">
        <f>IFERROR(__xludf.DUMMYFUNCTION("""COMPUTED_VALUE"""),1.7)</f>
        <v>1.7</v>
      </c>
      <c r="C752" s="1">
        <f>IFERROR(__xludf.DUMMYFUNCTION("""COMPUTED_VALUE"""),1.79)</f>
        <v>1.79</v>
      </c>
      <c r="D752" s="1">
        <f>IFERROR(__xludf.DUMMYFUNCTION("""COMPUTED_VALUE"""),1.69)</f>
        <v>1.69</v>
      </c>
      <c r="E752" s="1">
        <f>IFERROR(__xludf.DUMMYFUNCTION("""COMPUTED_VALUE"""),1.76)</f>
        <v>1.76</v>
      </c>
      <c r="F752" s="1">
        <f>IFERROR(__xludf.DUMMYFUNCTION("""COMPUTED_VALUE"""),539245.0)</f>
        <v>539245</v>
      </c>
    </row>
    <row r="753">
      <c r="A753" s="2">
        <f>IFERROR(__xludf.DUMMYFUNCTION("""COMPUTED_VALUE"""),40260.666666666664)</f>
        <v>40260.66667</v>
      </c>
      <c r="B753" s="1">
        <f>IFERROR(__xludf.DUMMYFUNCTION("""COMPUTED_VALUE"""),1.77)</f>
        <v>1.77</v>
      </c>
      <c r="C753" s="1">
        <f>IFERROR(__xludf.DUMMYFUNCTION("""COMPUTED_VALUE"""),1.81)</f>
        <v>1.81</v>
      </c>
      <c r="D753" s="1">
        <f>IFERROR(__xludf.DUMMYFUNCTION("""COMPUTED_VALUE"""),1.77)</f>
        <v>1.77</v>
      </c>
      <c r="E753" s="1">
        <f>IFERROR(__xludf.DUMMYFUNCTION("""COMPUTED_VALUE"""),1.78)</f>
        <v>1.78</v>
      </c>
      <c r="F753" s="1">
        <f>IFERROR(__xludf.DUMMYFUNCTION("""COMPUTED_VALUE"""),292054.0)</f>
        <v>292054</v>
      </c>
    </row>
    <row r="754">
      <c r="A754" s="2">
        <f>IFERROR(__xludf.DUMMYFUNCTION("""COMPUTED_VALUE"""),40261.666666666664)</f>
        <v>40261.66667</v>
      </c>
      <c r="B754" s="1">
        <f>IFERROR(__xludf.DUMMYFUNCTION("""COMPUTED_VALUE"""),1.78)</f>
        <v>1.78</v>
      </c>
      <c r="C754" s="1">
        <f>IFERROR(__xludf.DUMMYFUNCTION("""COMPUTED_VALUE"""),1.8)</f>
        <v>1.8</v>
      </c>
      <c r="D754" s="1">
        <f>IFERROR(__xludf.DUMMYFUNCTION("""COMPUTED_VALUE"""),1.72)</f>
        <v>1.72</v>
      </c>
      <c r="E754" s="1">
        <f>IFERROR(__xludf.DUMMYFUNCTION("""COMPUTED_VALUE"""),1.73)</f>
        <v>1.73</v>
      </c>
      <c r="F754" s="1">
        <f>IFERROR(__xludf.DUMMYFUNCTION("""COMPUTED_VALUE"""),143791.0)</f>
        <v>143791</v>
      </c>
    </row>
    <row r="755">
      <c r="A755" s="2">
        <f>IFERROR(__xludf.DUMMYFUNCTION("""COMPUTED_VALUE"""),40262.666666666664)</f>
        <v>40262.66667</v>
      </c>
      <c r="B755" s="1">
        <f>IFERROR(__xludf.DUMMYFUNCTION("""COMPUTED_VALUE"""),1.75)</f>
        <v>1.75</v>
      </c>
      <c r="C755" s="1">
        <f>IFERROR(__xludf.DUMMYFUNCTION("""COMPUTED_VALUE"""),1.78)</f>
        <v>1.78</v>
      </c>
      <c r="D755" s="1">
        <f>IFERROR(__xludf.DUMMYFUNCTION("""COMPUTED_VALUE"""),1.69)</f>
        <v>1.69</v>
      </c>
      <c r="E755" s="1">
        <f>IFERROR(__xludf.DUMMYFUNCTION("""COMPUTED_VALUE"""),1.69)</f>
        <v>1.69</v>
      </c>
      <c r="F755" s="1">
        <f>IFERROR(__xludf.DUMMYFUNCTION("""COMPUTED_VALUE"""),176364.0)</f>
        <v>176364</v>
      </c>
    </row>
    <row r="756">
      <c r="A756" s="2">
        <f>IFERROR(__xludf.DUMMYFUNCTION("""COMPUTED_VALUE"""),40263.666666666664)</f>
        <v>40263.66667</v>
      </c>
      <c r="B756" s="1">
        <f>IFERROR(__xludf.DUMMYFUNCTION("""COMPUTED_VALUE"""),1.68)</f>
        <v>1.68</v>
      </c>
      <c r="C756" s="1">
        <f>IFERROR(__xludf.DUMMYFUNCTION("""COMPUTED_VALUE"""),1.73)</f>
        <v>1.73</v>
      </c>
      <c r="D756" s="1">
        <f>IFERROR(__xludf.DUMMYFUNCTION("""COMPUTED_VALUE"""),1.66)</f>
        <v>1.66</v>
      </c>
      <c r="E756" s="1">
        <f>IFERROR(__xludf.DUMMYFUNCTION("""COMPUTED_VALUE"""),1.68)</f>
        <v>1.68</v>
      </c>
      <c r="F756" s="1">
        <f>IFERROR(__xludf.DUMMYFUNCTION("""COMPUTED_VALUE"""),284948.0)</f>
        <v>284948</v>
      </c>
    </row>
    <row r="757">
      <c r="A757" s="2">
        <f>IFERROR(__xludf.DUMMYFUNCTION("""COMPUTED_VALUE"""),40266.666666666664)</f>
        <v>40266.66667</v>
      </c>
      <c r="B757" s="1">
        <f>IFERROR(__xludf.DUMMYFUNCTION("""COMPUTED_VALUE"""),1.67)</f>
        <v>1.67</v>
      </c>
      <c r="C757" s="1">
        <f>IFERROR(__xludf.DUMMYFUNCTION("""COMPUTED_VALUE"""),1.71)</f>
        <v>1.71</v>
      </c>
      <c r="D757" s="1">
        <f>IFERROR(__xludf.DUMMYFUNCTION("""COMPUTED_VALUE"""),1.67)</f>
        <v>1.67</v>
      </c>
      <c r="E757" s="1">
        <f>IFERROR(__xludf.DUMMYFUNCTION("""COMPUTED_VALUE"""),1.71)</f>
        <v>1.71</v>
      </c>
      <c r="F757" s="1">
        <f>IFERROR(__xludf.DUMMYFUNCTION("""COMPUTED_VALUE"""),173590.0)</f>
        <v>173590</v>
      </c>
    </row>
    <row r="758">
      <c r="A758" s="2">
        <f>IFERROR(__xludf.DUMMYFUNCTION("""COMPUTED_VALUE"""),40267.666666666664)</f>
        <v>40267.66667</v>
      </c>
      <c r="B758" s="1">
        <f>IFERROR(__xludf.DUMMYFUNCTION("""COMPUTED_VALUE"""),1.71)</f>
        <v>1.71</v>
      </c>
      <c r="C758" s="1">
        <f>IFERROR(__xludf.DUMMYFUNCTION("""COMPUTED_VALUE"""),1.74)</f>
        <v>1.74</v>
      </c>
      <c r="D758" s="1">
        <f>IFERROR(__xludf.DUMMYFUNCTION("""COMPUTED_VALUE"""),1.69)</f>
        <v>1.69</v>
      </c>
      <c r="E758" s="1">
        <f>IFERROR(__xludf.DUMMYFUNCTION("""COMPUTED_VALUE"""),1.69)</f>
        <v>1.69</v>
      </c>
      <c r="F758" s="1">
        <f>IFERROR(__xludf.DUMMYFUNCTION("""COMPUTED_VALUE"""),119717.0)</f>
        <v>119717</v>
      </c>
    </row>
    <row r="759">
      <c r="A759" s="2">
        <f>IFERROR(__xludf.DUMMYFUNCTION("""COMPUTED_VALUE"""),40268.666666666664)</f>
        <v>40268.66667</v>
      </c>
      <c r="B759" s="1">
        <f>IFERROR(__xludf.DUMMYFUNCTION("""COMPUTED_VALUE"""),1.69)</f>
        <v>1.69</v>
      </c>
      <c r="C759" s="1">
        <f>IFERROR(__xludf.DUMMYFUNCTION("""COMPUTED_VALUE"""),1.8)</f>
        <v>1.8</v>
      </c>
      <c r="D759" s="1">
        <f>IFERROR(__xludf.DUMMYFUNCTION("""COMPUTED_VALUE"""),1.68)</f>
        <v>1.68</v>
      </c>
      <c r="E759" s="1">
        <f>IFERROR(__xludf.DUMMYFUNCTION("""COMPUTED_VALUE"""),1.73)</f>
        <v>1.73</v>
      </c>
      <c r="F759" s="1">
        <f>IFERROR(__xludf.DUMMYFUNCTION("""COMPUTED_VALUE"""),465963.0)</f>
        <v>465963</v>
      </c>
    </row>
    <row r="760">
      <c r="A760" s="2">
        <f>IFERROR(__xludf.DUMMYFUNCTION("""COMPUTED_VALUE"""),40269.666666666664)</f>
        <v>40269.66667</v>
      </c>
      <c r="B760" s="1">
        <f>IFERROR(__xludf.DUMMYFUNCTION("""COMPUTED_VALUE"""),1.74)</f>
        <v>1.74</v>
      </c>
      <c r="C760" s="1">
        <f>IFERROR(__xludf.DUMMYFUNCTION("""COMPUTED_VALUE"""),1.75)</f>
        <v>1.75</v>
      </c>
      <c r="D760" s="1">
        <f>IFERROR(__xludf.DUMMYFUNCTION("""COMPUTED_VALUE"""),1.7)</f>
        <v>1.7</v>
      </c>
      <c r="E760" s="1">
        <f>IFERROR(__xludf.DUMMYFUNCTION("""COMPUTED_VALUE"""),1.74)</f>
        <v>1.74</v>
      </c>
      <c r="F760" s="1">
        <f>IFERROR(__xludf.DUMMYFUNCTION("""COMPUTED_VALUE"""),248388.0)</f>
        <v>248388</v>
      </c>
    </row>
    <row r="761">
      <c r="A761" s="2">
        <f>IFERROR(__xludf.DUMMYFUNCTION("""COMPUTED_VALUE"""),40273.666666666664)</f>
        <v>40273.66667</v>
      </c>
      <c r="B761" s="1">
        <f>IFERROR(__xludf.DUMMYFUNCTION("""COMPUTED_VALUE"""),1.76)</f>
        <v>1.76</v>
      </c>
      <c r="C761" s="1">
        <f>IFERROR(__xludf.DUMMYFUNCTION("""COMPUTED_VALUE"""),1.77)</f>
        <v>1.77</v>
      </c>
      <c r="D761" s="1">
        <f>IFERROR(__xludf.DUMMYFUNCTION("""COMPUTED_VALUE"""),1.73)</f>
        <v>1.73</v>
      </c>
      <c r="E761" s="1">
        <f>IFERROR(__xludf.DUMMYFUNCTION("""COMPUTED_VALUE"""),1.75)</f>
        <v>1.75</v>
      </c>
      <c r="F761" s="1">
        <f>IFERROR(__xludf.DUMMYFUNCTION("""COMPUTED_VALUE"""),260929.0)</f>
        <v>260929</v>
      </c>
    </row>
    <row r="762">
      <c r="A762" s="2">
        <f>IFERROR(__xludf.DUMMYFUNCTION("""COMPUTED_VALUE"""),40274.666666666664)</f>
        <v>40274.66667</v>
      </c>
      <c r="B762" s="1">
        <f>IFERROR(__xludf.DUMMYFUNCTION("""COMPUTED_VALUE"""),1.72)</f>
        <v>1.72</v>
      </c>
      <c r="C762" s="1">
        <f>IFERROR(__xludf.DUMMYFUNCTION("""COMPUTED_VALUE"""),1.75)</f>
        <v>1.75</v>
      </c>
      <c r="D762" s="1">
        <f>IFERROR(__xludf.DUMMYFUNCTION("""COMPUTED_VALUE"""),1.72)</f>
        <v>1.72</v>
      </c>
      <c r="E762" s="1">
        <f>IFERROR(__xludf.DUMMYFUNCTION("""COMPUTED_VALUE"""),1.74)</f>
        <v>1.74</v>
      </c>
      <c r="F762" s="1">
        <f>IFERROR(__xludf.DUMMYFUNCTION("""COMPUTED_VALUE"""),162183.0)</f>
        <v>162183</v>
      </c>
    </row>
    <row r="763">
      <c r="A763" s="2">
        <f>IFERROR(__xludf.DUMMYFUNCTION("""COMPUTED_VALUE"""),40275.666666666664)</f>
        <v>40275.66667</v>
      </c>
      <c r="B763" s="1">
        <f>IFERROR(__xludf.DUMMYFUNCTION("""COMPUTED_VALUE"""),1.73)</f>
        <v>1.73</v>
      </c>
      <c r="C763" s="1">
        <f>IFERROR(__xludf.DUMMYFUNCTION("""COMPUTED_VALUE"""),1.75)</f>
        <v>1.75</v>
      </c>
      <c r="D763" s="1">
        <f>IFERROR(__xludf.DUMMYFUNCTION("""COMPUTED_VALUE"""),1.73)</f>
        <v>1.73</v>
      </c>
      <c r="E763" s="1">
        <f>IFERROR(__xludf.DUMMYFUNCTION("""COMPUTED_VALUE"""),1.74)</f>
        <v>1.74</v>
      </c>
      <c r="F763" s="1">
        <f>IFERROR(__xludf.DUMMYFUNCTION("""COMPUTED_VALUE"""),204030.0)</f>
        <v>204030</v>
      </c>
    </row>
    <row r="764">
      <c r="A764" s="2">
        <f>IFERROR(__xludf.DUMMYFUNCTION("""COMPUTED_VALUE"""),40276.666666666664)</f>
        <v>40276.66667</v>
      </c>
      <c r="B764" s="1">
        <f>IFERROR(__xludf.DUMMYFUNCTION("""COMPUTED_VALUE"""),1.72)</f>
        <v>1.72</v>
      </c>
      <c r="C764" s="1">
        <f>IFERROR(__xludf.DUMMYFUNCTION("""COMPUTED_VALUE"""),1.74)</f>
        <v>1.74</v>
      </c>
      <c r="D764" s="1">
        <f>IFERROR(__xludf.DUMMYFUNCTION("""COMPUTED_VALUE"""),1.7)</f>
        <v>1.7</v>
      </c>
      <c r="E764" s="1">
        <f>IFERROR(__xludf.DUMMYFUNCTION("""COMPUTED_VALUE"""),1.72)</f>
        <v>1.72</v>
      </c>
      <c r="F764" s="1">
        <f>IFERROR(__xludf.DUMMYFUNCTION("""COMPUTED_VALUE"""),143957.0)</f>
        <v>143957</v>
      </c>
    </row>
    <row r="765">
      <c r="A765" s="2">
        <f>IFERROR(__xludf.DUMMYFUNCTION("""COMPUTED_VALUE"""),40277.666666666664)</f>
        <v>40277.66667</v>
      </c>
      <c r="B765" s="1">
        <f>IFERROR(__xludf.DUMMYFUNCTION("""COMPUTED_VALUE"""),1.72)</f>
        <v>1.72</v>
      </c>
      <c r="C765" s="1">
        <f>IFERROR(__xludf.DUMMYFUNCTION("""COMPUTED_VALUE"""),1.73)</f>
        <v>1.73</v>
      </c>
      <c r="D765" s="1">
        <f>IFERROR(__xludf.DUMMYFUNCTION("""COMPUTED_VALUE"""),1.7)</f>
        <v>1.7</v>
      </c>
      <c r="E765" s="1">
        <f>IFERROR(__xludf.DUMMYFUNCTION("""COMPUTED_VALUE"""),1.72)</f>
        <v>1.72</v>
      </c>
      <c r="F765" s="1">
        <f>IFERROR(__xludf.DUMMYFUNCTION("""COMPUTED_VALUE"""),107195.0)</f>
        <v>107195</v>
      </c>
    </row>
    <row r="766">
      <c r="A766" s="2">
        <f>IFERROR(__xludf.DUMMYFUNCTION("""COMPUTED_VALUE"""),40280.666666666664)</f>
        <v>40280.66667</v>
      </c>
      <c r="B766" s="1">
        <f>IFERROR(__xludf.DUMMYFUNCTION("""COMPUTED_VALUE"""),1.75)</f>
        <v>1.75</v>
      </c>
      <c r="C766" s="1">
        <f>IFERROR(__xludf.DUMMYFUNCTION("""COMPUTED_VALUE"""),1.81)</f>
        <v>1.81</v>
      </c>
      <c r="D766" s="1">
        <f>IFERROR(__xludf.DUMMYFUNCTION("""COMPUTED_VALUE"""),1.73)</f>
        <v>1.73</v>
      </c>
      <c r="E766" s="1">
        <f>IFERROR(__xludf.DUMMYFUNCTION("""COMPUTED_VALUE"""),1.78)</f>
        <v>1.78</v>
      </c>
      <c r="F766" s="1">
        <f>IFERROR(__xludf.DUMMYFUNCTION("""COMPUTED_VALUE"""),310050.0)</f>
        <v>310050</v>
      </c>
    </row>
    <row r="767">
      <c r="A767" s="2">
        <f>IFERROR(__xludf.DUMMYFUNCTION("""COMPUTED_VALUE"""),40281.666666666664)</f>
        <v>40281.66667</v>
      </c>
      <c r="B767" s="1">
        <f>IFERROR(__xludf.DUMMYFUNCTION("""COMPUTED_VALUE"""),1.77)</f>
        <v>1.77</v>
      </c>
      <c r="C767" s="1">
        <f>IFERROR(__xludf.DUMMYFUNCTION("""COMPUTED_VALUE"""),1.78)</f>
        <v>1.78</v>
      </c>
      <c r="D767" s="1">
        <f>IFERROR(__xludf.DUMMYFUNCTION("""COMPUTED_VALUE"""),1.76)</f>
        <v>1.76</v>
      </c>
      <c r="E767" s="1">
        <f>IFERROR(__xludf.DUMMYFUNCTION("""COMPUTED_VALUE"""),1.77)</f>
        <v>1.77</v>
      </c>
      <c r="F767" s="1">
        <f>IFERROR(__xludf.DUMMYFUNCTION("""COMPUTED_VALUE"""),81860.0)</f>
        <v>81860</v>
      </c>
    </row>
    <row r="768">
      <c r="A768" s="2">
        <f>IFERROR(__xludf.DUMMYFUNCTION("""COMPUTED_VALUE"""),40282.666666666664)</f>
        <v>40282.66667</v>
      </c>
      <c r="B768" s="1">
        <f>IFERROR(__xludf.DUMMYFUNCTION("""COMPUTED_VALUE"""),1.8)</f>
        <v>1.8</v>
      </c>
      <c r="C768" s="1">
        <f>IFERROR(__xludf.DUMMYFUNCTION("""COMPUTED_VALUE"""),1.88)</f>
        <v>1.88</v>
      </c>
      <c r="D768" s="1">
        <f>IFERROR(__xludf.DUMMYFUNCTION("""COMPUTED_VALUE"""),1.77)</f>
        <v>1.77</v>
      </c>
      <c r="E768" s="1">
        <f>IFERROR(__xludf.DUMMYFUNCTION("""COMPUTED_VALUE"""),1.83)</f>
        <v>1.83</v>
      </c>
      <c r="F768" s="1">
        <f>IFERROR(__xludf.DUMMYFUNCTION("""COMPUTED_VALUE"""),471890.0)</f>
        <v>471890</v>
      </c>
    </row>
    <row r="769">
      <c r="A769" s="2">
        <f>IFERROR(__xludf.DUMMYFUNCTION("""COMPUTED_VALUE"""),40283.666666666664)</f>
        <v>40283.66667</v>
      </c>
      <c r="B769" s="1">
        <f>IFERROR(__xludf.DUMMYFUNCTION("""COMPUTED_VALUE"""),1.85)</f>
        <v>1.85</v>
      </c>
      <c r="C769" s="1">
        <f>IFERROR(__xludf.DUMMYFUNCTION("""COMPUTED_VALUE"""),1.85)</f>
        <v>1.85</v>
      </c>
      <c r="D769" s="1">
        <f>IFERROR(__xludf.DUMMYFUNCTION("""COMPUTED_VALUE"""),1.8)</f>
        <v>1.8</v>
      </c>
      <c r="E769" s="1">
        <f>IFERROR(__xludf.DUMMYFUNCTION("""COMPUTED_VALUE"""),1.81)</f>
        <v>1.81</v>
      </c>
      <c r="F769" s="1">
        <f>IFERROR(__xludf.DUMMYFUNCTION("""COMPUTED_VALUE"""),210868.0)</f>
        <v>210868</v>
      </c>
    </row>
    <row r="770">
      <c r="A770" s="2">
        <f>IFERROR(__xludf.DUMMYFUNCTION("""COMPUTED_VALUE"""),40284.666666666664)</f>
        <v>40284.66667</v>
      </c>
      <c r="B770" s="1">
        <f>IFERROR(__xludf.DUMMYFUNCTION("""COMPUTED_VALUE"""),1.77)</f>
        <v>1.77</v>
      </c>
      <c r="C770" s="1">
        <f>IFERROR(__xludf.DUMMYFUNCTION("""COMPUTED_VALUE"""),1.82)</f>
        <v>1.82</v>
      </c>
      <c r="D770" s="1">
        <f>IFERROR(__xludf.DUMMYFUNCTION("""COMPUTED_VALUE"""),1.76)</f>
        <v>1.76</v>
      </c>
      <c r="E770" s="1">
        <f>IFERROR(__xludf.DUMMYFUNCTION("""COMPUTED_VALUE"""),1.79)</f>
        <v>1.79</v>
      </c>
      <c r="F770" s="1">
        <f>IFERROR(__xludf.DUMMYFUNCTION("""COMPUTED_VALUE"""),181120.0)</f>
        <v>181120</v>
      </c>
    </row>
    <row r="771">
      <c r="A771" s="2">
        <f>IFERROR(__xludf.DUMMYFUNCTION("""COMPUTED_VALUE"""),40287.666666666664)</f>
        <v>40287.66667</v>
      </c>
      <c r="B771" s="1">
        <f>IFERROR(__xludf.DUMMYFUNCTION("""COMPUTED_VALUE"""),1.78)</f>
        <v>1.78</v>
      </c>
      <c r="C771" s="1">
        <f>IFERROR(__xludf.DUMMYFUNCTION("""COMPUTED_VALUE"""),1.8)</f>
        <v>1.8</v>
      </c>
      <c r="D771" s="1">
        <f>IFERROR(__xludf.DUMMYFUNCTION("""COMPUTED_VALUE"""),1.7)</f>
        <v>1.7</v>
      </c>
      <c r="E771" s="1">
        <f>IFERROR(__xludf.DUMMYFUNCTION("""COMPUTED_VALUE"""),1.73)</f>
        <v>1.73</v>
      </c>
      <c r="F771" s="1">
        <f>IFERROR(__xludf.DUMMYFUNCTION("""COMPUTED_VALUE"""),291167.0)</f>
        <v>291167</v>
      </c>
    </row>
    <row r="772">
      <c r="A772" s="2">
        <f>IFERROR(__xludf.DUMMYFUNCTION("""COMPUTED_VALUE"""),40288.666666666664)</f>
        <v>40288.66667</v>
      </c>
      <c r="B772" s="1">
        <f>IFERROR(__xludf.DUMMYFUNCTION("""COMPUTED_VALUE"""),1.73)</f>
        <v>1.73</v>
      </c>
      <c r="C772" s="1">
        <f>IFERROR(__xludf.DUMMYFUNCTION("""COMPUTED_VALUE"""),1.78)</f>
        <v>1.78</v>
      </c>
      <c r="D772" s="1">
        <f>IFERROR(__xludf.DUMMYFUNCTION("""COMPUTED_VALUE"""),1.71)</f>
        <v>1.71</v>
      </c>
      <c r="E772" s="1">
        <f>IFERROR(__xludf.DUMMYFUNCTION("""COMPUTED_VALUE"""),1.78)</f>
        <v>1.78</v>
      </c>
      <c r="F772" s="1">
        <f>IFERROR(__xludf.DUMMYFUNCTION("""COMPUTED_VALUE"""),123157.0)</f>
        <v>123157</v>
      </c>
    </row>
    <row r="773">
      <c r="A773" s="2">
        <f>IFERROR(__xludf.DUMMYFUNCTION("""COMPUTED_VALUE"""),40289.666666666664)</f>
        <v>40289.66667</v>
      </c>
      <c r="B773" s="1">
        <f>IFERROR(__xludf.DUMMYFUNCTION("""COMPUTED_VALUE"""),1.78)</f>
        <v>1.78</v>
      </c>
      <c r="C773" s="1">
        <f>IFERROR(__xludf.DUMMYFUNCTION("""COMPUTED_VALUE"""),1.83)</f>
        <v>1.83</v>
      </c>
      <c r="D773" s="1">
        <f>IFERROR(__xludf.DUMMYFUNCTION("""COMPUTED_VALUE"""),1.76)</f>
        <v>1.76</v>
      </c>
      <c r="E773" s="1">
        <f>IFERROR(__xludf.DUMMYFUNCTION("""COMPUTED_VALUE"""),1.81)</f>
        <v>1.81</v>
      </c>
      <c r="F773" s="1">
        <f>IFERROR(__xludf.DUMMYFUNCTION("""COMPUTED_VALUE"""),144929.0)</f>
        <v>144929</v>
      </c>
    </row>
    <row r="774">
      <c r="A774" s="2">
        <f>IFERROR(__xludf.DUMMYFUNCTION("""COMPUTED_VALUE"""),40290.666666666664)</f>
        <v>40290.66667</v>
      </c>
      <c r="B774" s="1">
        <f>IFERROR(__xludf.DUMMYFUNCTION("""COMPUTED_VALUE"""),1.78)</f>
        <v>1.78</v>
      </c>
      <c r="C774" s="1">
        <f>IFERROR(__xludf.DUMMYFUNCTION("""COMPUTED_VALUE"""),1.86)</f>
        <v>1.86</v>
      </c>
      <c r="D774" s="1">
        <f>IFERROR(__xludf.DUMMYFUNCTION("""COMPUTED_VALUE"""),1.75)</f>
        <v>1.75</v>
      </c>
      <c r="E774" s="1">
        <f>IFERROR(__xludf.DUMMYFUNCTION("""COMPUTED_VALUE"""),1.86)</f>
        <v>1.86</v>
      </c>
      <c r="F774" s="1">
        <f>IFERROR(__xludf.DUMMYFUNCTION("""COMPUTED_VALUE"""),158552.0)</f>
        <v>158552</v>
      </c>
    </row>
    <row r="775">
      <c r="A775" s="2">
        <f>IFERROR(__xludf.DUMMYFUNCTION("""COMPUTED_VALUE"""),40291.666666666664)</f>
        <v>40291.66667</v>
      </c>
      <c r="B775" s="1">
        <f>IFERROR(__xludf.DUMMYFUNCTION("""COMPUTED_VALUE"""),1.86)</f>
        <v>1.86</v>
      </c>
      <c r="C775" s="1">
        <f>IFERROR(__xludf.DUMMYFUNCTION("""COMPUTED_VALUE"""),1.89)</f>
        <v>1.89</v>
      </c>
      <c r="D775" s="1">
        <f>IFERROR(__xludf.DUMMYFUNCTION("""COMPUTED_VALUE"""),1.84)</f>
        <v>1.84</v>
      </c>
      <c r="E775" s="1">
        <f>IFERROR(__xludf.DUMMYFUNCTION("""COMPUTED_VALUE"""),1.89)</f>
        <v>1.89</v>
      </c>
      <c r="F775" s="1">
        <f>IFERROR(__xludf.DUMMYFUNCTION("""COMPUTED_VALUE"""),192226.0)</f>
        <v>192226</v>
      </c>
    </row>
    <row r="776">
      <c r="A776" s="2">
        <f>IFERROR(__xludf.DUMMYFUNCTION("""COMPUTED_VALUE"""),40294.666666666664)</f>
        <v>40294.66667</v>
      </c>
      <c r="B776" s="1">
        <f>IFERROR(__xludf.DUMMYFUNCTION("""COMPUTED_VALUE"""),1.89)</f>
        <v>1.89</v>
      </c>
      <c r="C776" s="1">
        <f>IFERROR(__xludf.DUMMYFUNCTION("""COMPUTED_VALUE"""),1.96)</f>
        <v>1.96</v>
      </c>
      <c r="D776" s="1">
        <f>IFERROR(__xludf.DUMMYFUNCTION("""COMPUTED_VALUE"""),1.88)</f>
        <v>1.88</v>
      </c>
      <c r="E776" s="1">
        <f>IFERROR(__xludf.DUMMYFUNCTION("""COMPUTED_VALUE"""),1.89)</f>
        <v>1.89</v>
      </c>
      <c r="F776" s="1">
        <f>IFERROR(__xludf.DUMMYFUNCTION("""COMPUTED_VALUE"""),473695.0)</f>
        <v>473695</v>
      </c>
    </row>
    <row r="777">
      <c r="A777" s="2">
        <f>IFERROR(__xludf.DUMMYFUNCTION("""COMPUTED_VALUE"""),40295.666666666664)</f>
        <v>40295.66667</v>
      </c>
      <c r="B777" s="1">
        <f>IFERROR(__xludf.DUMMYFUNCTION("""COMPUTED_VALUE"""),1.89)</f>
        <v>1.89</v>
      </c>
      <c r="C777" s="1">
        <f>IFERROR(__xludf.DUMMYFUNCTION("""COMPUTED_VALUE"""),1.91)</f>
        <v>1.91</v>
      </c>
      <c r="D777" s="1">
        <f>IFERROR(__xludf.DUMMYFUNCTION("""COMPUTED_VALUE"""),1.79)</f>
        <v>1.79</v>
      </c>
      <c r="E777" s="1">
        <f>IFERROR(__xludf.DUMMYFUNCTION("""COMPUTED_VALUE"""),1.79)</f>
        <v>1.79</v>
      </c>
      <c r="F777" s="1">
        <f>IFERROR(__xludf.DUMMYFUNCTION("""COMPUTED_VALUE"""),249965.0)</f>
        <v>249965</v>
      </c>
    </row>
    <row r="778">
      <c r="A778" s="2">
        <f>IFERROR(__xludf.DUMMYFUNCTION("""COMPUTED_VALUE"""),40296.666666666664)</f>
        <v>40296.66667</v>
      </c>
      <c r="B778" s="1">
        <f>IFERROR(__xludf.DUMMYFUNCTION("""COMPUTED_VALUE"""),1.58)</f>
        <v>1.58</v>
      </c>
      <c r="C778" s="1">
        <f>IFERROR(__xludf.DUMMYFUNCTION("""COMPUTED_VALUE"""),1.58)</f>
        <v>1.58</v>
      </c>
      <c r="D778" s="1">
        <f>IFERROR(__xludf.DUMMYFUNCTION("""COMPUTED_VALUE"""),1.43)</f>
        <v>1.43</v>
      </c>
      <c r="E778" s="1">
        <f>IFERROR(__xludf.DUMMYFUNCTION("""COMPUTED_VALUE"""),1.51)</f>
        <v>1.51</v>
      </c>
      <c r="F778" s="1">
        <f>IFERROR(__xludf.DUMMYFUNCTION("""COMPUTED_VALUE"""),1817802.0)</f>
        <v>1817802</v>
      </c>
    </row>
    <row r="779">
      <c r="A779" s="2">
        <f>IFERROR(__xludf.DUMMYFUNCTION("""COMPUTED_VALUE"""),40297.666666666664)</f>
        <v>40297.66667</v>
      </c>
      <c r="B779" s="1">
        <f>IFERROR(__xludf.DUMMYFUNCTION("""COMPUTED_VALUE"""),1.5)</f>
        <v>1.5</v>
      </c>
      <c r="C779" s="1">
        <f>IFERROR(__xludf.DUMMYFUNCTION("""COMPUTED_VALUE"""),1.59)</f>
        <v>1.59</v>
      </c>
      <c r="D779" s="1">
        <f>IFERROR(__xludf.DUMMYFUNCTION("""COMPUTED_VALUE"""),1.44)</f>
        <v>1.44</v>
      </c>
      <c r="E779" s="1">
        <f>IFERROR(__xludf.DUMMYFUNCTION("""COMPUTED_VALUE"""),1.55)</f>
        <v>1.55</v>
      </c>
      <c r="F779" s="1">
        <f>IFERROR(__xludf.DUMMYFUNCTION("""COMPUTED_VALUE"""),1033784.0)</f>
        <v>1033784</v>
      </c>
    </row>
    <row r="780">
      <c r="A780" s="2">
        <f>IFERROR(__xludf.DUMMYFUNCTION("""COMPUTED_VALUE"""),40298.666666666664)</f>
        <v>40298.66667</v>
      </c>
      <c r="B780" s="1">
        <f>IFERROR(__xludf.DUMMYFUNCTION("""COMPUTED_VALUE"""),1.53)</f>
        <v>1.53</v>
      </c>
      <c r="C780" s="1">
        <f>IFERROR(__xludf.DUMMYFUNCTION("""COMPUTED_VALUE"""),1.53)</f>
        <v>1.53</v>
      </c>
      <c r="D780" s="1">
        <f>IFERROR(__xludf.DUMMYFUNCTION("""COMPUTED_VALUE"""),1.42)</f>
        <v>1.42</v>
      </c>
      <c r="E780" s="1">
        <f>IFERROR(__xludf.DUMMYFUNCTION("""COMPUTED_VALUE"""),1.42)</f>
        <v>1.42</v>
      </c>
      <c r="F780" s="1">
        <f>IFERROR(__xludf.DUMMYFUNCTION("""COMPUTED_VALUE"""),459194.0)</f>
        <v>459194</v>
      </c>
    </row>
    <row r="781">
      <c r="A781" s="2">
        <f>IFERROR(__xludf.DUMMYFUNCTION("""COMPUTED_VALUE"""),40301.666666666664)</f>
        <v>40301.66667</v>
      </c>
      <c r="B781" s="1">
        <f>IFERROR(__xludf.DUMMYFUNCTION("""COMPUTED_VALUE"""),1.43)</f>
        <v>1.43</v>
      </c>
      <c r="C781" s="1">
        <f>IFERROR(__xludf.DUMMYFUNCTION("""COMPUTED_VALUE"""),1.45)</f>
        <v>1.45</v>
      </c>
      <c r="D781" s="1">
        <f>IFERROR(__xludf.DUMMYFUNCTION("""COMPUTED_VALUE"""),1.38)</f>
        <v>1.38</v>
      </c>
      <c r="E781" s="1">
        <f>IFERROR(__xludf.DUMMYFUNCTION("""COMPUTED_VALUE"""),1.41)</f>
        <v>1.41</v>
      </c>
      <c r="F781" s="1">
        <f>IFERROR(__xludf.DUMMYFUNCTION("""COMPUTED_VALUE"""),463385.0)</f>
        <v>463385</v>
      </c>
    </row>
    <row r="782">
      <c r="A782" s="2">
        <f>IFERROR(__xludf.DUMMYFUNCTION("""COMPUTED_VALUE"""),40302.666666666664)</f>
        <v>40302.66667</v>
      </c>
      <c r="B782" s="1">
        <f>IFERROR(__xludf.DUMMYFUNCTION("""COMPUTED_VALUE"""),1.39)</f>
        <v>1.39</v>
      </c>
      <c r="C782" s="1">
        <f>IFERROR(__xludf.DUMMYFUNCTION("""COMPUTED_VALUE"""),1.4)</f>
        <v>1.4</v>
      </c>
      <c r="D782" s="1">
        <f>IFERROR(__xludf.DUMMYFUNCTION("""COMPUTED_VALUE"""),1.35)</f>
        <v>1.35</v>
      </c>
      <c r="E782" s="1">
        <f>IFERROR(__xludf.DUMMYFUNCTION("""COMPUTED_VALUE"""),1.37)</f>
        <v>1.37</v>
      </c>
      <c r="F782" s="1">
        <f>IFERROR(__xludf.DUMMYFUNCTION("""COMPUTED_VALUE"""),325317.0)</f>
        <v>325317</v>
      </c>
    </row>
    <row r="783">
      <c r="A783" s="2">
        <f>IFERROR(__xludf.DUMMYFUNCTION("""COMPUTED_VALUE"""),40303.666666666664)</f>
        <v>40303.66667</v>
      </c>
      <c r="B783" s="1">
        <f>IFERROR(__xludf.DUMMYFUNCTION("""COMPUTED_VALUE"""),1.35)</f>
        <v>1.35</v>
      </c>
      <c r="C783" s="1">
        <f>IFERROR(__xludf.DUMMYFUNCTION("""COMPUTED_VALUE"""),1.38)</f>
        <v>1.38</v>
      </c>
      <c r="D783" s="1">
        <f>IFERROR(__xludf.DUMMYFUNCTION("""COMPUTED_VALUE"""),1.32)</f>
        <v>1.32</v>
      </c>
      <c r="E783" s="1">
        <f>IFERROR(__xludf.DUMMYFUNCTION("""COMPUTED_VALUE"""),1.34)</f>
        <v>1.34</v>
      </c>
      <c r="F783" s="1">
        <f>IFERROR(__xludf.DUMMYFUNCTION("""COMPUTED_VALUE"""),261776.0)</f>
        <v>261776</v>
      </c>
    </row>
    <row r="784">
      <c r="A784" s="2">
        <f>IFERROR(__xludf.DUMMYFUNCTION("""COMPUTED_VALUE"""),40304.666666666664)</f>
        <v>40304.66667</v>
      </c>
      <c r="B784" s="1">
        <f>IFERROR(__xludf.DUMMYFUNCTION("""COMPUTED_VALUE"""),1.35)</f>
        <v>1.35</v>
      </c>
      <c r="C784" s="1">
        <f>IFERROR(__xludf.DUMMYFUNCTION("""COMPUTED_VALUE"""),1.37)</f>
        <v>1.37</v>
      </c>
      <c r="D784" s="1">
        <f>IFERROR(__xludf.DUMMYFUNCTION("""COMPUTED_VALUE"""),1.29)</f>
        <v>1.29</v>
      </c>
      <c r="E784" s="1">
        <f>IFERROR(__xludf.DUMMYFUNCTION("""COMPUTED_VALUE"""),1.31)</f>
        <v>1.31</v>
      </c>
      <c r="F784" s="1">
        <f>IFERROR(__xludf.DUMMYFUNCTION("""COMPUTED_VALUE"""),283245.0)</f>
        <v>283245</v>
      </c>
    </row>
    <row r="785">
      <c r="A785" s="2">
        <f>IFERROR(__xludf.DUMMYFUNCTION("""COMPUTED_VALUE"""),40305.666666666664)</f>
        <v>40305.66667</v>
      </c>
      <c r="B785" s="1">
        <f>IFERROR(__xludf.DUMMYFUNCTION("""COMPUTED_VALUE"""),1.31)</f>
        <v>1.31</v>
      </c>
      <c r="C785" s="1">
        <f>IFERROR(__xludf.DUMMYFUNCTION("""COMPUTED_VALUE"""),1.35)</f>
        <v>1.35</v>
      </c>
      <c r="D785" s="1">
        <f>IFERROR(__xludf.DUMMYFUNCTION("""COMPUTED_VALUE"""),1.28)</f>
        <v>1.28</v>
      </c>
      <c r="E785" s="1">
        <f>IFERROR(__xludf.DUMMYFUNCTION("""COMPUTED_VALUE"""),1.31)</f>
        <v>1.31</v>
      </c>
      <c r="F785" s="1">
        <f>IFERROR(__xludf.DUMMYFUNCTION("""COMPUTED_VALUE"""),370109.0)</f>
        <v>370109</v>
      </c>
    </row>
    <row r="786">
      <c r="A786" s="2">
        <f>IFERROR(__xludf.DUMMYFUNCTION("""COMPUTED_VALUE"""),40308.666666666664)</f>
        <v>40308.66667</v>
      </c>
      <c r="B786" s="1">
        <f>IFERROR(__xludf.DUMMYFUNCTION("""COMPUTED_VALUE"""),1.4)</f>
        <v>1.4</v>
      </c>
      <c r="C786" s="1">
        <f>IFERROR(__xludf.DUMMYFUNCTION("""COMPUTED_VALUE"""),1.41)</f>
        <v>1.41</v>
      </c>
      <c r="D786" s="1">
        <f>IFERROR(__xludf.DUMMYFUNCTION("""COMPUTED_VALUE"""),1.34)</f>
        <v>1.34</v>
      </c>
      <c r="E786" s="1">
        <f>IFERROR(__xludf.DUMMYFUNCTION("""COMPUTED_VALUE"""),1.38)</f>
        <v>1.38</v>
      </c>
      <c r="F786" s="1">
        <f>IFERROR(__xludf.DUMMYFUNCTION("""COMPUTED_VALUE"""),261445.0)</f>
        <v>261445</v>
      </c>
    </row>
    <row r="787">
      <c r="A787" s="2">
        <f>IFERROR(__xludf.DUMMYFUNCTION("""COMPUTED_VALUE"""),40309.666666666664)</f>
        <v>40309.66667</v>
      </c>
      <c r="B787" s="1">
        <f>IFERROR(__xludf.DUMMYFUNCTION("""COMPUTED_VALUE"""),1.36)</f>
        <v>1.36</v>
      </c>
      <c r="C787" s="1">
        <f>IFERROR(__xludf.DUMMYFUNCTION("""COMPUTED_VALUE"""),1.41)</f>
        <v>1.41</v>
      </c>
      <c r="D787" s="1">
        <f>IFERROR(__xludf.DUMMYFUNCTION("""COMPUTED_VALUE"""),1.34)</f>
        <v>1.34</v>
      </c>
      <c r="E787" s="1">
        <f>IFERROR(__xludf.DUMMYFUNCTION("""COMPUTED_VALUE"""),1.38)</f>
        <v>1.38</v>
      </c>
      <c r="F787" s="1">
        <f>IFERROR(__xludf.DUMMYFUNCTION("""COMPUTED_VALUE"""),162593.0)</f>
        <v>162593</v>
      </c>
    </row>
    <row r="788">
      <c r="A788" s="2">
        <f>IFERROR(__xludf.DUMMYFUNCTION("""COMPUTED_VALUE"""),40310.666666666664)</f>
        <v>40310.66667</v>
      </c>
      <c r="B788" s="1">
        <f>IFERROR(__xludf.DUMMYFUNCTION("""COMPUTED_VALUE"""),1.4)</f>
        <v>1.4</v>
      </c>
      <c r="C788" s="1">
        <f>IFERROR(__xludf.DUMMYFUNCTION("""COMPUTED_VALUE"""),1.48)</f>
        <v>1.48</v>
      </c>
      <c r="D788" s="1">
        <f>IFERROR(__xludf.DUMMYFUNCTION("""COMPUTED_VALUE"""),1.4)</f>
        <v>1.4</v>
      </c>
      <c r="E788" s="1">
        <f>IFERROR(__xludf.DUMMYFUNCTION("""COMPUTED_VALUE"""),1.48)</f>
        <v>1.48</v>
      </c>
      <c r="F788" s="1">
        <f>IFERROR(__xludf.DUMMYFUNCTION("""COMPUTED_VALUE"""),434043.0)</f>
        <v>434043</v>
      </c>
    </row>
    <row r="789">
      <c r="A789" s="2">
        <f>IFERROR(__xludf.DUMMYFUNCTION("""COMPUTED_VALUE"""),40311.666666666664)</f>
        <v>40311.66667</v>
      </c>
      <c r="B789" s="1">
        <f>IFERROR(__xludf.DUMMYFUNCTION("""COMPUTED_VALUE"""),1.47)</f>
        <v>1.47</v>
      </c>
      <c r="C789" s="1">
        <f>IFERROR(__xludf.DUMMYFUNCTION("""COMPUTED_VALUE"""),1.48)</f>
        <v>1.48</v>
      </c>
      <c r="D789" s="1">
        <f>IFERROR(__xludf.DUMMYFUNCTION("""COMPUTED_VALUE"""),1.42)</f>
        <v>1.42</v>
      </c>
      <c r="E789" s="1">
        <f>IFERROR(__xludf.DUMMYFUNCTION("""COMPUTED_VALUE"""),1.43)</f>
        <v>1.43</v>
      </c>
      <c r="F789" s="1">
        <f>IFERROR(__xludf.DUMMYFUNCTION("""COMPUTED_VALUE"""),247892.0)</f>
        <v>247892</v>
      </c>
    </row>
    <row r="790">
      <c r="A790" s="2">
        <f>IFERROR(__xludf.DUMMYFUNCTION("""COMPUTED_VALUE"""),40312.666666666664)</f>
        <v>40312.66667</v>
      </c>
      <c r="B790" s="1">
        <f>IFERROR(__xludf.DUMMYFUNCTION("""COMPUTED_VALUE"""),1.41)</f>
        <v>1.41</v>
      </c>
      <c r="C790" s="1">
        <f>IFERROR(__xludf.DUMMYFUNCTION("""COMPUTED_VALUE"""),1.42)</f>
        <v>1.42</v>
      </c>
      <c r="D790" s="1">
        <f>IFERROR(__xludf.DUMMYFUNCTION("""COMPUTED_VALUE"""),1.38)</f>
        <v>1.38</v>
      </c>
      <c r="E790" s="1">
        <f>IFERROR(__xludf.DUMMYFUNCTION("""COMPUTED_VALUE"""),1.41)</f>
        <v>1.41</v>
      </c>
      <c r="F790" s="1">
        <f>IFERROR(__xludf.DUMMYFUNCTION("""COMPUTED_VALUE"""),145971.0)</f>
        <v>145971</v>
      </c>
    </row>
    <row r="791">
      <c r="A791" s="2">
        <f>IFERROR(__xludf.DUMMYFUNCTION("""COMPUTED_VALUE"""),40315.666666666664)</f>
        <v>40315.66667</v>
      </c>
      <c r="B791" s="1">
        <f>IFERROR(__xludf.DUMMYFUNCTION("""COMPUTED_VALUE"""),1.43)</f>
        <v>1.43</v>
      </c>
      <c r="C791" s="1">
        <f>IFERROR(__xludf.DUMMYFUNCTION("""COMPUTED_VALUE"""),1.44)</f>
        <v>1.44</v>
      </c>
      <c r="D791" s="1">
        <f>IFERROR(__xludf.DUMMYFUNCTION("""COMPUTED_VALUE"""),1.32)</f>
        <v>1.32</v>
      </c>
      <c r="E791" s="1">
        <f>IFERROR(__xludf.DUMMYFUNCTION("""COMPUTED_VALUE"""),1.38)</f>
        <v>1.38</v>
      </c>
      <c r="F791" s="1">
        <f>IFERROR(__xludf.DUMMYFUNCTION("""COMPUTED_VALUE"""),197934.0)</f>
        <v>197934</v>
      </c>
    </row>
    <row r="792">
      <c r="A792" s="2">
        <f>IFERROR(__xludf.DUMMYFUNCTION("""COMPUTED_VALUE"""),40316.666666666664)</f>
        <v>40316.66667</v>
      </c>
      <c r="B792" s="1">
        <f>IFERROR(__xludf.DUMMYFUNCTION("""COMPUTED_VALUE"""),1.39)</f>
        <v>1.39</v>
      </c>
      <c r="C792" s="1">
        <f>IFERROR(__xludf.DUMMYFUNCTION("""COMPUTED_VALUE"""),1.42)</f>
        <v>1.42</v>
      </c>
      <c r="D792" s="1">
        <f>IFERROR(__xludf.DUMMYFUNCTION("""COMPUTED_VALUE"""),1.31)</f>
        <v>1.31</v>
      </c>
      <c r="E792" s="1">
        <f>IFERROR(__xludf.DUMMYFUNCTION("""COMPUTED_VALUE"""),1.33)</f>
        <v>1.33</v>
      </c>
      <c r="F792" s="1">
        <f>IFERROR(__xludf.DUMMYFUNCTION("""COMPUTED_VALUE"""),162546.0)</f>
        <v>162546</v>
      </c>
    </row>
    <row r="793">
      <c r="A793" s="2">
        <f>IFERROR(__xludf.DUMMYFUNCTION("""COMPUTED_VALUE"""),40317.666666666664)</f>
        <v>40317.66667</v>
      </c>
      <c r="B793" s="1">
        <f>IFERROR(__xludf.DUMMYFUNCTION("""COMPUTED_VALUE"""),1.32)</f>
        <v>1.32</v>
      </c>
      <c r="C793" s="1">
        <f>IFERROR(__xludf.DUMMYFUNCTION("""COMPUTED_VALUE"""),1.35)</f>
        <v>1.35</v>
      </c>
      <c r="D793" s="1">
        <f>IFERROR(__xludf.DUMMYFUNCTION("""COMPUTED_VALUE"""),1.29)</f>
        <v>1.29</v>
      </c>
      <c r="E793" s="1">
        <f>IFERROR(__xludf.DUMMYFUNCTION("""COMPUTED_VALUE"""),1.35)</f>
        <v>1.35</v>
      </c>
      <c r="F793" s="1">
        <f>IFERROR(__xludf.DUMMYFUNCTION("""COMPUTED_VALUE"""),259662.0)</f>
        <v>259662</v>
      </c>
    </row>
    <row r="794">
      <c r="A794" s="2">
        <f>IFERROR(__xludf.DUMMYFUNCTION("""COMPUTED_VALUE"""),40318.666666666664)</f>
        <v>40318.66667</v>
      </c>
      <c r="B794" s="1">
        <f>IFERROR(__xludf.DUMMYFUNCTION("""COMPUTED_VALUE"""),1.3)</f>
        <v>1.3</v>
      </c>
      <c r="C794" s="1">
        <f>IFERROR(__xludf.DUMMYFUNCTION("""COMPUTED_VALUE"""),1.33)</f>
        <v>1.33</v>
      </c>
      <c r="D794" s="1">
        <f>IFERROR(__xludf.DUMMYFUNCTION("""COMPUTED_VALUE"""),1.27)</f>
        <v>1.27</v>
      </c>
      <c r="E794" s="1">
        <f>IFERROR(__xludf.DUMMYFUNCTION("""COMPUTED_VALUE"""),1.28)</f>
        <v>1.28</v>
      </c>
      <c r="F794" s="1">
        <f>IFERROR(__xludf.DUMMYFUNCTION("""COMPUTED_VALUE"""),347476.0)</f>
        <v>347476</v>
      </c>
    </row>
    <row r="795">
      <c r="A795" s="2">
        <f>IFERROR(__xludf.DUMMYFUNCTION("""COMPUTED_VALUE"""),40319.666666666664)</f>
        <v>40319.66667</v>
      </c>
      <c r="B795" s="1">
        <f>IFERROR(__xludf.DUMMYFUNCTION("""COMPUTED_VALUE"""),1.27)</f>
        <v>1.27</v>
      </c>
      <c r="C795" s="1">
        <f>IFERROR(__xludf.DUMMYFUNCTION("""COMPUTED_VALUE"""),1.32)</f>
        <v>1.32</v>
      </c>
      <c r="D795" s="1">
        <f>IFERROR(__xludf.DUMMYFUNCTION("""COMPUTED_VALUE"""),1.26)</f>
        <v>1.26</v>
      </c>
      <c r="E795" s="1">
        <f>IFERROR(__xludf.DUMMYFUNCTION("""COMPUTED_VALUE"""),1.29)</f>
        <v>1.29</v>
      </c>
      <c r="F795" s="1">
        <f>IFERROR(__xludf.DUMMYFUNCTION("""COMPUTED_VALUE"""),277791.0)</f>
        <v>277791</v>
      </c>
    </row>
    <row r="796">
      <c r="A796" s="2">
        <f>IFERROR(__xludf.DUMMYFUNCTION("""COMPUTED_VALUE"""),40322.666666666664)</f>
        <v>40322.66667</v>
      </c>
      <c r="B796" s="1">
        <f>IFERROR(__xludf.DUMMYFUNCTION("""COMPUTED_VALUE"""),1.29)</f>
        <v>1.29</v>
      </c>
      <c r="C796" s="1">
        <f>IFERROR(__xludf.DUMMYFUNCTION("""COMPUTED_VALUE"""),1.3)</f>
        <v>1.3</v>
      </c>
      <c r="D796" s="1">
        <f>IFERROR(__xludf.DUMMYFUNCTION("""COMPUTED_VALUE"""),1.25)</f>
        <v>1.25</v>
      </c>
      <c r="E796" s="1">
        <f>IFERROR(__xludf.DUMMYFUNCTION("""COMPUTED_VALUE"""),1.26)</f>
        <v>1.26</v>
      </c>
      <c r="F796" s="1">
        <f>IFERROR(__xludf.DUMMYFUNCTION("""COMPUTED_VALUE"""),135005.0)</f>
        <v>135005</v>
      </c>
    </row>
    <row r="797">
      <c r="A797" s="2">
        <f>IFERROR(__xludf.DUMMYFUNCTION("""COMPUTED_VALUE"""),40323.666666666664)</f>
        <v>40323.66667</v>
      </c>
      <c r="B797" s="1">
        <f>IFERROR(__xludf.DUMMYFUNCTION("""COMPUTED_VALUE"""),1.24)</f>
        <v>1.24</v>
      </c>
      <c r="C797" s="1">
        <f>IFERROR(__xludf.DUMMYFUNCTION("""COMPUTED_VALUE"""),1.27)</f>
        <v>1.27</v>
      </c>
      <c r="D797" s="1">
        <f>IFERROR(__xludf.DUMMYFUNCTION("""COMPUTED_VALUE"""),1.2)</f>
        <v>1.2</v>
      </c>
      <c r="E797" s="1">
        <f>IFERROR(__xludf.DUMMYFUNCTION("""COMPUTED_VALUE"""),1.27)</f>
        <v>1.27</v>
      </c>
      <c r="F797" s="1">
        <f>IFERROR(__xludf.DUMMYFUNCTION("""COMPUTED_VALUE"""),219152.0)</f>
        <v>219152</v>
      </c>
    </row>
    <row r="798">
      <c r="A798" s="2">
        <f>IFERROR(__xludf.DUMMYFUNCTION("""COMPUTED_VALUE"""),40324.666666666664)</f>
        <v>40324.66667</v>
      </c>
      <c r="B798" s="1">
        <f>IFERROR(__xludf.DUMMYFUNCTION("""COMPUTED_VALUE"""),1.29)</f>
        <v>1.29</v>
      </c>
      <c r="C798" s="1">
        <f>IFERROR(__xludf.DUMMYFUNCTION("""COMPUTED_VALUE"""),1.34)</f>
        <v>1.34</v>
      </c>
      <c r="D798" s="1">
        <f>IFERROR(__xludf.DUMMYFUNCTION("""COMPUTED_VALUE"""),1.23)</f>
        <v>1.23</v>
      </c>
      <c r="E798" s="1">
        <f>IFERROR(__xludf.DUMMYFUNCTION("""COMPUTED_VALUE"""),1.24)</f>
        <v>1.24</v>
      </c>
      <c r="F798" s="1">
        <f>IFERROR(__xludf.DUMMYFUNCTION("""COMPUTED_VALUE"""),305246.0)</f>
        <v>305246</v>
      </c>
    </row>
    <row r="799">
      <c r="A799" s="2">
        <f>IFERROR(__xludf.DUMMYFUNCTION("""COMPUTED_VALUE"""),40325.666666666664)</f>
        <v>40325.66667</v>
      </c>
      <c r="B799" s="1">
        <f>IFERROR(__xludf.DUMMYFUNCTION("""COMPUTED_VALUE"""),1.27)</f>
        <v>1.27</v>
      </c>
      <c r="C799" s="1">
        <f>IFERROR(__xludf.DUMMYFUNCTION("""COMPUTED_VALUE"""),1.38)</f>
        <v>1.38</v>
      </c>
      <c r="D799" s="1">
        <f>IFERROR(__xludf.DUMMYFUNCTION("""COMPUTED_VALUE"""),1.24)</f>
        <v>1.24</v>
      </c>
      <c r="E799" s="1">
        <f>IFERROR(__xludf.DUMMYFUNCTION("""COMPUTED_VALUE"""),1.38)</f>
        <v>1.38</v>
      </c>
      <c r="F799" s="1">
        <f>IFERROR(__xludf.DUMMYFUNCTION("""COMPUTED_VALUE"""),384959.0)</f>
        <v>384959</v>
      </c>
    </row>
    <row r="800">
      <c r="A800" s="2">
        <f>IFERROR(__xludf.DUMMYFUNCTION("""COMPUTED_VALUE"""),40326.666666666664)</f>
        <v>40326.66667</v>
      </c>
      <c r="B800" s="1">
        <f>IFERROR(__xludf.DUMMYFUNCTION("""COMPUTED_VALUE"""),1.38)</f>
        <v>1.38</v>
      </c>
      <c r="C800" s="1">
        <f>IFERROR(__xludf.DUMMYFUNCTION("""COMPUTED_VALUE"""),1.4)</f>
        <v>1.4</v>
      </c>
      <c r="D800" s="1">
        <f>IFERROR(__xludf.DUMMYFUNCTION("""COMPUTED_VALUE"""),1.35)</f>
        <v>1.35</v>
      </c>
      <c r="E800" s="1">
        <f>IFERROR(__xludf.DUMMYFUNCTION("""COMPUTED_VALUE"""),1.38)</f>
        <v>1.38</v>
      </c>
      <c r="F800" s="1">
        <f>IFERROR(__xludf.DUMMYFUNCTION("""COMPUTED_VALUE"""),591304.0)</f>
        <v>591304</v>
      </c>
    </row>
    <row r="801">
      <c r="A801" s="2">
        <f>IFERROR(__xludf.DUMMYFUNCTION("""COMPUTED_VALUE"""),40330.666666666664)</f>
        <v>40330.66667</v>
      </c>
      <c r="B801" s="1">
        <f>IFERROR(__xludf.DUMMYFUNCTION("""COMPUTED_VALUE"""),1.35)</f>
        <v>1.35</v>
      </c>
      <c r="C801" s="1">
        <f>IFERROR(__xludf.DUMMYFUNCTION("""COMPUTED_VALUE"""),1.37)</f>
        <v>1.37</v>
      </c>
      <c r="D801" s="1">
        <f>IFERROR(__xludf.DUMMYFUNCTION("""COMPUTED_VALUE"""),1.27)</f>
        <v>1.27</v>
      </c>
      <c r="E801" s="1">
        <f>IFERROR(__xludf.DUMMYFUNCTION("""COMPUTED_VALUE"""),1.27)</f>
        <v>1.27</v>
      </c>
      <c r="F801" s="1">
        <f>IFERROR(__xludf.DUMMYFUNCTION("""COMPUTED_VALUE"""),269878.0)</f>
        <v>269878</v>
      </c>
    </row>
    <row r="802">
      <c r="A802" s="2">
        <f>IFERROR(__xludf.DUMMYFUNCTION("""COMPUTED_VALUE"""),40331.666666666664)</f>
        <v>40331.66667</v>
      </c>
      <c r="B802" s="1">
        <f>IFERROR(__xludf.DUMMYFUNCTION("""COMPUTED_VALUE"""),1.27)</f>
        <v>1.27</v>
      </c>
      <c r="C802" s="1">
        <f>IFERROR(__xludf.DUMMYFUNCTION("""COMPUTED_VALUE"""),1.27)</f>
        <v>1.27</v>
      </c>
      <c r="D802" s="1">
        <f>IFERROR(__xludf.DUMMYFUNCTION("""COMPUTED_VALUE"""),1.23)</f>
        <v>1.23</v>
      </c>
      <c r="E802" s="1">
        <f>IFERROR(__xludf.DUMMYFUNCTION("""COMPUTED_VALUE"""),1.24)</f>
        <v>1.24</v>
      </c>
      <c r="F802" s="1">
        <f>IFERROR(__xludf.DUMMYFUNCTION("""COMPUTED_VALUE"""),252481.0)</f>
        <v>252481</v>
      </c>
    </row>
    <row r="803">
      <c r="A803" s="2">
        <f>IFERROR(__xludf.DUMMYFUNCTION("""COMPUTED_VALUE"""),40332.666666666664)</f>
        <v>40332.66667</v>
      </c>
      <c r="B803" s="1">
        <f>IFERROR(__xludf.DUMMYFUNCTION("""COMPUTED_VALUE"""),1.25)</f>
        <v>1.25</v>
      </c>
      <c r="C803" s="1">
        <f>IFERROR(__xludf.DUMMYFUNCTION("""COMPUTED_VALUE"""),1.31)</f>
        <v>1.31</v>
      </c>
      <c r="D803" s="1">
        <f>IFERROR(__xludf.DUMMYFUNCTION("""COMPUTED_VALUE"""),1.23)</f>
        <v>1.23</v>
      </c>
      <c r="E803" s="1">
        <f>IFERROR(__xludf.DUMMYFUNCTION("""COMPUTED_VALUE"""),1.3)</f>
        <v>1.3</v>
      </c>
      <c r="F803" s="1">
        <f>IFERROR(__xludf.DUMMYFUNCTION("""COMPUTED_VALUE"""),185987.0)</f>
        <v>185987</v>
      </c>
    </row>
    <row r="804">
      <c r="A804" s="2">
        <f>IFERROR(__xludf.DUMMYFUNCTION("""COMPUTED_VALUE"""),40333.666666666664)</f>
        <v>40333.66667</v>
      </c>
      <c r="B804" s="1">
        <f>IFERROR(__xludf.DUMMYFUNCTION("""COMPUTED_VALUE"""),1.26)</f>
        <v>1.26</v>
      </c>
      <c r="C804" s="1">
        <f>IFERROR(__xludf.DUMMYFUNCTION("""COMPUTED_VALUE"""),1.28)</f>
        <v>1.28</v>
      </c>
      <c r="D804" s="1">
        <f>IFERROR(__xludf.DUMMYFUNCTION("""COMPUTED_VALUE"""),1.2)</f>
        <v>1.2</v>
      </c>
      <c r="E804" s="1">
        <f>IFERROR(__xludf.DUMMYFUNCTION("""COMPUTED_VALUE"""),1.22)</f>
        <v>1.22</v>
      </c>
      <c r="F804" s="1">
        <f>IFERROR(__xludf.DUMMYFUNCTION("""COMPUTED_VALUE"""),204772.0)</f>
        <v>204772</v>
      </c>
    </row>
    <row r="805">
      <c r="A805" s="2">
        <f>IFERROR(__xludf.DUMMYFUNCTION("""COMPUTED_VALUE"""),40336.666666666664)</f>
        <v>40336.66667</v>
      </c>
      <c r="B805" s="1">
        <f>IFERROR(__xludf.DUMMYFUNCTION("""COMPUTED_VALUE"""),1.23)</f>
        <v>1.23</v>
      </c>
      <c r="C805" s="1">
        <f>IFERROR(__xludf.DUMMYFUNCTION("""COMPUTED_VALUE"""),1.27)</f>
        <v>1.27</v>
      </c>
      <c r="D805" s="1">
        <f>IFERROR(__xludf.DUMMYFUNCTION("""COMPUTED_VALUE"""),1.19)</f>
        <v>1.19</v>
      </c>
      <c r="E805" s="1">
        <f>IFERROR(__xludf.DUMMYFUNCTION("""COMPUTED_VALUE"""),1.2)</f>
        <v>1.2</v>
      </c>
      <c r="F805" s="1">
        <f>IFERROR(__xludf.DUMMYFUNCTION("""COMPUTED_VALUE"""),248459.0)</f>
        <v>248459</v>
      </c>
    </row>
    <row r="806">
      <c r="A806" s="2">
        <f>IFERROR(__xludf.DUMMYFUNCTION("""COMPUTED_VALUE"""),40337.666666666664)</f>
        <v>40337.66667</v>
      </c>
      <c r="B806" s="1">
        <f>IFERROR(__xludf.DUMMYFUNCTION("""COMPUTED_VALUE"""),1.2)</f>
        <v>1.2</v>
      </c>
      <c r="C806" s="1">
        <f>IFERROR(__xludf.DUMMYFUNCTION("""COMPUTED_VALUE"""),1.23)</f>
        <v>1.23</v>
      </c>
      <c r="D806" s="1">
        <f>IFERROR(__xludf.DUMMYFUNCTION("""COMPUTED_VALUE"""),1.17)</f>
        <v>1.17</v>
      </c>
      <c r="E806" s="1">
        <f>IFERROR(__xludf.DUMMYFUNCTION("""COMPUTED_VALUE"""),1.23)</f>
        <v>1.23</v>
      </c>
      <c r="F806" s="1">
        <f>IFERROR(__xludf.DUMMYFUNCTION("""COMPUTED_VALUE"""),317463.0)</f>
        <v>317463</v>
      </c>
    </row>
    <row r="807">
      <c r="A807" s="2">
        <f>IFERROR(__xludf.DUMMYFUNCTION("""COMPUTED_VALUE"""),40338.666666666664)</f>
        <v>40338.66667</v>
      </c>
      <c r="B807" s="1">
        <f>IFERROR(__xludf.DUMMYFUNCTION("""COMPUTED_VALUE"""),1.25)</f>
        <v>1.25</v>
      </c>
      <c r="C807" s="1">
        <f>IFERROR(__xludf.DUMMYFUNCTION("""COMPUTED_VALUE"""),1.28)</f>
        <v>1.28</v>
      </c>
      <c r="D807" s="1">
        <f>IFERROR(__xludf.DUMMYFUNCTION("""COMPUTED_VALUE"""),1.22)</f>
        <v>1.22</v>
      </c>
      <c r="E807" s="1">
        <f>IFERROR(__xludf.DUMMYFUNCTION("""COMPUTED_VALUE"""),1.24)</f>
        <v>1.24</v>
      </c>
      <c r="F807" s="1">
        <f>IFERROR(__xludf.DUMMYFUNCTION("""COMPUTED_VALUE"""),146230.0)</f>
        <v>146230</v>
      </c>
    </row>
    <row r="808">
      <c r="A808" s="2">
        <f>IFERROR(__xludf.DUMMYFUNCTION("""COMPUTED_VALUE"""),40339.666666666664)</f>
        <v>40339.66667</v>
      </c>
      <c r="B808" s="1">
        <f>IFERROR(__xludf.DUMMYFUNCTION("""COMPUTED_VALUE"""),1.27)</f>
        <v>1.27</v>
      </c>
      <c r="C808" s="1">
        <f>IFERROR(__xludf.DUMMYFUNCTION("""COMPUTED_VALUE"""),1.28)</f>
        <v>1.28</v>
      </c>
      <c r="D808" s="1">
        <f>IFERROR(__xludf.DUMMYFUNCTION("""COMPUTED_VALUE"""),1.24)</f>
        <v>1.24</v>
      </c>
      <c r="E808" s="1">
        <f>IFERROR(__xludf.DUMMYFUNCTION("""COMPUTED_VALUE"""),1.28)</f>
        <v>1.28</v>
      </c>
      <c r="F808" s="1">
        <f>IFERROR(__xludf.DUMMYFUNCTION("""COMPUTED_VALUE"""),107234.0)</f>
        <v>107234</v>
      </c>
    </row>
    <row r="809">
      <c r="A809" s="2">
        <f>IFERROR(__xludf.DUMMYFUNCTION("""COMPUTED_VALUE"""),40340.666666666664)</f>
        <v>40340.66667</v>
      </c>
      <c r="B809" s="1">
        <f>IFERROR(__xludf.DUMMYFUNCTION("""COMPUTED_VALUE"""),1.26)</f>
        <v>1.26</v>
      </c>
      <c r="C809" s="1">
        <f>IFERROR(__xludf.DUMMYFUNCTION("""COMPUTED_VALUE"""),1.35)</f>
        <v>1.35</v>
      </c>
      <c r="D809" s="1">
        <f>IFERROR(__xludf.DUMMYFUNCTION("""COMPUTED_VALUE"""),1.25)</f>
        <v>1.25</v>
      </c>
      <c r="E809" s="1">
        <f>IFERROR(__xludf.DUMMYFUNCTION("""COMPUTED_VALUE"""),1.34)</f>
        <v>1.34</v>
      </c>
      <c r="F809" s="1">
        <f>IFERROR(__xludf.DUMMYFUNCTION("""COMPUTED_VALUE"""),135449.0)</f>
        <v>135449</v>
      </c>
    </row>
    <row r="810">
      <c r="A810" s="2">
        <f>IFERROR(__xludf.DUMMYFUNCTION("""COMPUTED_VALUE"""),40343.666666666664)</f>
        <v>40343.66667</v>
      </c>
      <c r="B810" s="1">
        <f>IFERROR(__xludf.DUMMYFUNCTION("""COMPUTED_VALUE"""),1.36)</f>
        <v>1.36</v>
      </c>
      <c r="C810" s="1">
        <f>IFERROR(__xludf.DUMMYFUNCTION("""COMPUTED_VALUE"""),1.4)</f>
        <v>1.4</v>
      </c>
      <c r="D810" s="1">
        <f>IFERROR(__xludf.DUMMYFUNCTION("""COMPUTED_VALUE"""),1.35)</f>
        <v>1.35</v>
      </c>
      <c r="E810" s="1">
        <f>IFERROR(__xludf.DUMMYFUNCTION("""COMPUTED_VALUE"""),1.4)</f>
        <v>1.4</v>
      </c>
      <c r="F810" s="1">
        <f>IFERROR(__xludf.DUMMYFUNCTION("""COMPUTED_VALUE"""),181686.0)</f>
        <v>181686</v>
      </c>
    </row>
    <row r="811">
      <c r="A811" s="2">
        <f>IFERROR(__xludf.DUMMYFUNCTION("""COMPUTED_VALUE"""),40344.666666666664)</f>
        <v>40344.66667</v>
      </c>
      <c r="B811" s="1">
        <f>IFERROR(__xludf.DUMMYFUNCTION("""COMPUTED_VALUE"""),1.4)</f>
        <v>1.4</v>
      </c>
      <c r="C811" s="1">
        <f>IFERROR(__xludf.DUMMYFUNCTION("""COMPUTED_VALUE"""),1.42)</f>
        <v>1.42</v>
      </c>
      <c r="D811" s="1">
        <f>IFERROR(__xludf.DUMMYFUNCTION("""COMPUTED_VALUE"""),1.37)</f>
        <v>1.37</v>
      </c>
      <c r="E811" s="1">
        <f>IFERROR(__xludf.DUMMYFUNCTION("""COMPUTED_VALUE"""),1.39)</f>
        <v>1.39</v>
      </c>
      <c r="F811" s="1">
        <f>IFERROR(__xludf.DUMMYFUNCTION("""COMPUTED_VALUE"""),221894.0)</f>
        <v>221894</v>
      </c>
    </row>
    <row r="812">
      <c r="A812" s="2">
        <f>IFERROR(__xludf.DUMMYFUNCTION("""COMPUTED_VALUE"""),40345.666666666664)</f>
        <v>40345.66667</v>
      </c>
      <c r="B812" s="1">
        <f>IFERROR(__xludf.DUMMYFUNCTION("""COMPUTED_VALUE"""),1.38)</f>
        <v>1.38</v>
      </c>
      <c r="C812" s="1">
        <f>IFERROR(__xludf.DUMMYFUNCTION("""COMPUTED_VALUE"""),1.45)</f>
        <v>1.45</v>
      </c>
      <c r="D812" s="1">
        <f>IFERROR(__xludf.DUMMYFUNCTION("""COMPUTED_VALUE"""),1.37)</f>
        <v>1.37</v>
      </c>
      <c r="E812" s="1">
        <f>IFERROR(__xludf.DUMMYFUNCTION("""COMPUTED_VALUE"""),1.44)</f>
        <v>1.44</v>
      </c>
      <c r="F812" s="1">
        <f>IFERROR(__xludf.DUMMYFUNCTION("""COMPUTED_VALUE"""),176911.0)</f>
        <v>176911</v>
      </c>
    </row>
    <row r="813">
      <c r="A813" s="2">
        <f>IFERROR(__xludf.DUMMYFUNCTION("""COMPUTED_VALUE"""),40346.666666666664)</f>
        <v>40346.66667</v>
      </c>
      <c r="B813" s="1">
        <f>IFERROR(__xludf.DUMMYFUNCTION("""COMPUTED_VALUE"""),1.46)</f>
        <v>1.46</v>
      </c>
      <c r="C813" s="1">
        <f>IFERROR(__xludf.DUMMYFUNCTION("""COMPUTED_VALUE"""),1.46)</f>
        <v>1.46</v>
      </c>
      <c r="D813" s="1">
        <f>IFERROR(__xludf.DUMMYFUNCTION("""COMPUTED_VALUE"""),1.39)</f>
        <v>1.39</v>
      </c>
      <c r="E813" s="1">
        <f>IFERROR(__xludf.DUMMYFUNCTION("""COMPUTED_VALUE"""),1.45)</f>
        <v>1.45</v>
      </c>
      <c r="F813" s="1">
        <f>IFERROR(__xludf.DUMMYFUNCTION("""COMPUTED_VALUE"""),128214.0)</f>
        <v>128214</v>
      </c>
    </row>
    <row r="814">
      <c r="A814" s="2">
        <f>IFERROR(__xludf.DUMMYFUNCTION("""COMPUTED_VALUE"""),40347.666666666664)</f>
        <v>40347.66667</v>
      </c>
      <c r="B814" s="1">
        <f>IFERROR(__xludf.DUMMYFUNCTION("""COMPUTED_VALUE"""),1.45)</f>
        <v>1.45</v>
      </c>
      <c r="C814" s="1">
        <f>IFERROR(__xludf.DUMMYFUNCTION("""COMPUTED_VALUE"""),1.46)</f>
        <v>1.46</v>
      </c>
      <c r="D814" s="1">
        <f>IFERROR(__xludf.DUMMYFUNCTION("""COMPUTED_VALUE"""),1.41)</f>
        <v>1.41</v>
      </c>
      <c r="E814" s="1">
        <f>IFERROR(__xludf.DUMMYFUNCTION("""COMPUTED_VALUE"""),1.45)</f>
        <v>1.45</v>
      </c>
      <c r="F814" s="1">
        <f>IFERROR(__xludf.DUMMYFUNCTION("""COMPUTED_VALUE"""),169167.0)</f>
        <v>169167</v>
      </c>
    </row>
    <row r="815">
      <c r="A815" s="2">
        <f>IFERROR(__xludf.DUMMYFUNCTION("""COMPUTED_VALUE"""),40350.666666666664)</f>
        <v>40350.66667</v>
      </c>
      <c r="B815" s="1">
        <f>IFERROR(__xludf.DUMMYFUNCTION("""COMPUTED_VALUE"""),1.47)</f>
        <v>1.47</v>
      </c>
      <c r="C815" s="1">
        <f>IFERROR(__xludf.DUMMYFUNCTION("""COMPUTED_VALUE"""),1.5)</f>
        <v>1.5</v>
      </c>
      <c r="D815" s="1">
        <f>IFERROR(__xludf.DUMMYFUNCTION("""COMPUTED_VALUE"""),1.41)</f>
        <v>1.41</v>
      </c>
      <c r="E815" s="1">
        <f>IFERROR(__xludf.DUMMYFUNCTION("""COMPUTED_VALUE"""),1.42)</f>
        <v>1.42</v>
      </c>
      <c r="F815" s="1">
        <f>IFERROR(__xludf.DUMMYFUNCTION("""COMPUTED_VALUE"""),162590.0)</f>
        <v>162590</v>
      </c>
    </row>
    <row r="816">
      <c r="A816" s="2">
        <f>IFERROR(__xludf.DUMMYFUNCTION("""COMPUTED_VALUE"""),40351.666666666664)</f>
        <v>40351.66667</v>
      </c>
      <c r="B816" s="1">
        <f>IFERROR(__xludf.DUMMYFUNCTION("""COMPUTED_VALUE"""),1.43)</f>
        <v>1.43</v>
      </c>
      <c r="C816" s="1">
        <f>IFERROR(__xludf.DUMMYFUNCTION("""COMPUTED_VALUE"""),1.47)</f>
        <v>1.47</v>
      </c>
      <c r="D816" s="1">
        <f>IFERROR(__xludf.DUMMYFUNCTION("""COMPUTED_VALUE"""),1.43)</f>
        <v>1.43</v>
      </c>
      <c r="E816" s="1">
        <f>IFERROR(__xludf.DUMMYFUNCTION("""COMPUTED_VALUE"""),1.46)</f>
        <v>1.46</v>
      </c>
      <c r="F816" s="1">
        <f>IFERROR(__xludf.DUMMYFUNCTION("""COMPUTED_VALUE"""),143809.0)</f>
        <v>143809</v>
      </c>
    </row>
    <row r="817">
      <c r="A817" s="2">
        <f>IFERROR(__xludf.DUMMYFUNCTION("""COMPUTED_VALUE"""),40352.666666666664)</f>
        <v>40352.66667</v>
      </c>
      <c r="B817" s="1">
        <f>IFERROR(__xludf.DUMMYFUNCTION("""COMPUTED_VALUE"""),1.46)</f>
        <v>1.46</v>
      </c>
      <c r="C817" s="1">
        <f>IFERROR(__xludf.DUMMYFUNCTION("""COMPUTED_VALUE"""),1.47)</f>
        <v>1.47</v>
      </c>
      <c r="D817" s="1">
        <f>IFERROR(__xludf.DUMMYFUNCTION("""COMPUTED_VALUE"""),1.44)</f>
        <v>1.44</v>
      </c>
      <c r="E817" s="1">
        <f>IFERROR(__xludf.DUMMYFUNCTION("""COMPUTED_VALUE"""),1.45)</f>
        <v>1.45</v>
      </c>
      <c r="F817" s="1">
        <f>IFERROR(__xludf.DUMMYFUNCTION("""COMPUTED_VALUE"""),131731.0)</f>
        <v>131731</v>
      </c>
    </row>
    <row r="818">
      <c r="A818" s="2">
        <f>IFERROR(__xludf.DUMMYFUNCTION("""COMPUTED_VALUE"""),40353.666666666664)</f>
        <v>40353.66667</v>
      </c>
      <c r="B818" s="1">
        <f>IFERROR(__xludf.DUMMYFUNCTION("""COMPUTED_VALUE"""),1.44)</f>
        <v>1.44</v>
      </c>
      <c r="C818" s="1">
        <f>IFERROR(__xludf.DUMMYFUNCTION("""COMPUTED_VALUE"""),1.45)</f>
        <v>1.45</v>
      </c>
      <c r="D818" s="1">
        <f>IFERROR(__xludf.DUMMYFUNCTION("""COMPUTED_VALUE"""),1.39)</f>
        <v>1.39</v>
      </c>
      <c r="E818" s="1">
        <f>IFERROR(__xludf.DUMMYFUNCTION("""COMPUTED_VALUE"""),1.39)</f>
        <v>1.39</v>
      </c>
      <c r="F818" s="1">
        <f>IFERROR(__xludf.DUMMYFUNCTION("""COMPUTED_VALUE"""),90255.0)</f>
        <v>90255</v>
      </c>
    </row>
    <row r="819">
      <c r="A819" s="2">
        <f>IFERROR(__xludf.DUMMYFUNCTION("""COMPUTED_VALUE"""),40354.666666666664)</f>
        <v>40354.66667</v>
      </c>
      <c r="B819" s="1">
        <f>IFERROR(__xludf.DUMMYFUNCTION("""COMPUTED_VALUE"""),1.39)</f>
        <v>1.39</v>
      </c>
      <c r="C819" s="1">
        <f>IFERROR(__xludf.DUMMYFUNCTION("""COMPUTED_VALUE"""),1.42)</f>
        <v>1.42</v>
      </c>
      <c r="D819" s="1">
        <f>IFERROR(__xludf.DUMMYFUNCTION("""COMPUTED_VALUE"""),1.37)</f>
        <v>1.37</v>
      </c>
      <c r="E819" s="1">
        <f>IFERROR(__xludf.DUMMYFUNCTION("""COMPUTED_VALUE"""),1.42)</f>
        <v>1.42</v>
      </c>
      <c r="F819" s="1">
        <f>IFERROR(__xludf.DUMMYFUNCTION("""COMPUTED_VALUE"""),502502.0)</f>
        <v>502502</v>
      </c>
    </row>
    <row r="820">
      <c r="A820" s="2">
        <f>IFERROR(__xludf.DUMMYFUNCTION("""COMPUTED_VALUE"""),40357.666666666664)</f>
        <v>40357.66667</v>
      </c>
      <c r="B820" s="1">
        <f>IFERROR(__xludf.DUMMYFUNCTION("""COMPUTED_VALUE"""),1.42)</f>
        <v>1.42</v>
      </c>
      <c r="C820" s="1">
        <f>IFERROR(__xludf.DUMMYFUNCTION("""COMPUTED_VALUE"""),1.43)</f>
        <v>1.43</v>
      </c>
      <c r="D820" s="1">
        <f>IFERROR(__xludf.DUMMYFUNCTION("""COMPUTED_VALUE"""),1.39)</f>
        <v>1.39</v>
      </c>
      <c r="E820" s="1">
        <f>IFERROR(__xludf.DUMMYFUNCTION("""COMPUTED_VALUE"""),1.4)</f>
        <v>1.4</v>
      </c>
      <c r="F820" s="1">
        <f>IFERROR(__xludf.DUMMYFUNCTION("""COMPUTED_VALUE"""),100596.0)</f>
        <v>100596</v>
      </c>
    </row>
    <row r="821">
      <c r="A821" s="2">
        <f>IFERROR(__xludf.DUMMYFUNCTION("""COMPUTED_VALUE"""),40358.666666666664)</f>
        <v>40358.66667</v>
      </c>
      <c r="B821" s="1">
        <f>IFERROR(__xludf.DUMMYFUNCTION("""COMPUTED_VALUE"""),1.36)</f>
        <v>1.36</v>
      </c>
      <c r="C821" s="1">
        <f>IFERROR(__xludf.DUMMYFUNCTION("""COMPUTED_VALUE"""),1.4)</f>
        <v>1.4</v>
      </c>
      <c r="D821" s="1">
        <f>IFERROR(__xludf.DUMMYFUNCTION("""COMPUTED_VALUE"""),1.3)</f>
        <v>1.3</v>
      </c>
      <c r="E821" s="1">
        <f>IFERROR(__xludf.DUMMYFUNCTION("""COMPUTED_VALUE"""),1.31)</f>
        <v>1.31</v>
      </c>
      <c r="F821" s="1">
        <f>IFERROR(__xludf.DUMMYFUNCTION("""COMPUTED_VALUE"""),271993.0)</f>
        <v>271993</v>
      </c>
    </row>
    <row r="822">
      <c r="A822" s="2">
        <f>IFERROR(__xludf.DUMMYFUNCTION("""COMPUTED_VALUE"""),40359.666666666664)</f>
        <v>40359.66667</v>
      </c>
      <c r="B822" s="1">
        <f>IFERROR(__xludf.DUMMYFUNCTION("""COMPUTED_VALUE"""),1.31)</f>
        <v>1.31</v>
      </c>
      <c r="C822" s="1">
        <f>IFERROR(__xludf.DUMMYFUNCTION("""COMPUTED_VALUE"""),1.39)</f>
        <v>1.39</v>
      </c>
      <c r="D822" s="1">
        <f>IFERROR(__xludf.DUMMYFUNCTION("""COMPUTED_VALUE"""),1.31)</f>
        <v>1.31</v>
      </c>
      <c r="E822" s="1">
        <f>IFERROR(__xludf.DUMMYFUNCTION("""COMPUTED_VALUE"""),1.35)</f>
        <v>1.35</v>
      </c>
      <c r="F822" s="1">
        <f>IFERROR(__xludf.DUMMYFUNCTION("""COMPUTED_VALUE"""),139644.0)</f>
        <v>139644</v>
      </c>
    </row>
    <row r="823">
      <c r="A823" s="2">
        <f>IFERROR(__xludf.DUMMYFUNCTION("""COMPUTED_VALUE"""),40360.666666666664)</f>
        <v>40360.66667</v>
      </c>
      <c r="B823" s="1">
        <f>IFERROR(__xludf.DUMMYFUNCTION("""COMPUTED_VALUE"""),1.35)</f>
        <v>1.35</v>
      </c>
      <c r="C823" s="1">
        <f>IFERROR(__xludf.DUMMYFUNCTION("""COMPUTED_VALUE"""),1.38)</f>
        <v>1.38</v>
      </c>
      <c r="D823" s="1">
        <f>IFERROR(__xludf.DUMMYFUNCTION("""COMPUTED_VALUE"""),1.26)</f>
        <v>1.26</v>
      </c>
      <c r="E823" s="1">
        <f>IFERROR(__xludf.DUMMYFUNCTION("""COMPUTED_VALUE"""),1.3)</f>
        <v>1.3</v>
      </c>
      <c r="F823" s="1">
        <f>IFERROR(__xludf.DUMMYFUNCTION("""COMPUTED_VALUE"""),163031.0)</f>
        <v>163031</v>
      </c>
    </row>
    <row r="824">
      <c r="A824" s="2">
        <f>IFERROR(__xludf.DUMMYFUNCTION("""COMPUTED_VALUE"""),40361.666666666664)</f>
        <v>40361.66667</v>
      </c>
      <c r="B824" s="1">
        <f>IFERROR(__xludf.DUMMYFUNCTION("""COMPUTED_VALUE"""),1.31)</f>
        <v>1.31</v>
      </c>
      <c r="C824" s="1">
        <f>IFERROR(__xludf.DUMMYFUNCTION("""COMPUTED_VALUE"""),1.31)</f>
        <v>1.31</v>
      </c>
      <c r="D824" s="1">
        <f>IFERROR(__xludf.DUMMYFUNCTION("""COMPUTED_VALUE"""),1.27)</f>
        <v>1.27</v>
      </c>
      <c r="E824" s="1">
        <f>IFERROR(__xludf.DUMMYFUNCTION("""COMPUTED_VALUE"""),1.29)</f>
        <v>1.29</v>
      </c>
      <c r="F824" s="1">
        <f>IFERROR(__xludf.DUMMYFUNCTION("""COMPUTED_VALUE"""),82070.0)</f>
        <v>82070</v>
      </c>
    </row>
    <row r="825">
      <c r="A825" s="2">
        <f>IFERROR(__xludf.DUMMYFUNCTION("""COMPUTED_VALUE"""),40365.666666666664)</f>
        <v>40365.66667</v>
      </c>
      <c r="B825" s="1">
        <f>IFERROR(__xludf.DUMMYFUNCTION("""COMPUTED_VALUE"""),1.31)</f>
        <v>1.31</v>
      </c>
      <c r="C825" s="1">
        <f>IFERROR(__xludf.DUMMYFUNCTION("""COMPUTED_VALUE"""),1.33)</f>
        <v>1.33</v>
      </c>
      <c r="D825" s="1">
        <f>IFERROR(__xludf.DUMMYFUNCTION("""COMPUTED_VALUE"""),1.25)</f>
        <v>1.25</v>
      </c>
      <c r="E825" s="1">
        <f>IFERROR(__xludf.DUMMYFUNCTION("""COMPUTED_VALUE"""),1.26)</f>
        <v>1.26</v>
      </c>
      <c r="F825" s="1">
        <f>IFERROR(__xludf.DUMMYFUNCTION("""COMPUTED_VALUE"""),145813.0)</f>
        <v>145813</v>
      </c>
    </row>
    <row r="826">
      <c r="A826" s="2">
        <f>IFERROR(__xludf.DUMMYFUNCTION("""COMPUTED_VALUE"""),40366.666666666664)</f>
        <v>40366.66667</v>
      </c>
      <c r="B826" s="1">
        <f>IFERROR(__xludf.DUMMYFUNCTION("""COMPUTED_VALUE"""),1.26)</f>
        <v>1.26</v>
      </c>
      <c r="C826" s="1">
        <f>IFERROR(__xludf.DUMMYFUNCTION("""COMPUTED_VALUE"""),1.32)</f>
        <v>1.32</v>
      </c>
      <c r="D826" s="1">
        <f>IFERROR(__xludf.DUMMYFUNCTION("""COMPUTED_VALUE"""),1.25)</f>
        <v>1.25</v>
      </c>
      <c r="E826" s="1">
        <f>IFERROR(__xludf.DUMMYFUNCTION("""COMPUTED_VALUE"""),1.32)</f>
        <v>1.32</v>
      </c>
      <c r="F826" s="1">
        <f>IFERROR(__xludf.DUMMYFUNCTION("""COMPUTED_VALUE"""),142019.0)</f>
        <v>142019</v>
      </c>
    </row>
    <row r="827">
      <c r="A827" s="2">
        <f>IFERROR(__xludf.DUMMYFUNCTION("""COMPUTED_VALUE"""),40367.666666666664)</f>
        <v>40367.66667</v>
      </c>
      <c r="B827" s="1">
        <f>IFERROR(__xludf.DUMMYFUNCTION("""COMPUTED_VALUE"""),1.33)</f>
        <v>1.33</v>
      </c>
      <c r="C827" s="1">
        <f>IFERROR(__xludf.DUMMYFUNCTION("""COMPUTED_VALUE"""),1.35)</f>
        <v>1.35</v>
      </c>
      <c r="D827" s="1">
        <f>IFERROR(__xludf.DUMMYFUNCTION("""COMPUTED_VALUE"""),1.31)</f>
        <v>1.31</v>
      </c>
      <c r="E827" s="1">
        <f>IFERROR(__xludf.DUMMYFUNCTION("""COMPUTED_VALUE"""),1.35)</f>
        <v>1.35</v>
      </c>
      <c r="F827" s="1">
        <f>IFERROR(__xludf.DUMMYFUNCTION("""COMPUTED_VALUE"""),104329.0)</f>
        <v>104329</v>
      </c>
    </row>
    <row r="828">
      <c r="A828" s="2">
        <f>IFERROR(__xludf.DUMMYFUNCTION("""COMPUTED_VALUE"""),40368.666666666664)</f>
        <v>40368.66667</v>
      </c>
      <c r="B828" s="1">
        <f>IFERROR(__xludf.DUMMYFUNCTION("""COMPUTED_VALUE"""),1.35)</f>
        <v>1.35</v>
      </c>
      <c r="C828" s="1">
        <f>IFERROR(__xludf.DUMMYFUNCTION("""COMPUTED_VALUE"""),1.43)</f>
        <v>1.43</v>
      </c>
      <c r="D828" s="1">
        <f>IFERROR(__xludf.DUMMYFUNCTION("""COMPUTED_VALUE"""),1.34)</f>
        <v>1.34</v>
      </c>
      <c r="E828" s="1">
        <f>IFERROR(__xludf.DUMMYFUNCTION("""COMPUTED_VALUE"""),1.43)</f>
        <v>1.43</v>
      </c>
      <c r="F828" s="1">
        <f>IFERROR(__xludf.DUMMYFUNCTION("""COMPUTED_VALUE"""),152848.0)</f>
        <v>152848</v>
      </c>
    </row>
    <row r="829">
      <c r="A829" s="2">
        <f>IFERROR(__xludf.DUMMYFUNCTION("""COMPUTED_VALUE"""),40371.666666666664)</f>
        <v>40371.66667</v>
      </c>
      <c r="B829" s="1">
        <f>IFERROR(__xludf.DUMMYFUNCTION("""COMPUTED_VALUE"""),1.42)</f>
        <v>1.42</v>
      </c>
      <c r="C829" s="1">
        <f>IFERROR(__xludf.DUMMYFUNCTION("""COMPUTED_VALUE"""),1.45)</f>
        <v>1.45</v>
      </c>
      <c r="D829" s="1">
        <f>IFERROR(__xludf.DUMMYFUNCTION("""COMPUTED_VALUE"""),1.4)</f>
        <v>1.4</v>
      </c>
      <c r="E829" s="1">
        <f>IFERROR(__xludf.DUMMYFUNCTION("""COMPUTED_VALUE"""),1.4)</f>
        <v>1.4</v>
      </c>
      <c r="F829" s="1">
        <f>IFERROR(__xludf.DUMMYFUNCTION("""COMPUTED_VALUE"""),74462.0)</f>
        <v>74462</v>
      </c>
    </row>
    <row r="830">
      <c r="A830" s="2">
        <f>IFERROR(__xludf.DUMMYFUNCTION("""COMPUTED_VALUE"""),40372.666666666664)</f>
        <v>40372.66667</v>
      </c>
      <c r="B830" s="1">
        <f>IFERROR(__xludf.DUMMYFUNCTION("""COMPUTED_VALUE"""),1.43)</f>
        <v>1.43</v>
      </c>
      <c r="C830" s="1">
        <f>IFERROR(__xludf.DUMMYFUNCTION("""COMPUTED_VALUE"""),1.48)</f>
        <v>1.48</v>
      </c>
      <c r="D830" s="1">
        <f>IFERROR(__xludf.DUMMYFUNCTION("""COMPUTED_VALUE"""),1.41)</f>
        <v>1.41</v>
      </c>
      <c r="E830" s="1">
        <f>IFERROR(__xludf.DUMMYFUNCTION("""COMPUTED_VALUE"""),1.47)</f>
        <v>1.47</v>
      </c>
      <c r="F830" s="1">
        <f>IFERROR(__xludf.DUMMYFUNCTION("""COMPUTED_VALUE"""),157313.0)</f>
        <v>157313</v>
      </c>
    </row>
    <row r="831">
      <c r="A831" s="2">
        <f>IFERROR(__xludf.DUMMYFUNCTION("""COMPUTED_VALUE"""),40373.666666666664)</f>
        <v>40373.66667</v>
      </c>
      <c r="B831" s="1">
        <f>IFERROR(__xludf.DUMMYFUNCTION("""COMPUTED_VALUE"""),1.5)</f>
        <v>1.5</v>
      </c>
      <c r="C831" s="1">
        <f>IFERROR(__xludf.DUMMYFUNCTION("""COMPUTED_VALUE"""),1.52)</f>
        <v>1.52</v>
      </c>
      <c r="D831" s="1">
        <f>IFERROR(__xludf.DUMMYFUNCTION("""COMPUTED_VALUE"""),1.47)</f>
        <v>1.47</v>
      </c>
      <c r="E831" s="1">
        <f>IFERROR(__xludf.DUMMYFUNCTION("""COMPUTED_VALUE"""),1.48)</f>
        <v>1.48</v>
      </c>
      <c r="F831" s="1">
        <f>IFERROR(__xludf.DUMMYFUNCTION("""COMPUTED_VALUE"""),561156.0)</f>
        <v>561156</v>
      </c>
    </row>
    <row r="832">
      <c r="A832" s="2">
        <f>IFERROR(__xludf.DUMMYFUNCTION("""COMPUTED_VALUE"""),40374.666666666664)</f>
        <v>40374.66667</v>
      </c>
      <c r="B832" s="1">
        <f>IFERROR(__xludf.DUMMYFUNCTION("""COMPUTED_VALUE"""),1.48)</f>
        <v>1.48</v>
      </c>
      <c r="C832" s="1">
        <f>IFERROR(__xludf.DUMMYFUNCTION("""COMPUTED_VALUE"""),1.48)</f>
        <v>1.48</v>
      </c>
      <c r="D832" s="1">
        <f>IFERROR(__xludf.DUMMYFUNCTION("""COMPUTED_VALUE"""),1.41)</f>
        <v>1.41</v>
      </c>
      <c r="E832" s="1">
        <f>IFERROR(__xludf.DUMMYFUNCTION("""COMPUTED_VALUE"""),1.44)</f>
        <v>1.44</v>
      </c>
      <c r="F832" s="1">
        <f>IFERROR(__xludf.DUMMYFUNCTION("""COMPUTED_VALUE"""),220098.0)</f>
        <v>220098</v>
      </c>
    </row>
    <row r="833">
      <c r="A833" s="2">
        <f>IFERROR(__xludf.DUMMYFUNCTION("""COMPUTED_VALUE"""),40375.666666666664)</f>
        <v>40375.66667</v>
      </c>
      <c r="B833" s="1">
        <f>IFERROR(__xludf.DUMMYFUNCTION("""COMPUTED_VALUE"""),1.42)</f>
        <v>1.42</v>
      </c>
      <c r="C833" s="1">
        <f>IFERROR(__xludf.DUMMYFUNCTION("""COMPUTED_VALUE"""),1.44)</f>
        <v>1.44</v>
      </c>
      <c r="D833" s="1">
        <f>IFERROR(__xludf.DUMMYFUNCTION("""COMPUTED_VALUE"""),1.36)</f>
        <v>1.36</v>
      </c>
      <c r="E833" s="1">
        <f>IFERROR(__xludf.DUMMYFUNCTION("""COMPUTED_VALUE"""),1.39)</f>
        <v>1.39</v>
      </c>
      <c r="F833" s="1">
        <f>IFERROR(__xludf.DUMMYFUNCTION("""COMPUTED_VALUE"""),179298.0)</f>
        <v>179298</v>
      </c>
    </row>
    <row r="834">
      <c r="A834" s="2">
        <f>IFERROR(__xludf.DUMMYFUNCTION("""COMPUTED_VALUE"""),40378.666666666664)</f>
        <v>40378.66667</v>
      </c>
      <c r="B834" s="1">
        <f>IFERROR(__xludf.DUMMYFUNCTION("""COMPUTED_VALUE"""),1.39)</f>
        <v>1.39</v>
      </c>
      <c r="C834" s="1">
        <f>IFERROR(__xludf.DUMMYFUNCTION("""COMPUTED_VALUE"""),1.4)</f>
        <v>1.4</v>
      </c>
      <c r="D834" s="1">
        <f>IFERROR(__xludf.DUMMYFUNCTION("""COMPUTED_VALUE"""),1.35)</f>
        <v>1.35</v>
      </c>
      <c r="E834" s="1">
        <f>IFERROR(__xludf.DUMMYFUNCTION("""COMPUTED_VALUE"""),1.38)</f>
        <v>1.38</v>
      </c>
      <c r="F834" s="1">
        <f>IFERROR(__xludf.DUMMYFUNCTION("""COMPUTED_VALUE"""),143087.0)</f>
        <v>143087</v>
      </c>
    </row>
    <row r="835">
      <c r="A835" s="2">
        <f>IFERROR(__xludf.DUMMYFUNCTION("""COMPUTED_VALUE"""),40379.666666666664)</f>
        <v>40379.66667</v>
      </c>
      <c r="B835" s="1">
        <f>IFERROR(__xludf.DUMMYFUNCTION("""COMPUTED_VALUE"""),1.35)</f>
        <v>1.35</v>
      </c>
      <c r="C835" s="1">
        <f>IFERROR(__xludf.DUMMYFUNCTION("""COMPUTED_VALUE"""),1.45)</f>
        <v>1.45</v>
      </c>
      <c r="D835" s="1">
        <f>IFERROR(__xludf.DUMMYFUNCTION("""COMPUTED_VALUE"""),1.32)</f>
        <v>1.32</v>
      </c>
      <c r="E835" s="1">
        <f>IFERROR(__xludf.DUMMYFUNCTION("""COMPUTED_VALUE"""),1.45)</f>
        <v>1.45</v>
      </c>
      <c r="F835" s="1">
        <f>IFERROR(__xludf.DUMMYFUNCTION("""COMPUTED_VALUE"""),208037.0)</f>
        <v>208037</v>
      </c>
    </row>
    <row r="836">
      <c r="A836" s="2">
        <f>IFERROR(__xludf.DUMMYFUNCTION("""COMPUTED_VALUE"""),40380.666666666664)</f>
        <v>40380.66667</v>
      </c>
      <c r="B836" s="1">
        <f>IFERROR(__xludf.DUMMYFUNCTION("""COMPUTED_VALUE"""),1.46)</f>
        <v>1.46</v>
      </c>
      <c r="C836" s="1">
        <f>IFERROR(__xludf.DUMMYFUNCTION("""COMPUTED_VALUE"""),1.49)</f>
        <v>1.49</v>
      </c>
      <c r="D836" s="1">
        <f>IFERROR(__xludf.DUMMYFUNCTION("""COMPUTED_VALUE"""),1.44)</f>
        <v>1.44</v>
      </c>
      <c r="E836" s="1">
        <f>IFERROR(__xludf.DUMMYFUNCTION("""COMPUTED_VALUE"""),1.44)</f>
        <v>1.44</v>
      </c>
      <c r="F836" s="1">
        <f>IFERROR(__xludf.DUMMYFUNCTION("""COMPUTED_VALUE"""),123756.0)</f>
        <v>123756</v>
      </c>
    </row>
    <row r="837">
      <c r="A837" s="2">
        <f>IFERROR(__xludf.DUMMYFUNCTION("""COMPUTED_VALUE"""),40381.666666666664)</f>
        <v>40381.66667</v>
      </c>
      <c r="B837" s="1">
        <f>IFERROR(__xludf.DUMMYFUNCTION("""COMPUTED_VALUE"""),1.48)</f>
        <v>1.48</v>
      </c>
      <c r="C837" s="1">
        <f>IFERROR(__xludf.DUMMYFUNCTION("""COMPUTED_VALUE"""),1.5)</f>
        <v>1.5</v>
      </c>
      <c r="D837" s="1">
        <f>IFERROR(__xludf.DUMMYFUNCTION("""COMPUTED_VALUE"""),1.46)</f>
        <v>1.46</v>
      </c>
      <c r="E837" s="1">
        <f>IFERROR(__xludf.DUMMYFUNCTION("""COMPUTED_VALUE"""),1.47)</f>
        <v>1.47</v>
      </c>
      <c r="F837" s="1">
        <f>IFERROR(__xludf.DUMMYFUNCTION("""COMPUTED_VALUE"""),188852.0)</f>
        <v>188852</v>
      </c>
    </row>
    <row r="838">
      <c r="A838" s="2">
        <f>IFERROR(__xludf.DUMMYFUNCTION("""COMPUTED_VALUE"""),40382.666666666664)</f>
        <v>40382.66667</v>
      </c>
      <c r="B838" s="1">
        <f>IFERROR(__xludf.DUMMYFUNCTION("""COMPUTED_VALUE"""),1.46)</f>
        <v>1.46</v>
      </c>
      <c r="C838" s="1">
        <f>IFERROR(__xludf.DUMMYFUNCTION("""COMPUTED_VALUE"""),1.52)</f>
        <v>1.52</v>
      </c>
      <c r="D838" s="1">
        <f>IFERROR(__xludf.DUMMYFUNCTION("""COMPUTED_VALUE"""),1.45)</f>
        <v>1.45</v>
      </c>
      <c r="E838" s="1">
        <f>IFERROR(__xludf.DUMMYFUNCTION("""COMPUTED_VALUE"""),1.5)</f>
        <v>1.5</v>
      </c>
      <c r="F838" s="1">
        <f>IFERROR(__xludf.DUMMYFUNCTION("""COMPUTED_VALUE"""),149613.0)</f>
        <v>149613</v>
      </c>
    </row>
    <row r="839">
      <c r="A839" s="2">
        <f>IFERROR(__xludf.DUMMYFUNCTION("""COMPUTED_VALUE"""),40385.666666666664)</f>
        <v>40385.66667</v>
      </c>
      <c r="B839" s="1">
        <f>IFERROR(__xludf.DUMMYFUNCTION("""COMPUTED_VALUE"""),1.5)</f>
        <v>1.5</v>
      </c>
      <c r="C839" s="1">
        <f>IFERROR(__xludf.DUMMYFUNCTION("""COMPUTED_VALUE"""),1.56)</f>
        <v>1.56</v>
      </c>
      <c r="D839" s="1">
        <f>IFERROR(__xludf.DUMMYFUNCTION("""COMPUTED_VALUE"""),1.5)</f>
        <v>1.5</v>
      </c>
      <c r="E839" s="1">
        <f>IFERROR(__xludf.DUMMYFUNCTION("""COMPUTED_VALUE"""),1.54)</f>
        <v>1.54</v>
      </c>
      <c r="F839" s="1">
        <f>IFERROR(__xludf.DUMMYFUNCTION("""COMPUTED_VALUE"""),141342.0)</f>
        <v>141342</v>
      </c>
    </row>
    <row r="840">
      <c r="A840" s="2">
        <f>IFERROR(__xludf.DUMMYFUNCTION("""COMPUTED_VALUE"""),40386.666666666664)</f>
        <v>40386.66667</v>
      </c>
      <c r="B840" s="1">
        <f>IFERROR(__xludf.DUMMYFUNCTION("""COMPUTED_VALUE"""),1.55)</f>
        <v>1.55</v>
      </c>
      <c r="C840" s="1">
        <f>IFERROR(__xludf.DUMMYFUNCTION("""COMPUTED_VALUE"""),1.56)</f>
        <v>1.56</v>
      </c>
      <c r="D840" s="1">
        <f>IFERROR(__xludf.DUMMYFUNCTION("""COMPUTED_VALUE"""),1.52)</f>
        <v>1.52</v>
      </c>
      <c r="E840" s="1">
        <f>IFERROR(__xludf.DUMMYFUNCTION("""COMPUTED_VALUE"""),1.55)</f>
        <v>1.55</v>
      </c>
      <c r="F840" s="1">
        <f>IFERROR(__xludf.DUMMYFUNCTION("""COMPUTED_VALUE"""),75686.0)</f>
        <v>75686</v>
      </c>
    </row>
    <row r="841">
      <c r="A841" s="2">
        <f>IFERROR(__xludf.DUMMYFUNCTION("""COMPUTED_VALUE"""),40387.666666666664)</f>
        <v>40387.66667</v>
      </c>
      <c r="B841" s="1">
        <f>IFERROR(__xludf.DUMMYFUNCTION("""COMPUTED_VALUE"""),1.54)</f>
        <v>1.54</v>
      </c>
      <c r="C841" s="1">
        <f>IFERROR(__xludf.DUMMYFUNCTION("""COMPUTED_VALUE"""),1.55)</f>
        <v>1.55</v>
      </c>
      <c r="D841" s="1">
        <f>IFERROR(__xludf.DUMMYFUNCTION("""COMPUTED_VALUE"""),1.47)</f>
        <v>1.47</v>
      </c>
      <c r="E841" s="1">
        <f>IFERROR(__xludf.DUMMYFUNCTION("""COMPUTED_VALUE"""),1.49)</f>
        <v>1.49</v>
      </c>
      <c r="F841" s="1">
        <f>IFERROR(__xludf.DUMMYFUNCTION("""COMPUTED_VALUE"""),101533.0)</f>
        <v>101533</v>
      </c>
    </row>
    <row r="842">
      <c r="A842" s="2">
        <f>IFERROR(__xludf.DUMMYFUNCTION("""COMPUTED_VALUE"""),40388.666666666664)</f>
        <v>40388.66667</v>
      </c>
      <c r="B842" s="1">
        <f>IFERROR(__xludf.DUMMYFUNCTION("""COMPUTED_VALUE"""),1.5)</f>
        <v>1.5</v>
      </c>
      <c r="C842" s="1">
        <f>IFERROR(__xludf.DUMMYFUNCTION("""COMPUTED_VALUE"""),1.51)</f>
        <v>1.51</v>
      </c>
      <c r="D842" s="1">
        <f>IFERROR(__xludf.DUMMYFUNCTION("""COMPUTED_VALUE"""),1.43)</f>
        <v>1.43</v>
      </c>
      <c r="E842" s="1">
        <f>IFERROR(__xludf.DUMMYFUNCTION("""COMPUTED_VALUE"""),1.44)</f>
        <v>1.44</v>
      </c>
      <c r="F842" s="1">
        <f>IFERROR(__xludf.DUMMYFUNCTION("""COMPUTED_VALUE"""),231889.0)</f>
        <v>231889</v>
      </c>
    </row>
    <row r="843">
      <c r="A843" s="2">
        <f>IFERROR(__xludf.DUMMYFUNCTION("""COMPUTED_VALUE"""),40389.666666666664)</f>
        <v>40389.66667</v>
      </c>
      <c r="B843" s="1">
        <f>IFERROR(__xludf.DUMMYFUNCTION("""COMPUTED_VALUE"""),1.42)</f>
        <v>1.42</v>
      </c>
      <c r="C843" s="1">
        <f>IFERROR(__xludf.DUMMYFUNCTION("""COMPUTED_VALUE"""),1.45)</f>
        <v>1.45</v>
      </c>
      <c r="D843" s="1">
        <f>IFERROR(__xludf.DUMMYFUNCTION("""COMPUTED_VALUE"""),1.4)</f>
        <v>1.4</v>
      </c>
      <c r="E843" s="1">
        <f>IFERROR(__xludf.DUMMYFUNCTION("""COMPUTED_VALUE"""),1.44)</f>
        <v>1.44</v>
      </c>
      <c r="F843" s="1">
        <f>IFERROR(__xludf.DUMMYFUNCTION("""COMPUTED_VALUE"""),268369.0)</f>
        <v>268369</v>
      </c>
    </row>
    <row r="844">
      <c r="A844" s="2">
        <f>IFERROR(__xludf.DUMMYFUNCTION("""COMPUTED_VALUE"""),40392.666666666664)</f>
        <v>40392.66667</v>
      </c>
      <c r="B844" s="1">
        <f>IFERROR(__xludf.DUMMYFUNCTION("""COMPUTED_VALUE"""),1.47)</f>
        <v>1.47</v>
      </c>
      <c r="C844" s="1">
        <f>IFERROR(__xludf.DUMMYFUNCTION("""COMPUTED_VALUE"""),1.5)</f>
        <v>1.5</v>
      </c>
      <c r="D844" s="1">
        <f>IFERROR(__xludf.DUMMYFUNCTION("""COMPUTED_VALUE"""),1.35)</f>
        <v>1.35</v>
      </c>
      <c r="E844" s="1">
        <f>IFERROR(__xludf.DUMMYFUNCTION("""COMPUTED_VALUE"""),1.36)</f>
        <v>1.36</v>
      </c>
      <c r="F844" s="1">
        <f>IFERROR(__xludf.DUMMYFUNCTION("""COMPUTED_VALUE"""),472101.0)</f>
        <v>472101</v>
      </c>
    </row>
    <row r="845">
      <c r="A845" s="2">
        <f>IFERROR(__xludf.DUMMYFUNCTION("""COMPUTED_VALUE"""),40393.666666666664)</f>
        <v>40393.66667</v>
      </c>
      <c r="B845" s="1">
        <f>IFERROR(__xludf.DUMMYFUNCTION("""COMPUTED_VALUE"""),1.35)</f>
        <v>1.35</v>
      </c>
      <c r="C845" s="1">
        <f>IFERROR(__xludf.DUMMYFUNCTION("""COMPUTED_VALUE"""),1.38)</f>
        <v>1.38</v>
      </c>
      <c r="D845" s="1">
        <f>IFERROR(__xludf.DUMMYFUNCTION("""COMPUTED_VALUE"""),1.32)</f>
        <v>1.32</v>
      </c>
      <c r="E845" s="1">
        <f>IFERROR(__xludf.DUMMYFUNCTION("""COMPUTED_VALUE"""),1.35)</f>
        <v>1.35</v>
      </c>
      <c r="F845" s="1">
        <f>IFERROR(__xludf.DUMMYFUNCTION("""COMPUTED_VALUE"""),552239.0)</f>
        <v>552239</v>
      </c>
    </row>
    <row r="846">
      <c r="A846" s="2">
        <f>IFERROR(__xludf.DUMMYFUNCTION("""COMPUTED_VALUE"""),40394.666666666664)</f>
        <v>40394.66667</v>
      </c>
      <c r="B846" s="1">
        <f>IFERROR(__xludf.DUMMYFUNCTION("""COMPUTED_VALUE"""),1.13)</f>
        <v>1.13</v>
      </c>
      <c r="C846" s="1">
        <f>IFERROR(__xludf.DUMMYFUNCTION("""COMPUTED_VALUE"""),1.13)</f>
        <v>1.13</v>
      </c>
      <c r="D846" s="1">
        <f>IFERROR(__xludf.DUMMYFUNCTION("""COMPUTED_VALUE"""),0.98)</f>
        <v>0.98</v>
      </c>
      <c r="E846" s="1">
        <f>IFERROR(__xludf.DUMMYFUNCTION("""COMPUTED_VALUE"""),1.01)</f>
        <v>1.01</v>
      </c>
      <c r="F846" s="1">
        <f>IFERROR(__xludf.DUMMYFUNCTION("""COMPUTED_VALUE"""),3579584.0)</f>
        <v>3579584</v>
      </c>
    </row>
    <row r="847">
      <c r="A847" s="2">
        <f>IFERROR(__xludf.DUMMYFUNCTION("""COMPUTED_VALUE"""),40395.666666666664)</f>
        <v>40395.66667</v>
      </c>
      <c r="B847" s="1">
        <f>IFERROR(__xludf.DUMMYFUNCTION("""COMPUTED_VALUE"""),1.02)</f>
        <v>1.02</v>
      </c>
      <c r="C847" s="1">
        <f>IFERROR(__xludf.DUMMYFUNCTION("""COMPUTED_VALUE"""),1.03)</f>
        <v>1.03</v>
      </c>
      <c r="D847" s="1">
        <f>IFERROR(__xludf.DUMMYFUNCTION("""COMPUTED_VALUE"""),1.0)</f>
        <v>1</v>
      </c>
      <c r="E847" s="1">
        <f>IFERROR(__xludf.DUMMYFUNCTION("""COMPUTED_VALUE"""),1.01)</f>
        <v>1.01</v>
      </c>
      <c r="F847" s="1">
        <f>IFERROR(__xludf.DUMMYFUNCTION("""COMPUTED_VALUE"""),681213.0)</f>
        <v>681213</v>
      </c>
    </row>
    <row r="848">
      <c r="A848" s="2">
        <f>IFERROR(__xludf.DUMMYFUNCTION("""COMPUTED_VALUE"""),40396.666666666664)</f>
        <v>40396.66667</v>
      </c>
      <c r="B848" s="1">
        <f>IFERROR(__xludf.DUMMYFUNCTION("""COMPUTED_VALUE"""),1.0)</f>
        <v>1</v>
      </c>
      <c r="C848" s="1">
        <f>IFERROR(__xludf.DUMMYFUNCTION("""COMPUTED_VALUE"""),1.01)</f>
        <v>1.01</v>
      </c>
      <c r="D848" s="1">
        <f>IFERROR(__xludf.DUMMYFUNCTION("""COMPUTED_VALUE"""),0.97)</f>
        <v>0.97</v>
      </c>
      <c r="E848" s="1">
        <f>IFERROR(__xludf.DUMMYFUNCTION("""COMPUTED_VALUE"""),1.01)</f>
        <v>1.01</v>
      </c>
      <c r="F848" s="1">
        <f>IFERROR(__xludf.DUMMYFUNCTION("""COMPUTED_VALUE"""),517615.0)</f>
        <v>517615</v>
      </c>
    </row>
    <row r="849">
      <c r="A849" s="2">
        <f>IFERROR(__xludf.DUMMYFUNCTION("""COMPUTED_VALUE"""),40399.666666666664)</f>
        <v>40399.66667</v>
      </c>
      <c r="B849" s="1">
        <f>IFERROR(__xludf.DUMMYFUNCTION("""COMPUTED_VALUE"""),1.01)</f>
        <v>1.01</v>
      </c>
      <c r="C849" s="1">
        <f>IFERROR(__xludf.DUMMYFUNCTION("""COMPUTED_VALUE"""),1.02)</f>
        <v>1.02</v>
      </c>
      <c r="D849" s="1">
        <f>IFERROR(__xludf.DUMMYFUNCTION("""COMPUTED_VALUE"""),0.99)</f>
        <v>0.99</v>
      </c>
      <c r="E849" s="1">
        <f>IFERROR(__xludf.DUMMYFUNCTION("""COMPUTED_VALUE"""),1.0)</f>
        <v>1</v>
      </c>
      <c r="F849" s="1">
        <f>IFERROR(__xludf.DUMMYFUNCTION("""COMPUTED_VALUE"""),440375.0)</f>
        <v>440375</v>
      </c>
    </row>
    <row r="850">
      <c r="A850" s="2">
        <f>IFERROR(__xludf.DUMMYFUNCTION("""COMPUTED_VALUE"""),40400.666666666664)</f>
        <v>40400.66667</v>
      </c>
      <c r="B850" s="1">
        <f>IFERROR(__xludf.DUMMYFUNCTION("""COMPUTED_VALUE"""),0.99)</f>
        <v>0.99</v>
      </c>
      <c r="C850" s="1">
        <f>IFERROR(__xludf.DUMMYFUNCTION("""COMPUTED_VALUE"""),1.0)</f>
        <v>1</v>
      </c>
      <c r="D850" s="1">
        <f>IFERROR(__xludf.DUMMYFUNCTION("""COMPUTED_VALUE"""),0.94)</f>
        <v>0.94</v>
      </c>
      <c r="E850" s="1">
        <f>IFERROR(__xludf.DUMMYFUNCTION("""COMPUTED_VALUE"""),0.95)</f>
        <v>0.95</v>
      </c>
      <c r="F850" s="1">
        <f>IFERROR(__xludf.DUMMYFUNCTION("""COMPUTED_VALUE"""),570099.0)</f>
        <v>570099</v>
      </c>
    </row>
    <row r="851">
      <c r="A851" s="2">
        <f>IFERROR(__xludf.DUMMYFUNCTION("""COMPUTED_VALUE"""),40401.666666666664)</f>
        <v>40401.66667</v>
      </c>
      <c r="B851" s="1">
        <f>IFERROR(__xludf.DUMMYFUNCTION("""COMPUTED_VALUE"""),0.94)</f>
        <v>0.94</v>
      </c>
      <c r="C851" s="1">
        <f>IFERROR(__xludf.DUMMYFUNCTION("""COMPUTED_VALUE"""),0.94)</f>
        <v>0.94</v>
      </c>
      <c r="D851" s="1">
        <f>IFERROR(__xludf.DUMMYFUNCTION("""COMPUTED_VALUE"""),0.92)</f>
        <v>0.92</v>
      </c>
      <c r="E851" s="1">
        <f>IFERROR(__xludf.DUMMYFUNCTION("""COMPUTED_VALUE"""),0.92)</f>
        <v>0.92</v>
      </c>
      <c r="F851" s="1">
        <f>IFERROR(__xludf.DUMMYFUNCTION("""COMPUTED_VALUE"""),380871.0)</f>
        <v>380871</v>
      </c>
    </row>
    <row r="852">
      <c r="A852" s="2">
        <f>IFERROR(__xludf.DUMMYFUNCTION("""COMPUTED_VALUE"""),40402.666666666664)</f>
        <v>40402.66667</v>
      </c>
      <c r="B852" s="1">
        <f>IFERROR(__xludf.DUMMYFUNCTION("""COMPUTED_VALUE"""),0.92)</f>
        <v>0.92</v>
      </c>
      <c r="C852" s="1">
        <f>IFERROR(__xludf.DUMMYFUNCTION("""COMPUTED_VALUE"""),0.92)</f>
        <v>0.92</v>
      </c>
      <c r="D852" s="1">
        <f>IFERROR(__xludf.DUMMYFUNCTION("""COMPUTED_VALUE"""),0.88)</f>
        <v>0.88</v>
      </c>
      <c r="E852" s="1">
        <f>IFERROR(__xludf.DUMMYFUNCTION("""COMPUTED_VALUE"""),0.88)</f>
        <v>0.88</v>
      </c>
      <c r="F852" s="1">
        <f>IFERROR(__xludf.DUMMYFUNCTION("""COMPUTED_VALUE"""),515865.0)</f>
        <v>515865</v>
      </c>
    </row>
    <row r="853">
      <c r="A853" s="2">
        <f>IFERROR(__xludf.DUMMYFUNCTION("""COMPUTED_VALUE"""),40403.666666666664)</f>
        <v>40403.66667</v>
      </c>
      <c r="B853" s="1">
        <f>IFERROR(__xludf.DUMMYFUNCTION("""COMPUTED_VALUE"""),0.88)</f>
        <v>0.88</v>
      </c>
      <c r="C853" s="1">
        <f>IFERROR(__xludf.DUMMYFUNCTION("""COMPUTED_VALUE"""),0.91)</f>
        <v>0.91</v>
      </c>
      <c r="D853" s="1">
        <f>IFERROR(__xludf.DUMMYFUNCTION("""COMPUTED_VALUE"""),0.86)</f>
        <v>0.86</v>
      </c>
      <c r="E853" s="1">
        <f>IFERROR(__xludf.DUMMYFUNCTION("""COMPUTED_VALUE"""),0.9)</f>
        <v>0.9</v>
      </c>
      <c r="F853" s="1">
        <f>IFERROR(__xludf.DUMMYFUNCTION("""COMPUTED_VALUE"""),795474.0)</f>
        <v>795474</v>
      </c>
    </row>
    <row r="854">
      <c r="A854" s="2">
        <f>IFERROR(__xludf.DUMMYFUNCTION("""COMPUTED_VALUE"""),40406.666666666664)</f>
        <v>40406.66667</v>
      </c>
      <c r="B854" s="1">
        <f>IFERROR(__xludf.DUMMYFUNCTION("""COMPUTED_VALUE"""),0.9)</f>
        <v>0.9</v>
      </c>
      <c r="C854" s="1">
        <f>IFERROR(__xludf.DUMMYFUNCTION("""COMPUTED_VALUE"""),0.92)</f>
        <v>0.92</v>
      </c>
      <c r="D854" s="1">
        <f>IFERROR(__xludf.DUMMYFUNCTION("""COMPUTED_VALUE"""),0.85)</f>
        <v>0.85</v>
      </c>
      <c r="E854" s="1">
        <f>IFERROR(__xludf.DUMMYFUNCTION("""COMPUTED_VALUE"""),0.86)</f>
        <v>0.86</v>
      </c>
      <c r="F854" s="1">
        <f>IFERROR(__xludf.DUMMYFUNCTION("""COMPUTED_VALUE"""),943952.0)</f>
        <v>943952</v>
      </c>
    </row>
    <row r="855">
      <c r="A855" s="2">
        <f>IFERROR(__xludf.DUMMYFUNCTION("""COMPUTED_VALUE"""),40407.666666666664)</f>
        <v>40407.66667</v>
      </c>
      <c r="B855" s="1">
        <f>IFERROR(__xludf.DUMMYFUNCTION("""COMPUTED_VALUE"""),0.87)</f>
        <v>0.87</v>
      </c>
      <c r="C855" s="1">
        <f>IFERROR(__xludf.DUMMYFUNCTION("""COMPUTED_VALUE"""),0.9)</f>
        <v>0.9</v>
      </c>
      <c r="D855" s="1">
        <f>IFERROR(__xludf.DUMMYFUNCTION("""COMPUTED_VALUE"""),0.87)</f>
        <v>0.87</v>
      </c>
      <c r="E855" s="1">
        <f>IFERROR(__xludf.DUMMYFUNCTION("""COMPUTED_VALUE"""),0.9)</f>
        <v>0.9</v>
      </c>
      <c r="F855" s="1">
        <f>IFERROR(__xludf.DUMMYFUNCTION("""COMPUTED_VALUE"""),266445.0)</f>
        <v>266445</v>
      </c>
    </row>
    <row r="856">
      <c r="A856" s="2">
        <f>IFERROR(__xludf.DUMMYFUNCTION("""COMPUTED_VALUE"""),40408.666666666664)</f>
        <v>40408.66667</v>
      </c>
      <c r="B856" s="1">
        <f>IFERROR(__xludf.DUMMYFUNCTION("""COMPUTED_VALUE"""),0.9)</f>
        <v>0.9</v>
      </c>
      <c r="C856" s="1">
        <f>IFERROR(__xludf.DUMMYFUNCTION("""COMPUTED_VALUE"""),0.96)</f>
        <v>0.96</v>
      </c>
      <c r="D856" s="1">
        <f>IFERROR(__xludf.DUMMYFUNCTION("""COMPUTED_VALUE"""),0.89)</f>
        <v>0.89</v>
      </c>
      <c r="E856" s="1">
        <f>IFERROR(__xludf.DUMMYFUNCTION("""COMPUTED_VALUE"""),0.94)</f>
        <v>0.94</v>
      </c>
      <c r="F856" s="1">
        <f>IFERROR(__xludf.DUMMYFUNCTION("""COMPUTED_VALUE"""),492040.0)</f>
        <v>492040</v>
      </c>
    </row>
    <row r="857">
      <c r="A857" s="2">
        <f>IFERROR(__xludf.DUMMYFUNCTION("""COMPUTED_VALUE"""),40409.666666666664)</f>
        <v>40409.66667</v>
      </c>
      <c r="B857" s="1">
        <f>IFERROR(__xludf.DUMMYFUNCTION("""COMPUTED_VALUE"""),0.94)</f>
        <v>0.94</v>
      </c>
      <c r="C857" s="1">
        <f>IFERROR(__xludf.DUMMYFUNCTION("""COMPUTED_VALUE"""),0.96)</f>
        <v>0.96</v>
      </c>
      <c r="D857" s="1">
        <f>IFERROR(__xludf.DUMMYFUNCTION("""COMPUTED_VALUE"""),0.91)</f>
        <v>0.91</v>
      </c>
      <c r="E857" s="1">
        <f>IFERROR(__xludf.DUMMYFUNCTION("""COMPUTED_VALUE"""),0.92)</f>
        <v>0.92</v>
      </c>
      <c r="F857" s="1">
        <f>IFERROR(__xludf.DUMMYFUNCTION("""COMPUTED_VALUE"""),228025.0)</f>
        <v>228025</v>
      </c>
    </row>
    <row r="858">
      <c r="A858" s="2">
        <f>IFERROR(__xludf.DUMMYFUNCTION("""COMPUTED_VALUE"""),40410.666666666664)</f>
        <v>40410.66667</v>
      </c>
      <c r="B858" s="1">
        <f>IFERROR(__xludf.DUMMYFUNCTION("""COMPUTED_VALUE"""),0.92)</f>
        <v>0.92</v>
      </c>
      <c r="C858" s="1">
        <f>IFERROR(__xludf.DUMMYFUNCTION("""COMPUTED_VALUE"""),0.93)</f>
        <v>0.93</v>
      </c>
      <c r="D858" s="1">
        <f>IFERROR(__xludf.DUMMYFUNCTION("""COMPUTED_VALUE"""),0.91)</f>
        <v>0.91</v>
      </c>
      <c r="E858" s="1">
        <f>IFERROR(__xludf.DUMMYFUNCTION("""COMPUTED_VALUE"""),0.93)</f>
        <v>0.93</v>
      </c>
      <c r="F858" s="1">
        <f>IFERROR(__xludf.DUMMYFUNCTION("""COMPUTED_VALUE"""),222053.0)</f>
        <v>222053</v>
      </c>
    </row>
    <row r="859">
      <c r="A859" s="2">
        <f>IFERROR(__xludf.DUMMYFUNCTION("""COMPUTED_VALUE"""),40413.666666666664)</f>
        <v>40413.66667</v>
      </c>
      <c r="B859" s="1">
        <f>IFERROR(__xludf.DUMMYFUNCTION("""COMPUTED_VALUE"""),0.93)</f>
        <v>0.93</v>
      </c>
      <c r="C859" s="1">
        <f>IFERROR(__xludf.DUMMYFUNCTION("""COMPUTED_VALUE"""),0.95)</f>
        <v>0.95</v>
      </c>
      <c r="D859" s="1">
        <f>IFERROR(__xludf.DUMMYFUNCTION("""COMPUTED_VALUE"""),0.91)</f>
        <v>0.91</v>
      </c>
      <c r="E859" s="1">
        <f>IFERROR(__xludf.DUMMYFUNCTION("""COMPUTED_VALUE"""),0.91)</f>
        <v>0.91</v>
      </c>
      <c r="F859" s="1">
        <f>IFERROR(__xludf.DUMMYFUNCTION("""COMPUTED_VALUE"""),188265.0)</f>
        <v>188265</v>
      </c>
    </row>
    <row r="860">
      <c r="A860" s="2">
        <f>IFERROR(__xludf.DUMMYFUNCTION("""COMPUTED_VALUE"""),40414.666666666664)</f>
        <v>40414.66667</v>
      </c>
      <c r="B860" s="1">
        <f>IFERROR(__xludf.DUMMYFUNCTION("""COMPUTED_VALUE"""),0.9)</f>
        <v>0.9</v>
      </c>
      <c r="C860" s="1">
        <f>IFERROR(__xludf.DUMMYFUNCTION("""COMPUTED_VALUE"""),0.91)</f>
        <v>0.91</v>
      </c>
      <c r="D860" s="1">
        <f>IFERROR(__xludf.DUMMYFUNCTION("""COMPUTED_VALUE"""),0.88)</f>
        <v>0.88</v>
      </c>
      <c r="E860" s="1">
        <f>IFERROR(__xludf.DUMMYFUNCTION("""COMPUTED_VALUE"""),0.89)</f>
        <v>0.89</v>
      </c>
      <c r="F860" s="1">
        <f>IFERROR(__xludf.DUMMYFUNCTION("""COMPUTED_VALUE"""),169605.0)</f>
        <v>169605</v>
      </c>
    </row>
    <row r="861">
      <c r="A861" s="2">
        <f>IFERROR(__xludf.DUMMYFUNCTION("""COMPUTED_VALUE"""),40415.666666666664)</f>
        <v>40415.66667</v>
      </c>
      <c r="B861" s="1">
        <f>IFERROR(__xludf.DUMMYFUNCTION("""COMPUTED_VALUE"""),0.88)</f>
        <v>0.88</v>
      </c>
      <c r="C861" s="1">
        <f>IFERROR(__xludf.DUMMYFUNCTION("""COMPUTED_VALUE"""),0.92)</f>
        <v>0.92</v>
      </c>
      <c r="D861" s="1">
        <f>IFERROR(__xludf.DUMMYFUNCTION("""COMPUTED_VALUE"""),0.88)</f>
        <v>0.88</v>
      </c>
      <c r="E861" s="1">
        <f>IFERROR(__xludf.DUMMYFUNCTION("""COMPUTED_VALUE"""),0.92)</f>
        <v>0.92</v>
      </c>
      <c r="F861" s="1">
        <f>IFERROR(__xludf.DUMMYFUNCTION("""COMPUTED_VALUE"""),132048.0)</f>
        <v>132048</v>
      </c>
    </row>
    <row r="862">
      <c r="A862" s="2">
        <f>IFERROR(__xludf.DUMMYFUNCTION("""COMPUTED_VALUE"""),40416.666666666664)</f>
        <v>40416.66667</v>
      </c>
      <c r="B862" s="1">
        <f>IFERROR(__xludf.DUMMYFUNCTION("""COMPUTED_VALUE"""),0.93)</f>
        <v>0.93</v>
      </c>
      <c r="C862" s="1">
        <f>IFERROR(__xludf.DUMMYFUNCTION("""COMPUTED_VALUE"""),0.94)</f>
        <v>0.94</v>
      </c>
      <c r="D862" s="1">
        <f>IFERROR(__xludf.DUMMYFUNCTION("""COMPUTED_VALUE"""),0.91)</f>
        <v>0.91</v>
      </c>
      <c r="E862" s="1">
        <f>IFERROR(__xludf.DUMMYFUNCTION("""COMPUTED_VALUE"""),0.91)</f>
        <v>0.91</v>
      </c>
      <c r="F862" s="1">
        <f>IFERROR(__xludf.DUMMYFUNCTION("""COMPUTED_VALUE"""),129521.0)</f>
        <v>129521</v>
      </c>
    </row>
    <row r="863">
      <c r="A863" s="2">
        <f>IFERROR(__xludf.DUMMYFUNCTION("""COMPUTED_VALUE"""),40417.666666666664)</f>
        <v>40417.66667</v>
      </c>
      <c r="B863" s="1">
        <f>IFERROR(__xludf.DUMMYFUNCTION("""COMPUTED_VALUE"""),0.92)</f>
        <v>0.92</v>
      </c>
      <c r="C863" s="1">
        <f>IFERROR(__xludf.DUMMYFUNCTION("""COMPUTED_VALUE"""),0.94)</f>
        <v>0.94</v>
      </c>
      <c r="D863" s="1">
        <f>IFERROR(__xludf.DUMMYFUNCTION("""COMPUTED_VALUE"""),0.91)</f>
        <v>0.91</v>
      </c>
      <c r="E863" s="1">
        <f>IFERROR(__xludf.DUMMYFUNCTION("""COMPUTED_VALUE"""),0.92)</f>
        <v>0.92</v>
      </c>
      <c r="F863" s="1">
        <f>IFERROR(__xludf.DUMMYFUNCTION("""COMPUTED_VALUE"""),615407.0)</f>
        <v>615407</v>
      </c>
    </row>
    <row r="864">
      <c r="A864" s="2">
        <f>IFERROR(__xludf.DUMMYFUNCTION("""COMPUTED_VALUE"""),40420.666666666664)</f>
        <v>40420.66667</v>
      </c>
      <c r="B864" s="1">
        <f>IFERROR(__xludf.DUMMYFUNCTION("""COMPUTED_VALUE"""),0.92)</f>
        <v>0.92</v>
      </c>
      <c r="C864" s="1">
        <f>IFERROR(__xludf.DUMMYFUNCTION("""COMPUTED_VALUE"""),0.93)</f>
        <v>0.93</v>
      </c>
      <c r="D864" s="1">
        <f>IFERROR(__xludf.DUMMYFUNCTION("""COMPUTED_VALUE"""),0.9)</f>
        <v>0.9</v>
      </c>
      <c r="E864" s="1">
        <f>IFERROR(__xludf.DUMMYFUNCTION("""COMPUTED_VALUE"""),0.9)</f>
        <v>0.9</v>
      </c>
      <c r="F864" s="1">
        <f>IFERROR(__xludf.DUMMYFUNCTION("""COMPUTED_VALUE"""),258045.0)</f>
        <v>258045</v>
      </c>
    </row>
    <row r="865">
      <c r="A865" s="2">
        <f>IFERROR(__xludf.DUMMYFUNCTION("""COMPUTED_VALUE"""),40421.666666666664)</f>
        <v>40421.66667</v>
      </c>
      <c r="B865" s="1">
        <f>IFERROR(__xludf.DUMMYFUNCTION("""COMPUTED_VALUE"""),0.89)</f>
        <v>0.89</v>
      </c>
      <c r="C865" s="1">
        <f>IFERROR(__xludf.DUMMYFUNCTION("""COMPUTED_VALUE"""),0.91)</f>
        <v>0.91</v>
      </c>
      <c r="D865" s="1">
        <f>IFERROR(__xludf.DUMMYFUNCTION("""COMPUTED_VALUE"""),0.89)</f>
        <v>0.89</v>
      </c>
      <c r="E865" s="1">
        <f>IFERROR(__xludf.DUMMYFUNCTION("""COMPUTED_VALUE"""),0.9)</f>
        <v>0.9</v>
      </c>
      <c r="F865" s="1">
        <f>IFERROR(__xludf.DUMMYFUNCTION("""COMPUTED_VALUE"""),203978.0)</f>
        <v>203978</v>
      </c>
    </row>
    <row r="866">
      <c r="A866" s="2">
        <f>IFERROR(__xludf.DUMMYFUNCTION("""COMPUTED_VALUE"""),40422.666666666664)</f>
        <v>40422.66667</v>
      </c>
      <c r="B866" s="1">
        <f>IFERROR(__xludf.DUMMYFUNCTION("""COMPUTED_VALUE"""),0.92)</f>
        <v>0.92</v>
      </c>
      <c r="C866" s="1">
        <f>IFERROR(__xludf.DUMMYFUNCTION("""COMPUTED_VALUE"""),0.95)</f>
        <v>0.95</v>
      </c>
      <c r="D866" s="1">
        <f>IFERROR(__xludf.DUMMYFUNCTION("""COMPUTED_VALUE"""),0.91)</f>
        <v>0.91</v>
      </c>
      <c r="E866" s="1">
        <f>IFERROR(__xludf.DUMMYFUNCTION("""COMPUTED_VALUE"""),0.95)</f>
        <v>0.95</v>
      </c>
      <c r="F866" s="1">
        <f>IFERROR(__xludf.DUMMYFUNCTION("""COMPUTED_VALUE"""),234842.0)</f>
        <v>234842</v>
      </c>
    </row>
    <row r="867">
      <c r="A867" s="2">
        <f>IFERROR(__xludf.DUMMYFUNCTION("""COMPUTED_VALUE"""),40423.666666666664)</f>
        <v>40423.66667</v>
      </c>
      <c r="B867" s="1">
        <f>IFERROR(__xludf.DUMMYFUNCTION("""COMPUTED_VALUE"""),0.95)</f>
        <v>0.95</v>
      </c>
      <c r="C867" s="1">
        <f>IFERROR(__xludf.DUMMYFUNCTION("""COMPUTED_VALUE"""),0.96)</f>
        <v>0.96</v>
      </c>
      <c r="D867" s="1">
        <f>IFERROR(__xludf.DUMMYFUNCTION("""COMPUTED_VALUE"""),0.94)</f>
        <v>0.94</v>
      </c>
      <c r="E867" s="1">
        <f>IFERROR(__xludf.DUMMYFUNCTION("""COMPUTED_VALUE"""),0.95)</f>
        <v>0.95</v>
      </c>
      <c r="F867" s="1">
        <f>IFERROR(__xludf.DUMMYFUNCTION("""COMPUTED_VALUE"""),104061.0)</f>
        <v>104061</v>
      </c>
    </row>
    <row r="868">
      <c r="A868" s="2">
        <f>IFERROR(__xludf.DUMMYFUNCTION("""COMPUTED_VALUE"""),40424.666666666664)</f>
        <v>40424.66667</v>
      </c>
      <c r="B868" s="1">
        <f>IFERROR(__xludf.DUMMYFUNCTION("""COMPUTED_VALUE"""),0.97)</f>
        <v>0.97</v>
      </c>
      <c r="C868" s="1">
        <f>IFERROR(__xludf.DUMMYFUNCTION("""COMPUTED_VALUE"""),1.0)</f>
        <v>1</v>
      </c>
      <c r="D868" s="1">
        <f>IFERROR(__xludf.DUMMYFUNCTION("""COMPUTED_VALUE"""),0.96)</f>
        <v>0.96</v>
      </c>
      <c r="E868" s="1">
        <f>IFERROR(__xludf.DUMMYFUNCTION("""COMPUTED_VALUE"""),0.99)</f>
        <v>0.99</v>
      </c>
      <c r="F868" s="1">
        <f>IFERROR(__xludf.DUMMYFUNCTION("""COMPUTED_VALUE"""),213023.0)</f>
        <v>213023</v>
      </c>
    </row>
    <row r="869">
      <c r="A869" s="2">
        <f>IFERROR(__xludf.DUMMYFUNCTION("""COMPUTED_VALUE"""),40428.666666666664)</f>
        <v>40428.66667</v>
      </c>
      <c r="B869" s="1">
        <f>IFERROR(__xludf.DUMMYFUNCTION("""COMPUTED_VALUE"""),0.99)</f>
        <v>0.99</v>
      </c>
      <c r="C869" s="1">
        <f>IFERROR(__xludf.DUMMYFUNCTION("""COMPUTED_VALUE"""),1.01)</f>
        <v>1.01</v>
      </c>
      <c r="D869" s="1">
        <f>IFERROR(__xludf.DUMMYFUNCTION("""COMPUTED_VALUE"""),0.98)</f>
        <v>0.98</v>
      </c>
      <c r="E869" s="1">
        <f>IFERROR(__xludf.DUMMYFUNCTION("""COMPUTED_VALUE"""),0.99)</f>
        <v>0.99</v>
      </c>
      <c r="F869" s="1">
        <f>IFERROR(__xludf.DUMMYFUNCTION("""COMPUTED_VALUE"""),273212.0)</f>
        <v>273212</v>
      </c>
    </row>
    <row r="870">
      <c r="A870" s="2">
        <f>IFERROR(__xludf.DUMMYFUNCTION("""COMPUTED_VALUE"""),40429.666666666664)</f>
        <v>40429.66667</v>
      </c>
      <c r="B870" s="1">
        <f>IFERROR(__xludf.DUMMYFUNCTION("""COMPUTED_VALUE"""),1.0)</f>
        <v>1</v>
      </c>
      <c r="C870" s="1">
        <f>IFERROR(__xludf.DUMMYFUNCTION("""COMPUTED_VALUE"""),1.01)</f>
        <v>1.01</v>
      </c>
      <c r="D870" s="1">
        <f>IFERROR(__xludf.DUMMYFUNCTION("""COMPUTED_VALUE"""),0.95)</f>
        <v>0.95</v>
      </c>
      <c r="E870" s="1">
        <f>IFERROR(__xludf.DUMMYFUNCTION("""COMPUTED_VALUE"""),0.96)</f>
        <v>0.96</v>
      </c>
      <c r="F870" s="1">
        <f>IFERROR(__xludf.DUMMYFUNCTION("""COMPUTED_VALUE"""),158530.0)</f>
        <v>158530</v>
      </c>
    </row>
    <row r="871">
      <c r="A871" s="2">
        <f>IFERROR(__xludf.DUMMYFUNCTION("""COMPUTED_VALUE"""),40430.666666666664)</f>
        <v>40430.66667</v>
      </c>
      <c r="B871" s="1">
        <f>IFERROR(__xludf.DUMMYFUNCTION("""COMPUTED_VALUE"""),0.98)</f>
        <v>0.98</v>
      </c>
      <c r="C871" s="1">
        <f>IFERROR(__xludf.DUMMYFUNCTION("""COMPUTED_VALUE"""),0.98)</f>
        <v>0.98</v>
      </c>
      <c r="D871" s="1">
        <f>IFERROR(__xludf.DUMMYFUNCTION("""COMPUTED_VALUE"""),0.95)</f>
        <v>0.95</v>
      </c>
      <c r="E871" s="1">
        <f>IFERROR(__xludf.DUMMYFUNCTION("""COMPUTED_VALUE"""),0.98)</f>
        <v>0.98</v>
      </c>
      <c r="F871" s="1">
        <f>IFERROR(__xludf.DUMMYFUNCTION("""COMPUTED_VALUE"""),193333.0)</f>
        <v>193333</v>
      </c>
    </row>
    <row r="872">
      <c r="A872" s="2">
        <f>IFERROR(__xludf.DUMMYFUNCTION("""COMPUTED_VALUE"""),40431.666666666664)</f>
        <v>40431.66667</v>
      </c>
      <c r="B872" s="1">
        <f>IFERROR(__xludf.DUMMYFUNCTION("""COMPUTED_VALUE"""),0.97)</f>
        <v>0.97</v>
      </c>
      <c r="C872" s="1">
        <f>IFERROR(__xludf.DUMMYFUNCTION("""COMPUTED_VALUE"""),0.99)</f>
        <v>0.99</v>
      </c>
      <c r="D872" s="1">
        <f>IFERROR(__xludf.DUMMYFUNCTION("""COMPUTED_VALUE"""),0.97)</f>
        <v>0.97</v>
      </c>
      <c r="E872" s="1">
        <f>IFERROR(__xludf.DUMMYFUNCTION("""COMPUTED_VALUE"""),0.98)</f>
        <v>0.98</v>
      </c>
      <c r="F872" s="1">
        <f>IFERROR(__xludf.DUMMYFUNCTION("""COMPUTED_VALUE"""),81961.0)</f>
        <v>81961</v>
      </c>
    </row>
    <row r="873">
      <c r="A873" s="2">
        <f>IFERROR(__xludf.DUMMYFUNCTION("""COMPUTED_VALUE"""),40434.666666666664)</f>
        <v>40434.66667</v>
      </c>
      <c r="B873" s="1">
        <f>IFERROR(__xludf.DUMMYFUNCTION("""COMPUTED_VALUE"""),0.99)</f>
        <v>0.99</v>
      </c>
      <c r="C873" s="1">
        <f>IFERROR(__xludf.DUMMYFUNCTION("""COMPUTED_VALUE"""),1.01)</f>
        <v>1.01</v>
      </c>
      <c r="D873" s="1">
        <f>IFERROR(__xludf.DUMMYFUNCTION("""COMPUTED_VALUE"""),0.98)</f>
        <v>0.98</v>
      </c>
      <c r="E873" s="1">
        <f>IFERROR(__xludf.DUMMYFUNCTION("""COMPUTED_VALUE"""),1.01)</f>
        <v>1.01</v>
      </c>
      <c r="F873" s="1">
        <f>IFERROR(__xludf.DUMMYFUNCTION("""COMPUTED_VALUE"""),167119.0)</f>
        <v>167119</v>
      </c>
    </row>
    <row r="874">
      <c r="A874" s="2">
        <f>IFERROR(__xludf.DUMMYFUNCTION("""COMPUTED_VALUE"""),40435.666666666664)</f>
        <v>40435.66667</v>
      </c>
      <c r="B874" s="1">
        <f>IFERROR(__xludf.DUMMYFUNCTION("""COMPUTED_VALUE"""),1.0)</f>
        <v>1</v>
      </c>
      <c r="C874" s="1">
        <f>IFERROR(__xludf.DUMMYFUNCTION("""COMPUTED_VALUE"""),1.01)</f>
        <v>1.01</v>
      </c>
      <c r="D874" s="1">
        <f>IFERROR(__xludf.DUMMYFUNCTION("""COMPUTED_VALUE"""),0.97)</f>
        <v>0.97</v>
      </c>
      <c r="E874" s="1">
        <f>IFERROR(__xludf.DUMMYFUNCTION("""COMPUTED_VALUE"""),0.97)</f>
        <v>0.97</v>
      </c>
      <c r="F874" s="1">
        <f>IFERROR(__xludf.DUMMYFUNCTION("""COMPUTED_VALUE"""),208066.0)</f>
        <v>208066</v>
      </c>
    </row>
    <row r="875">
      <c r="A875" s="2">
        <f>IFERROR(__xludf.DUMMYFUNCTION("""COMPUTED_VALUE"""),40436.666666666664)</f>
        <v>40436.66667</v>
      </c>
      <c r="B875" s="1">
        <f>IFERROR(__xludf.DUMMYFUNCTION("""COMPUTED_VALUE"""),0.97)</f>
        <v>0.97</v>
      </c>
      <c r="C875" s="1">
        <f>IFERROR(__xludf.DUMMYFUNCTION("""COMPUTED_VALUE"""),0.99)</f>
        <v>0.99</v>
      </c>
      <c r="D875" s="1">
        <f>IFERROR(__xludf.DUMMYFUNCTION("""COMPUTED_VALUE"""),0.95)</f>
        <v>0.95</v>
      </c>
      <c r="E875" s="1">
        <f>IFERROR(__xludf.DUMMYFUNCTION("""COMPUTED_VALUE"""),0.98)</f>
        <v>0.98</v>
      </c>
      <c r="F875" s="1">
        <f>IFERROR(__xludf.DUMMYFUNCTION("""COMPUTED_VALUE"""),137801.0)</f>
        <v>137801</v>
      </c>
    </row>
    <row r="876">
      <c r="A876" s="2">
        <f>IFERROR(__xludf.DUMMYFUNCTION("""COMPUTED_VALUE"""),40437.666666666664)</f>
        <v>40437.66667</v>
      </c>
      <c r="B876" s="1">
        <f>IFERROR(__xludf.DUMMYFUNCTION("""COMPUTED_VALUE"""),0.98)</f>
        <v>0.98</v>
      </c>
      <c r="C876" s="1">
        <f>IFERROR(__xludf.DUMMYFUNCTION("""COMPUTED_VALUE"""),0.99)</f>
        <v>0.99</v>
      </c>
      <c r="D876" s="1">
        <f>IFERROR(__xludf.DUMMYFUNCTION("""COMPUTED_VALUE"""),0.93)</f>
        <v>0.93</v>
      </c>
      <c r="E876" s="1">
        <f>IFERROR(__xludf.DUMMYFUNCTION("""COMPUTED_VALUE"""),0.94)</f>
        <v>0.94</v>
      </c>
      <c r="F876" s="1">
        <f>IFERROR(__xludf.DUMMYFUNCTION("""COMPUTED_VALUE"""),202358.0)</f>
        <v>202358</v>
      </c>
    </row>
    <row r="877">
      <c r="A877" s="2">
        <f>IFERROR(__xludf.DUMMYFUNCTION("""COMPUTED_VALUE"""),40438.666666666664)</f>
        <v>40438.66667</v>
      </c>
      <c r="B877" s="1">
        <f>IFERROR(__xludf.DUMMYFUNCTION("""COMPUTED_VALUE"""),0.95)</f>
        <v>0.95</v>
      </c>
      <c r="C877" s="1">
        <f>IFERROR(__xludf.DUMMYFUNCTION("""COMPUTED_VALUE"""),0.96)</f>
        <v>0.96</v>
      </c>
      <c r="D877" s="1">
        <f>IFERROR(__xludf.DUMMYFUNCTION("""COMPUTED_VALUE"""),0.93)</f>
        <v>0.93</v>
      </c>
      <c r="E877" s="1">
        <f>IFERROR(__xludf.DUMMYFUNCTION("""COMPUTED_VALUE"""),0.95)</f>
        <v>0.95</v>
      </c>
      <c r="F877" s="1">
        <f>IFERROR(__xludf.DUMMYFUNCTION("""COMPUTED_VALUE"""),382758.0)</f>
        <v>382758</v>
      </c>
    </row>
    <row r="878">
      <c r="A878" s="2">
        <f>IFERROR(__xludf.DUMMYFUNCTION("""COMPUTED_VALUE"""),40441.666666666664)</f>
        <v>40441.66667</v>
      </c>
      <c r="B878" s="1">
        <f>IFERROR(__xludf.DUMMYFUNCTION("""COMPUTED_VALUE"""),0.96)</f>
        <v>0.96</v>
      </c>
      <c r="C878" s="1">
        <f>IFERROR(__xludf.DUMMYFUNCTION("""COMPUTED_VALUE"""),1.0)</f>
        <v>1</v>
      </c>
      <c r="D878" s="1">
        <f>IFERROR(__xludf.DUMMYFUNCTION("""COMPUTED_VALUE"""),0.94)</f>
        <v>0.94</v>
      </c>
      <c r="E878" s="1">
        <f>IFERROR(__xludf.DUMMYFUNCTION("""COMPUTED_VALUE"""),1.0)</f>
        <v>1</v>
      </c>
      <c r="F878" s="1">
        <f>IFERROR(__xludf.DUMMYFUNCTION("""COMPUTED_VALUE"""),306214.0)</f>
        <v>306214</v>
      </c>
    </row>
    <row r="879">
      <c r="A879" s="2">
        <f>IFERROR(__xludf.DUMMYFUNCTION("""COMPUTED_VALUE"""),40442.666666666664)</f>
        <v>40442.66667</v>
      </c>
      <c r="B879" s="1">
        <f>IFERROR(__xludf.DUMMYFUNCTION("""COMPUTED_VALUE"""),1.0)</f>
        <v>1</v>
      </c>
      <c r="C879" s="1">
        <f>IFERROR(__xludf.DUMMYFUNCTION("""COMPUTED_VALUE"""),1.01)</f>
        <v>1.01</v>
      </c>
      <c r="D879" s="1">
        <f>IFERROR(__xludf.DUMMYFUNCTION("""COMPUTED_VALUE"""),0.97)</f>
        <v>0.97</v>
      </c>
      <c r="E879" s="1">
        <f>IFERROR(__xludf.DUMMYFUNCTION("""COMPUTED_VALUE"""),0.97)</f>
        <v>0.97</v>
      </c>
      <c r="F879" s="1">
        <f>IFERROR(__xludf.DUMMYFUNCTION("""COMPUTED_VALUE"""),143438.0)</f>
        <v>143438</v>
      </c>
    </row>
    <row r="880">
      <c r="A880" s="2">
        <f>IFERROR(__xludf.DUMMYFUNCTION("""COMPUTED_VALUE"""),40443.666666666664)</f>
        <v>40443.66667</v>
      </c>
      <c r="B880" s="1">
        <f>IFERROR(__xludf.DUMMYFUNCTION("""COMPUTED_VALUE"""),0.97)</f>
        <v>0.97</v>
      </c>
      <c r="C880" s="1">
        <f>IFERROR(__xludf.DUMMYFUNCTION("""COMPUTED_VALUE"""),0.98)</f>
        <v>0.98</v>
      </c>
      <c r="D880" s="1">
        <f>IFERROR(__xludf.DUMMYFUNCTION("""COMPUTED_VALUE"""),0.95)</f>
        <v>0.95</v>
      </c>
      <c r="E880" s="1">
        <f>IFERROR(__xludf.DUMMYFUNCTION("""COMPUTED_VALUE"""),0.96)</f>
        <v>0.96</v>
      </c>
      <c r="F880" s="1">
        <f>IFERROR(__xludf.DUMMYFUNCTION("""COMPUTED_VALUE"""),144962.0)</f>
        <v>144962</v>
      </c>
    </row>
    <row r="881">
      <c r="A881" s="2">
        <f>IFERROR(__xludf.DUMMYFUNCTION("""COMPUTED_VALUE"""),40444.666666666664)</f>
        <v>40444.66667</v>
      </c>
      <c r="B881" s="1">
        <f>IFERROR(__xludf.DUMMYFUNCTION("""COMPUTED_VALUE"""),0.95)</f>
        <v>0.95</v>
      </c>
      <c r="C881" s="1">
        <f>IFERROR(__xludf.DUMMYFUNCTION("""COMPUTED_VALUE"""),0.97)</f>
        <v>0.97</v>
      </c>
      <c r="D881" s="1">
        <f>IFERROR(__xludf.DUMMYFUNCTION("""COMPUTED_VALUE"""),0.94)</f>
        <v>0.94</v>
      </c>
      <c r="E881" s="1">
        <f>IFERROR(__xludf.DUMMYFUNCTION("""COMPUTED_VALUE"""),0.95)</f>
        <v>0.95</v>
      </c>
      <c r="F881" s="1">
        <f>IFERROR(__xludf.DUMMYFUNCTION("""COMPUTED_VALUE"""),132092.0)</f>
        <v>132092</v>
      </c>
    </row>
    <row r="882">
      <c r="A882" s="2">
        <f>IFERROR(__xludf.DUMMYFUNCTION("""COMPUTED_VALUE"""),40445.666666666664)</f>
        <v>40445.66667</v>
      </c>
      <c r="B882" s="1">
        <f>IFERROR(__xludf.DUMMYFUNCTION("""COMPUTED_VALUE"""),0.97)</f>
        <v>0.97</v>
      </c>
      <c r="C882" s="1">
        <f>IFERROR(__xludf.DUMMYFUNCTION("""COMPUTED_VALUE"""),0.98)</f>
        <v>0.98</v>
      </c>
      <c r="D882" s="1">
        <f>IFERROR(__xludf.DUMMYFUNCTION("""COMPUTED_VALUE"""),0.96)</f>
        <v>0.96</v>
      </c>
      <c r="E882" s="1">
        <f>IFERROR(__xludf.DUMMYFUNCTION("""COMPUTED_VALUE"""),0.97)</f>
        <v>0.97</v>
      </c>
      <c r="F882" s="1">
        <f>IFERROR(__xludf.DUMMYFUNCTION("""COMPUTED_VALUE"""),205527.0)</f>
        <v>205527</v>
      </c>
    </row>
    <row r="883">
      <c r="A883" s="2">
        <f>IFERROR(__xludf.DUMMYFUNCTION("""COMPUTED_VALUE"""),40448.666666666664)</f>
        <v>40448.66667</v>
      </c>
      <c r="B883" s="1">
        <f>IFERROR(__xludf.DUMMYFUNCTION("""COMPUTED_VALUE"""),0.97)</f>
        <v>0.97</v>
      </c>
      <c r="C883" s="1">
        <f>IFERROR(__xludf.DUMMYFUNCTION("""COMPUTED_VALUE"""),0.99)</f>
        <v>0.99</v>
      </c>
      <c r="D883" s="1">
        <f>IFERROR(__xludf.DUMMYFUNCTION("""COMPUTED_VALUE"""),0.97)</f>
        <v>0.97</v>
      </c>
      <c r="E883" s="1">
        <f>IFERROR(__xludf.DUMMYFUNCTION("""COMPUTED_VALUE"""),0.98)</f>
        <v>0.98</v>
      </c>
      <c r="F883" s="1">
        <f>IFERROR(__xludf.DUMMYFUNCTION("""COMPUTED_VALUE"""),171764.0)</f>
        <v>171764</v>
      </c>
    </row>
    <row r="884">
      <c r="A884" s="2">
        <f>IFERROR(__xludf.DUMMYFUNCTION("""COMPUTED_VALUE"""),40449.666666666664)</f>
        <v>40449.66667</v>
      </c>
      <c r="B884" s="1">
        <f>IFERROR(__xludf.DUMMYFUNCTION("""COMPUTED_VALUE"""),1.04)</f>
        <v>1.04</v>
      </c>
      <c r="C884" s="1">
        <f>IFERROR(__xludf.DUMMYFUNCTION("""COMPUTED_VALUE"""),1.06)</f>
        <v>1.06</v>
      </c>
      <c r="D884" s="1">
        <f>IFERROR(__xludf.DUMMYFUNCTION("""COMPUTED_VALUE"""),1.02)</f>
        <v>1.02</v>
      </c>
      <c r="E884" s="1">
        <f>IFERROR(__xludf.DUMMYFUNCTION("""COMPUTED_VALUE"""),1.05)</f>
        <v>1.05</v>
      </c>
      <c r="F884" s="1">
        <f>IFERROR(__xludf.DUMMYFUNCTION("""COMPUTED_VALUE"""),1096242.0)</f>
        <v>1096242</v>
      </c>
    </row>
    <row r="885">
      <c r="A885" s="2">
        <f>IFERROR(__xludf.DUMMYFUNCTION("""COMPUTED_VALUE"""),40450.666666666664)</f>
        <v>40450.66667</v>
      </c>
      <c r="B885" s="1">
        <f>IFERROR(__xludf.DUMMYFUNCTION("""COMPUTED_VALUE"""),1.04)</f>
        <v>1.04</v>
      </c>
      <c r="C885" s="1">
        <f>IFERROR(__xludf.DUMMYFUNCTION("""COMPUTED_VALUE"""),1.07)</f>
        <v>1.07</v>
      </c>
      <c r="D885" s="1">
        <f>IFERROR(__xludf.DUMMYFUNCTION("""COMPUTED_VALUE"""),1.03)</f>
        <v>1.03</v>
      </c>
      <c r="E885" s="1">
        <f>IFERROR(__xludf.DUMMYFUNCTION("""COMPUTED_VALUE"""),1.04)</f>
        <v>1.04</v>
      </c>
      <c r="F885" s="1">
        <f>IFERROR(__xludf.DUMMYFUNCTION("""COMPUTED_VALUE"""),642230.0)</f>
        <v>642230</v>
      </c>
    </row>
    <row r="886">
      <c r="A886" s="2">
        <f>IFERROR(__xludf.DUMMYFUNCTION("""COMPUTED_VALUE"""),40451.666666666664)</f>
        <v>40451.66667</v>
      </c>
      <c r="B886" s="1">
        <f>IFERROR(__xludf.DUMMYFUNCTION("""COMPUTED_VALUE"""),1.05)</f>
        <v>1.05</v>
      </c>
      <c r="C886" s="1">
        <f>IFERROR(__xludf.DUMMYFUNCTION("""COMPUTED_VALUE"""),1.05)</f>
        <v>1.05</v>
      </c>
      <c r="D886" s="1">
        <f>IFERROR(__xludf.DUMMYFUNCTION("""COMPUTED_VALUE"""),1.02)</f>
        <v>1.02</v>
      </c>
      <c r="E886" s="1">
        <f>IFERROR(__xludf.DUMMYFUNCTION("""COMPUTED_VALUE"""),1.04)</f>
        <v>1.04</v>
      </c>
      <c r="F886" s="1">
        <f>IFERROR(__xludf.DUMMYFUNCTION("""COMPUTED_VALUE"""),332293.0)</f>
        <v>332293</v>
      </c>
    </row>
    <row r="887">
      <c r="A887" s="2">
        <f>IFERROR(__xludf.DUMMYFUNCTION("""COMPUTED_VALUE"""),40452.666666666664)</f>
        <v>40452.66667</v>
      </c>
      <c r="B887" s="1">
        <f>IFERROR(__xludf.DUMMYFUNCTION("""COMPUTED_VALUE"""),1.05)</f>
        <v>1.05</v>
      </c>
      <c r="C887" s="1">
        <f>IFERROR(__xludf.DUMMYFUNCTION("""COMPUTED_VALUE"""),1.17)</f>
        <v>1.17</v>
      </c>
      <c r="D887" s="1">
        <f>IFERROR(__xludf.DUMMYFUNCTION("""COMPUTED_VALUE"""),1.03)</f>
        <v>1.03</v>
      </c>
      <c r="E887" s="1">
        <f>IFERROR(__xludf.DUMMYFUNCTION("""COMPUTED_VALUE"""),1.04)</f>
        <v>1.04</v>
      </c>
      <c r="F887" s="1">
        <f>IFERROR(__xludf.DUMMYFUNCTION("""COMPUTED_VALUE"""),3272045.0)</f>
        <v>3272045</v>
      </c>
    </row>
    <row r="888">
      <c r="A888" s="2">
        <f>IFERROR(__xludf.DUMMYFUNCTION("""COMPUTED_VALUE"""),40455.666666666664)</f>
        <v>40455.66667</v>
      </c>
      <c r="B888" s="1">
        <f>IFERROR(__xludf.DUMMYFUNCTION("""COMPUTED_VALUE"""),1.04)</f>
        <v>1.04</v>
      </c>
      <c r="C888" s="1">
        <f>IFERROR(__xludf.DUMMYFUNCTION("""COMPUTED_VALUE"""),1.07)</f>
        <v>1.07</v>
      </c>
      <c r="D888" s="1">
        <f>IFERROR(__xludf.DUMMYFUNCTION("""COMPUTED_VALUE"""),1.01)</f>
        <v>1.01</v>
      </c>
      <c r="E888" s="1">
        <f>IFERROR(__xludf.DUMMYFUNCTION("""COMPUTED_VALUE"""),1.04)</f>
        <v>1.04</v>
      </c>
      <c r="F888" s="1">
        <f>IFERROR(__xludf.DUMMYFUNCTION("""COMPUTED_VALUE"""),345837.0)</f>
        <v>345837</v>
      </c>
    </row>
    <row r="889">
      <c r="A889" s="2">
        <f>IFERROR(__xludf.DUMMYFUNCTION("""COMPUTED_VALUE"""),40456.666666666664)</f>
        <v>40456.66667</v>
      </c>
      <c r="B889" s="1">
        <f>IFERROR(__xludf.DUMMYFUNCTION("""COMPUTED_VALUE"""),1.06)</f>
        <v>1.06</v>
      </c>
      <c r="C889" s="1">
        <f>IFERROR(__xludf.DUMMYFUNCTION("""COMPUTED_VALUE"""),1.09)</f>
        <v>1.09</v>
      </c>
      <c r="D889" s="1">
        <f>IFERROR(__xludf.DUMMYFUNCTION("""COMPUTED_VALUE"""),1.03)</f>
        <v>1.03</v>
      </c>
      <c r="E889" s="1">
        <f>IFERROR(__xludf.DUMMYFUNCTION("""COMPUTED_VALUE"""),1.09)</f>
        <v>1.09</v>
      </c>
      <c r="F889" s="1">
        <f>IFERROR(__xludf.DUMMYFUNCTION("""COMPUTED_VALUE"""),332053.0)</f>
        <v>332053</v>
      </c>
    </row>
    <row r="890">
      <c r="A890" s="2">
        <f>IFERROR(__xludf.DUMMYFUNCTION("""COMPUTED_VALUE"""),40457.666666666664)</f>
        <v>40457.66667</v>
      </c>
      <c r="B890" s="1">
        <f>IFERROR(__xludf.DUMMYFUNCTION("""COMPUTED_VALUE"""),1.08)</f>
        <v>1.08</v>
      </c>
      <c r="C890" s="1">
        <f>IFERROR(__xludf.DUMMYFUNCTION("""COMPUTED_VALUE"""),1.12)</f>
        <v>1.12</v>
      </c>
      <c r="D890" s="1">
        <f>IFERROR(__xludf.DUMMYFUNCTION("""COMPUTED_VALUE"""),1.07)</f>
        <v>1.07</v>
      </c>
      <c r="E890" s="1">
        <f>IFERROR(__xludf.DUMMYFUNCTION("""COMPUTED_VALUE"""),1.07)</f>
        <v>1.07</v>
      </c>
      <c r="F890" s="1">
        <f>IFERROR(__xludf.DUMMYFUNCTION("""COMPUTED_VALUE"""),206794.0)</f>
        <v>206794</v>
      </c>
    </row>
    <row r="891">
      <c r="A891" s="2">
        <f>IFERROR(__xludf.DUMMYFUNCTION("""COMPUTED_VALUE"""),40458.666666666664)</f>
        <v>40458.66667</v>
      </c>
      <c r="B891" s="1">
        <f>IFERROR(__xludf.DUMMYFUNCTION("""COMPUTED_VALUE"""),1.08)</f>
        <v>1.08</v>
      </c>
      <c r="C891" s="1">
        <f>IFERROR(__xludf.DUMMYFUNCTION("""COMPUTED_VALUE"""),1.08)</f>
        <v>1.08</v>
      </c>
      <c r="D891" s="1">
        <f>IFERROR(__xludf.DUMMYFUNCTION("""COMPUTED_VALUE"""),1.06)</f>
        <v>1.06</v>
      </c>
      <c r="E891" s="1">
        <f>IFERROR(__xludf.DUMMYFUNCTION("""COMPUTED_VALUE"""),1.06)</f>
        <v>1.06</v>
      </c>
      <c r="F891" s="1">
        <f>IFERROR(__xludf.DUMMYFUNCTION("""COMPUTED_VALUE"""),157557.0)</f>
        <v>157557</v>
      </c>
    </row>
    <row r="892">
      <c r="A892" s="2">
        <f>IFERROR(__xludf.DUMMYFUNCTION("""COMPUTED_VALUE"""),40459.666666666664)</f>
        <v>40459.66667</v>
      </c>
      <c r="B892" s="1">
        <f>IFERROR(__xludf.DUMMYFUNCTION("""COMPUTED_VALUE"""),1.06)</f>
        <v>1.06</v>
      </c>
      <c r="C892" s="1">
        <f>IFERROR(__xludf.DUMMYFUNCTION("""COMPUTED_VALUE"""),1.1)</f>
        <v>1.1</v>
      </c>
      <c r="D892" s="1">
        <f>IFERROR(__xludf.DUMMYFUNCTION("""COMPUTED_VALUE"""),1.05)</f>
        <v>1.05</v>
      </c>
      <c r="E892" s="1">
        <f>IFERROR(__xludf.DUMMYFUNCTION("""COMPUTED_VALUE"""),1.1)</f>
        <v>1.1</v>
      </c>
      <c r="F892" s="1">
        <f>IFERROR(__xludf.DUMMYFUNCTION("""COMPUTED_VALUE"""),202269.0)</f>
        <v>202269</v>
      </c>
    </row>
    <row r="893">
      <c r="A893" s="2">
        <f>IFERROR(__xludf.DUMMYFUNCTION("""COMPUTED_VALUE"""),40462.666666666664)</f>
        <v>40462.66667</v>
      </c>
      <c r="B893" s="1">
        <f>IFERROR(__xludf.DUMMYFUNCTION("""COMPUTED_VALUE"""),1.1)</f>
        <v>1.1</v>
      </c>
      <c r="C893" s="1">
        <f>IFERROR(__xludf.DUMMYFUNCTION("""COMPUTED_VALUE"""),1.16)</f>
        <v>1.16</v>
      </c>
      <c r="D893" s="1">
        <f>IFERROR(__xludf.DUMMYFUNCTION("""COMPUTED_VALUE"""),1.09)</f>
        <v>1.09</v>
      </c>
      <c r="E893" s="1">
        <f>IFERROR(__xludf.DUMMYFUNCTION("""COMPUTED_VALUE"""),1.15)</f>
        <v>1.15</v>
      </c>
      <c r="F893" s="1">
        <f>IFERROR(__xludf.DUMMYFUNCTION("""COMPUTED_VALUE"""),371214.0)</f>
        <v>371214</v>
      </c>
    </row>
    <row r="894">
      <c r="A894" s="2">
        <f>IFERROR(__xludf.DUMMYFUNCTION("""COMPUTED_VALUE"""),40463.666666666664)</f>
        <v>40463.66667</v>
      </c>
      <c r="B894" s="1">
        <f>IFERROR(__xludf.DUMMYFUNCTION("""COMPUTED_VALUE"""),1.15)</f>
        <v>1.15</v>
      </c>
      <c r="C894" s="1">
        <f>IFERROR(__xludf.DUMMYFUNCTION("""COMPUTED_VALUE"""),1.16)</f>
        <v>1.16</v>
      </c>
      <c r="D894" s="1">
        <f>IFERROR(__xludf.DUMMYFUNCTION("""COMPUTED_VALUE"""),1.13)</f>
        <v>1.13</v>
      </c>
      <c r="E894" s="1">
        <f>IFERROR(__xludf.DUMMYFUNCTION("""COMPUTED_VALUE"""),1.14)</f>
        <v>1.14</v>
      </c>
      <c r="F894" s="1">
        <f>IFERROR(__xludf.DUMMYFUNCTION("""COMPUTED_VALUE"""),158153.0)</f>
        <v>158153</v>
      </c>
    </row>
    <row r="895">
      <c r="A895" s="2">
        <f>IFERROR(__xludf.DUMMYFUNCTION("""COMPUTED_VALUE"""),40464.666666666664)</f>
        <v>40464.66667</v>
      </c>
      <c r="B895" s="1">
        <f>IFERROR(__xludf.DUMMYFUNCTION("""COMPUTED_VALUE"""),1.15)</f>
        <v>1.15</v>
      </c>
      <c r="C895" s="1">
        <f>IFERROR(__xludf.DUMMYFUNCTION("""COMPUTED_VALUE"""),1.16)</f>
        <v>1.16</v>
      </c>
      <c r="D895" s="1">
        <f>IFERROR(__xludf.DUMMYFUNCTION("""COMPUTED_VALUE"""),1.13)</f>
        <v>1.13</v>
      </c>
      <c r="E895" s="1">
        <f>IFERROR(__xludf.DUMMYFUNCTION("""COMPUTED_VALUE"""),1.14)</f>
        <v>1.14</v>
      </c>
      <c r="F895" s="1">
        <f>IFERROR(__xludf.DUMMYFUNCTION("""COMPUTED_VALUE"""),189042.0)</f>
        <v>189042</v>
      </c>
    </row>
    <row r="896">
      <c r="A896" s="2">
        <f>IFERROR(__xludf.DUMMYFUNCTION("""COMPUTED_VALUE"""),40465.666666666664)</f>
        <v>40465.66667</v>
      </c>
      <c r="B896" s="1">
        <f>IFERROR(__xludf.DUMMYFUNCTION("""COMPUTED_VALUE"""),1.14)</f>
        <v>1.14</v>
      </c>
      <c r="C896" s="1">
        <f>IFERROR(__xludf.DUMMYFUNCTION("""COMPUTED_VALUE"""),1.15)</f>
        <v>1.15</v>
      </c>
      <c r="D896" s="1">
        <f>IFERROR(__xludf.DUMMYFUNCTION("""COMPUTED_VALUE"""),1.12)</f>
        <v>1.12</v>
      </c>
      <c r="E896" s="1">
        <f>IFERROR(__xludf.DUMMYFUNCTION("""COMPUTED_VALUE"""),1.15)</f>
        <v>1.15</v>
      </c>
      <c r="F896" s="1">
        <f>IFERROR(__xludf.DUMMYFUNCTION("""COMPUTED_VALUE"""),125151.0)</f>
        <v>125151</v>
      </c>
    </row>
    <row r="897">
      <c r="A897" s="2">
        <f>IFERROR(__xludf.DUMMYFUNCTION("""COMPUTED_VALUE"""),40466.666666666664)</f>
        <v>40466.66667</v>
      </c>
      <c r="B897" s="1">
        <f>IFERROR(__xludf.DUMMYFUNCTION("""COMPUTED_VALUE"""),1.16)</f>
        <v>1.16</v>
      </c>
      <c r="C897" s="1">
        <f>IFERROR(__xludf.DUMMYFUNCTION("""COMPUTED_VALUE"""),1.17)</f>
        <v>1.17</v>
      </c>
      <c r="D897" s="1">
        <f>IFERROR(__xludf.DUMMYFUNCTION("""COMPUTED_VALUE"""),1.14)</f>
        <v>1.14</v>
      </c>
      <c r="E897" s="1">
        <f>IFERROR(__xludf.DUMMYFUNCTION("""COMPUTED_VALUE"""),1.15)</f>
        <v>1.15</v>
      </c>
      <c r="F897" s="1">
        <f>IFERROR(__xludf.DUMMYFUNCTION("""COMPUTED_VALUE"""),204050.0)</f>
        <v>204050</v>
      </c>
    </row>
    <row r="898">
      <c r="A898" s="2">
        <f>IFERROR(__xludf.DUMMYFUNCTION("""COMPUTED_VALUE"""),40469.666666666664)</f>
        <v>40469.66667</v>
      </c>
      <c r="B898" s="1">
        <f>IFERROR(__xludf.DUMMYFUNCTION("""COMPUTED_VALUE"""),1.15)</f>
        <v>1.15</v>
      </c>
      <c r="C898" s="1">
        <f>IFERROR(__xludf.DUMMYFUNCTION("""COMPUTED_VALUE"""),1.16)</f>
        <v>1.16</v>
      </c>
      <c r="D898" s="1">
        <f>IFERROR(__xludf.DUMMYFUNCTION("""COMPUTED_VALUE"""),1.14)</f>
        <v>1.14</v>
      </c>
      <c r="E898" s="1">
        <f>IFERROR(__xludf.DUMMYFUNCTION("""COMPUTED_VALUE"""),1.15)</f>
        <v>1.15</v>
      </c>
      <c r="F898" s="1">
        <f>IFERROR(__xludf.DUMMYFUNCTION("""COMPUTED_VALUE"""),213288.0)</f>
        <v>213288</v>
      </c>
    </row>
    <row r="899">
      <c r="A899" s="2">
        <f>IFERROR(__xludf.DUMMYFUNCTION("""COMPUTED_VALUE"""),40470.666666666664)</f>
        <v>40470.66667</v>
      </c>
      <c r="B899" s="1">
        <f>IFERROR(__xludf.DUMMYFUNCTION("""COMPUTED_VALUE"""),1.13)</f>
        <v>1.13</v>
      </c>
      <c r="C899" s="1">
        <f>IFERROR(__xludf.DUMMYFUNCTION("""COMPUTED_VALUE"""),1.15)</f>
        <v>1.15</v>
      </c>
      <c r="D899" s="1">
        <f>IFERROR(__xludf.DUMMYFUNCTION("""COMPUTED_VALUE"""),1.09)</f>
        <v>1.09</v>
      </c>
      <c r="E899" s="1">
        <f>IFERROR(__xludf.DUMMYFUNCTION("""COMPUTED_VALUE"""),1.11)</f>
        <v>1.11</v>
      </c>
      <c r="F899" s="1">
        <f>IFERROR(__xludf.DUMMYFUNCTION("""COMPUTED_VALUE"""),194994.0)</f>
        <v>194994</v>
      </c>
    </row>
    <row r="900">
      <c r="A900" s="2">
        <f>IFERROR(__xludf.DUMMYFUNCTION("""COMPUTED_VALUE"""),40471.666666666664)</f>
        <v>40471.66667</v>
      </c>
      <c r="B900" s="1">
        <f>IFERROR(__xludf.DUMMYFUNCTION("""COMPUTED_VALUE"""),1.11)</f>
        <v>1.11</v>
      </c>
      <c r="C900" s="1">
        <f>IFERROR(__xludf.DUMMYFUNCTION("""COMPUTED_VALUE"""),1.12)</f>
        <v>1.12</v>
      </c>
      <c r="D900" s="1">
        <f>IFERROR(__xludf.DUMMYFUNCTION("""COMPUTED_VALUE"""),1.06)</f>
        <v>1.06</v>
      </c>
      <c r="E900" s="1">
        <f>IFERROR(__xludf.DUMMYFUNCTION("""COMPUTED_VALUE"""),1.07)</f>
        <v>1.07</v>
      </c>
      <c r="F900" s="1">
        <f>IFERROR(__xludf.DUMMYFUNCTION("""COMPUTED_VALUE"""),342419.0)</f>
        <v>342419</v>
      </c>
    </row>
    <row r="901">
      <c r="A901" s="2">
        <f>IFERROR(__xludf.DUMMYFUNCTION("""COMPUTED_VALUE"""),40472.666666666664)</f>
        <v>40472.66667</v>
      </c>
      <c r="B901" s="1">
        <f>IFERROR(__xludf.DUMMYFUNCTION("""COMPUTED_VALUE"""),1.08)</f>
        <v>1.08</v>
      </c>
      <c r="C901" s="1">
        <f>IFERROR(__xludf.DUMMYFUNCTION("""COMPUTED_VALUE"""),1.08)</f>
        <v>1.08</v>
      </c>
      <c r="D901" s="1">
        <f>IFERROR(__xludf.DUMMYFUNCTION("""COMPUTED_VALUE"""),1.04)</f>
        <v>1.04</v>
      </c>
      <c r="E901" s="1">
        <f>IFERROR(__xludf.DUMMYFUNCTION("""COMPUTED_VALUE"""),1.05)</f>
        <v>1.05</v>
      </c>
      <c r="F901" s="1">
        <f>IFERROR(__xludf.DUMMYFUNCTION("""COMPUTED_VALUE"""),337766.0)</f>
        <v>337766</v>
      </c>
    </row>
    <row r="902">
      <c r="A902" s="2">
        <f>IFERROR(__xludf.DUMMYFUNCTION("""COMPUTED_VALUE"""),40473.666666666664)</f>
        <v>40473.66667</v>
      </c>
      <c r="B902" s="1">
        <f>IFERROR(__xludf.DUMMYFUNCTION("""COMPUTED_VALUE"""),1.06)</f>
        <v>1.06</v>
      </c>
      <c r="C902" s="1">
        <f>IFERROR(__xludf.DUMMYFUNCTION("""COMPUTED_VALUE"""),1.06)</f>
        <v>1.06</v>
      </c>
      <c r="D902" s="1">
        <f>IFERROR(__xludf.DUMMYFUNCTION("""COMPUTED_VALUE"""),1.05)</f>
        <v>1.05</v>
      </c>
      <c r="E902" s="1">
        <f>IFERROR(__xludf.DUMMYFUNCTION("""COMPUTED_VALUE"""),1.05)</f>
        <v>1.05</v>
      </c>
      <c r="F902" s="1">
        <f>IFERROR(__xludf.DUMMYFUNCTION("""COMPUTED_VALUE"""),135825.0)</f>
        <v>135825</v>
      </c>
    </row>
    <row r="903">
      <c r="A903" s="2">
        <f>IFERROR(__xludf.DUMMYFUNCTION("""COMPUTED_VALUE"""),40476.666666666664)</f>
        <v>40476.66667</v>
      </c>
      <c r="B903" s="1">
        <f>IFERROR(__xludf.DUMMYFUNCTION("""COMPUTED_VALUE"""),1.07)</f>
        <v>1.07</v>
      </c>
      <c r="C903" s="1">
        <f>IFERROR(__xludf.DUMMYFUNCTION("""COMPUTED_VALUE"""),1.08)</f>
        <v>1.08</v>
      </c>
      <c r="D903" s="1">
        <f>IFERROR(__xludf.DUMMYFUNCTION("""COMPUTED_VALUE"""),1.05)</f>
        <v>1.05</v>
      </c>
      <c r="E903" s="1">
        <f>IFERROR(__xludf.DUMMYFUNCTION("""COMPUTED_VALUE"""),1.07)</f>
        <v>1.07</v>
      </c>
      <c r="F903" s="1">
        <f>IFERROR(__xludf.DUMMYFUNCTION("""COMPUTED_VALUE"""),233567.0)</f>
        <v>233567</v>
      </c>
    </row>
    <row r="904">
      <c r="A904" s="2">
        <f>IFERROR(__xludf.DUMMYFUNCTION("""COMPUTED_VALUE"""),40477.666666666664)</f>
        <v>40477.66667</v>
      </c>
      <c r="B904" s="1">
        <f>IFERROR(__xludf.DUMMYFUNCTION("""COMPUTED_VALUE"""),1.06)</f>
        <v>1.06</v>
      </c>
      <c r="C904" s="1">
        <f>IFERROR(__xludf.DUMMYFUNCTION("""COMPUTED_VALUE"""),1.08)</f>
        <v>1.08</v>
      </c>
      <c r="D904" s="1">
        <f>IFERROR(__xludf.DUMMYFUNCTION("""COMPUTED_VALUE"""),1.02)</f>
        <v>1.02</v>
      </c>
      <c r="E904" s="1">
        <f>IFERROR(__xludf.DUMMYFUNCTION("""COMPUTED_VALUE"""),1.03)</f>
        <v>1.03</v>
      </c>
      <c r="F904" s="1">
        <f>IFERROR(__xludf.DUMMYFUNCTION("""COMPUTED_VALUE"""),293735.0)</f>
        <v>293735</v>
      </c>
    </row>
    <row r="905">
      <c r="A905" s="2">
        <f>IFERROR(__xludf.DUMMYFUNCTION("""COMPUTED_VALUE"""),40478.666666666664)</f>
        <v>40478.66667</v>
      </c>
      <c r="B905" s="1">
        <f>IFERROR(__xludf.DUMMYFUNCTION("""COMPUTED_VALUE"""),1.03)</f>
        <v>1.03</v>
      </c>
      <c r="C905" s="1">
        <f>IFERROR(__xludf.DUMMYFUNCTION("""COMPUTED_VALUE"""),1.15)</f>
        <v>1.15</v>
      </c>
      <c r="D905" s="1">
        <f>IFERROR(__xludf.DUMMYFUNCTION("""COMPUTED_VALUE"""),1.03)</f>
        <v>1.03</v>
      </c>
      <c r="E905" s="1">
        <f>IFERROR(__xludf.DUMMYFUNCTION("""COMPUTED_VALUE"""),1.15)</f>
        <v>1.15</v>
      </c>
      <c r="F905" s="1">
        <f>IFERROR(__xludf.DUMMYFUNCTION("""COMPUTED_VALUE"""),390056.0)</f>
        <v>390056</v>
      </c>
    </row>
    <row r="906">
      <c r="A906" s="2">
        <f>IFERROR(__xludf.DUMMYFUNCTION("""COMPUTED_VALUE"""),40479.666666666664)</f>
        <v>40479.66667</v>
      </c>
      <c r="B906" s="1">
        <f>IFERROR(__xludf.DUMMYFUNCTION("""COMPUTED_VALUE"""),1.15)</f>
        <v>1.15</v>
      </c>
      <c r="C906" s="1">
        <f>IFERROR(__xludf.DUMMYFUNCTION("""COMPUTED_VALUE"""),1.16)</f>
        <v>1.16</v>
      </c>
      <c r="D906" s="1">
        <f>IFERROR(__xludf.DUMMYFUNCTION("""COMPUTED_VALUE"""),1.11)</f>
        <v>1.11</v>
      </c>
      <c r="E906" s="1">
        <f>IFERROR(__xludf.DUMMYFUNCTION("""COMPUTED_VALUE"""),1.11)</f>
        <v>1.11</v>
      </c>
      <c r="F906" s="1">
        <f>IFERROR(__xludf.DUMMYFUNCTION("""COMPUTED_VALUE"""),154282.0)</f>
        <v>154282</v>
      </c>
    </row>
    <row r="907">
      <c r="A907" s="2">
        <f>IFERROR(__xludf.DUMMYFUNCTION("""COMPUTED_VALUE"""),40480.666666666664)</f>
        <v>40480.66667</v>
      </c>
      <c r="B907" s="1">
        <f>IFERROR(__xludf.DUMMYFUNCTION("""COMPUTED_VALUE"""),1.11)</f>
        <v>1.11</v>
      </c>
      <c r="C907" s="1">
        <f>IFERROR(__xludf.DUMMYFUNCTION("""COMPUTED_VALUE"""),1.13)</f>
        <v>1.13</v>
      </c>
      <c r="D907" s="1">
        <f>IFERROR(__xludf.DUMMYFUNCTION("""COMPUTED_VALUE"""),1.1)</f>
        <v>1.1</v>
      </c>
      <c r="E907" s="1">
        <f>IFERROR(__xludf.DUMMYFUNCTION("""COMPUTED_VALUE"""),1.11)</f>
        <v>1.11</v>
      </c>
      <c r="F907" s="1">
        <f>IFERROR(__xludf.DUMMYFUNCTION("""COMPUTED_VALUE"""),165288.0)</f>
        <v>165288</v>
      </c>
    </row>
    <row r="908">
      <c r="A908" s="2">
        <f>IFERROR(__xludf.DUMMYFUNCTION("""COMPUTED_VALUE"""),40483.666666666664)</f>
        <v>40483.66667</v>
      </c>
      <c r="B908" s="1">
        <f>IFERROR(__xludf.DUMMYFUNCTION("""COMPUTED_VALUE"""),1.12)</f>
        <v>1.12</v>
      </c>
      <c r="C908" s="1">
        <f>IFERROR(__xludf.DUMMYFUNCTION("""COMPUTED_VALUE"""),1.14)</f>
        <v>1.14</v>
      </c>
      <c r="D908" s="1">
        <f>IFERROR(__xludf.DUMMYFUNCTION("""COMPUTED_VALUE"""),1.09)</f>
        <v>1.09</v>
      </c>
      <c r="E908" s="1">
        <f>IFERROR(__xludf.DUMMYFUNCTION("""COMPUTED_VALUE"""),1.1)</f>
        <v>1.1</v>
      </c>
      <c r="F908" s="1">
        <f>IFERROR(__xludf.DUMMYFUNCTION("""COMPUTED_VALUE"""),168820.0)</f>
        <v>168820</v>
      </c>
    </row>
    <row r="909">
      <c r="A909" s="2">
        <f>IFERROR(__xludf.DUMMYFUNCTION("""COMPUTED_VALUE"""),40484.666666666664)</f>
        <v>40484.66667</v>
      </c>
      <c r="B909" s="1">
        <f>IFERROR(__xludf.DUMMYFUNCTION("""COMPUTED_VALUE"""),1.12)</f>
        <v>1.12</v>
      </c>
      <c r="C909" s="1">
        <f>IFERROR(__xludf.DUMMYFUNCTION("""COMPUTED_VALUE"""),1.15)</f>
        <v>1.15</v>
      </c>
      <c r="D909" s="1">
        <f>IFERROR(__xludf.DUMMYFUNCTION("""COMPUTED_VALUE"""),1.11)</f>
        <v>1.11</v>
      </c>
      <c r="E909" s="1">
        <f>IFERROR(__xludf.DUMMYFUNCTION("""COMPUTED_VALUE"""),1.15)</f>
        <v>1.15</v>
      </c>
      <c r="F909" s="1">
        <f>IFERROR(__xludf.DUMMYFUNCTION("""COMPUTED_VALUE"""),133406.0)</f>
        <v>133406</v>
      </c>
    </row>
    <row r="910">
      <c r="A910" s="2">
        <f>IFERROR(__xludf.DUMMYFUNCTION("""COMPUTED_VALUE"""),40485.666666666664)</f>
        <v>40485.66667</v>
      </c>
      <c r="B910" s="1">
        <f>IFERROR(__xludf.DUMMYFUNCTION("""COMPUTED_VALUE"""),1.15)</f>
        <v>1.15</v>
      </c>
      <c r="C910" s="1">
        <f>IFERROR(__xludf.DUMMYFUNCTION("""COMPUTED_VALUE"""),1.15)</f>
        <v>1.15</v>
      </c>
      <c r="D910" s="1">
        <f>IFERROR(__xludf.DUMMYFUNCTION("""COMPUTED_VALUE"""),1.12)</f>
        <v>1.12</v>
      </c>
      <c r="E910" s="1">
        <f>IFERROR(__xludf.DUMMYFUNCTION("""COMPUTED_VALUE"""),1.15)</f>
        <v>1.15</v>
      </c>
      <c r="F910" s="1">
        <f>IFERROR(__xludf.DUMMYFUNCTION("""COMPUTED_VALUE"""),190947.0)</f>
        <v>190947</v>
      </c>
    </row>
    <row r="911">
      <c r="A911" s="2">
        <f>IFERROR(__xludf.DUMMYFUNCTION("""COMPUTED_VALUE"""),40486.666666666664)</f>
        <v>40486.66667</v>
      </c>
      <c r="B911" s="1">
        <f>IFERROR(__xludf.DUMMYFUNCTION("""COMPUTED_VALUE"""),1.16)</f>
        <v>1.16</v>
      </c>
      <c r="C911" s="1">
        <f>IFERROR(__xludf.DUMMYFUNCTION("""COMPUTED_VALUE"""),1.18)</f>
        <v>1.18</v>
      </c>
      <c r="D911" s="1">
        <f>IFERROR(__xludf.DUMMYFUNCTION("""COMPUTED_VALUE"""),1.12)</f>
        <v>1.12</v>
      </c>
      <c r="E911" s="1">
        <f>IFERROR(__xludf.DUMMYFUNCTION("""COMPUTED_VALUE"""),1.16)</f>
        <v>1.16</v>
      </c>
      <c r="F911" s="1">
        <f>IFERROR(__xludf.DUMMYFUNCTION("""COMPUTED_VALUE"""),301550.0)</f>
        <v>301550</v>
      </c>
    </row>
    <row r="912">
      <c r="A912" s="2">
        <f>IFERROR(__xludf.DUMMYFUNCTION("""COMPUTED_VALUE"""),40487.666666666664)</f>
        <v>40487.66667</v>
      </c>
      <c r="B912" s="1">
        <f>IFERROR(__xludf.DUMMYFUNCTION("""COMPUTED_VALUE"""),1.16)</f>
        <v>1.16</v>
      </c>
      <c r="C912" s="1">
        <f>IFERROR(__xludf.DUMMYFUNCTION("""COMPUTED_VALUE"""),1.16)</f>
        <v>1.16</v>
      </c>
      <c r="D912" s="1">
        <f>IFERROR(__xludf.DUMMYFUNCTION("""COMPUTED_VALUE"""),1.13)</f>
        <v>1.13</v>
      </c>
      <c r="E912" s="1">
        <f>IFERROR(__xludf.DUMMYFUNCTION("""COMPUTED_VALUE"""),1.14)</f>
        <v>1.14</v>
      </c>
      <c r="F912" s="1">
        <f>IFERROR(__xludf.DUMMYFUNCTION("""COMPUTED_VALUE"""),81961.0)</f>
        <v>81961</v>
      </c>
    </row>
    <row r="913">
      <c r="A913" s="2">
        <f>IFERROR(__xludf.DUMMYFUNCTION("""COMPUTED_VALUE"""),40490.666666666664)</f>
        <v>40490.66667</v>
      </c>
      <c r="B913" s="1">
        <f>IFERROR(__xludf.DUMMYFUNCTION("""COMPUTED_VALUE"""),1.14)</f>
        <v>1.14</v>
      </c>
      <c r="C913" s="1">
        <f>IFERROR(__xludf.DUMMYFUNCTION("""COMPUTED_VALUE"""),1.15)</f>
        <v>1.15</v>
      </c>
      <c r="D913" s="1">
        <f>IFERROR(__xludf.DUMMYFUNCTION("""COMPUTED_VALUE"""),1.12)</f>
        <v>1.12</v>
      </c>
      <c r="E913" s="1">
        <f>IFERROR(__xludf.DUMMYFUNCTION("""COMPUTED_VALUE"""),1.13)</f>
        <v>1.13</v>
      </c>
      <c r="F913" s="1">
        <f>IFERROR(__xludf.DUMMYFUNCTION("""COMPUTED_VALUE"""),91853.0)</f>
        <v>91853</v>
      </c>
    </row>
    <row r="914">
      <c r="A914" s="2">
        <f>IFERROR(__xludf.DUMMYFUNCTION("""COMPUTED_VALUE"""),40491.666666666664)</f>
        <v>40491.66667</v>
      </c>
      <c r="B914" s="1">
        <f>IFERROR(__xludf.DUMMYFUNCTION("""COMPUTED_VALUE"""),1.13)</f>
        <v>1.13</v>
      </c>
      <c r="C914" s="1">
        <f>IFERROR(__xludf.DUMMYFUNCTION("""COMPUTED_VALUE"""),1.15)</f>
        <v>1.15</v>
      </c>
      <c r="D914" s="1">
        <f>IFERROR(__xludf.DUMMYFUNCTION("""COMPUTED_VALUE"""),1.1)</f>
        <v>1.1</v>
      </c>
      <c r="E914" s="1">
        <f>IFERROR(__xludf.DUMMYFUNCTION("""COMPUTED_VALUE"""),1.11)</f>
        <v>1.11</v>
      </c>
      <c r="F914" s="1">
        <f>IFERROR(__xludf.DUMMYFUNCTION("""COMPUTED_VALUE"""),108893.0)</f>
        <v>108893</v>
      </c>
    </row>
    <row r="915">
      <c r="A915" s="2">
        <f>IFERROR(__xludf.DUMMYFUNCTION("""COMPUTED_VALUE"""),40492.666666666664)</f>
        <v>40492.66667</v>
      </c>
      <c r="B915" s="1">
        <f>IFERROR(__xludf.DUMMYFUNCTION("""COMPUTED_VALUE"""),1.11)</f>
        <v>1.11</v>
      </c>
      <c r="C915" s="1">
        <f>IFERROR(__xludf.DUMMYFUNCTION("""COMPUTED_VALUE"""),1.12)</f>
        <v>1.12</v>
      </c>
      <c r="D915" s="1">
        <f>IFERROR(__xludf.DUMMYFUNCTION("""COMPUTED_VALUE"""),1.08)</f>
        <v>1.08</v>
      </c>
      <c r="E915" s="1">
        <f>IFERROR(__xludf.DUMMYFUNCTION("""COMPUTED_VALUE"""),1.11)</f>
        <v>1.11</v>
      </c>
      <c r="F915" s="1">
        <f>IFERROR(__xludf.DUMMYFUNCTION("""COMPUTED_VALUE"""),152663.0)</f>
        <v>152663</v>
      </c>
    </row>
    <row r="916">
      <c r="A916" s="2">
        <f>IFERROR(__xludf.DUMMYFUNCTION("""COMPUTED_VALUE"""),40493.666666666664)</f>
        <v>40493.66667</v>
      </c>
      <c r="B916" s="1">
        <f>IFERROR(__xludf.DUMMYFUNCTION("""COMPUTED_VALUE"""),1.1)</f>
        <v>1.1</v>
      </c>
      <c r="C916" s="1">
        <f>IFERROR(__xludf.DUMMYFUNCTION("""COMPUTED_VALUE"""),1.11)</f>
        <v>1.11</v>
      </c>
      <c r="D916" s="1">
        <f>IFERROR(__xludf.DUMMYFUNCTION("""COMPUTED_VALUE"""),1.07)</f>
        <v>1.07</v>
      </c>
      <c r="E916" s="1">
        <f>IFERROR(__xludf.DUMMYFUNCTION("""COMPUTED_VALUE"""),1.09)</f>
        <v>1.09</v>
      </c>
      <c r="F916" s="1">
        <f>IFERROR(__xludf.DUMMYFUNCTION("""COMPUTED_VALUE"""),155745.0)</f>
        <v>155745</v>
      </c>
    </row>
    <row r="917">
      <c r="A917" s="2">
        <f>IFERROR(__xludf.DUMMYFUNCTION("""COMPUTED_VALUE"""),40494.666666666664)</f>
        <v>40494.66667</v>
      </c>
      <c r="B917" s="1">
        <f>IFERROR(__xludf.DUMMYFUNCTION("""COMPUTED_VALUE"""),1.07)</f>
        <v>1.07</v>
      </c>
      <c r="C917" s="1">
        <f>IFERROR(__xludf.DUMMYFUNCTION("""COMPUTED_VALUE"""),1.1)</f>
        <v>1.1</v>
      </c>
      <c r="D917" s="1">
        <f>IFERROR(__xludf.DUMMYFUNCTION("""COMPUTED_VALUE"""),1.06)</f>
        <v>1.06</v>
      </c>
      <c r="E917" s="1">
        <f>IFERROR(__xludf.DUMMYFUNCTION("""COMPUTED_VALUE"""),1.06)</f>
        <v>1.06</v>
      </c>
      <c r="F917" s="1">
        <f>IFERROR(__xludf.DUMMYFUNCTION("""COMPUTED_VALUE"""),200158.0)</f>
        <v>200158</v>
      </c>
    </row>
    <row r="918">
      <c r="A918" s="2">
        <f>IFERROR(__xludf.DUMMYFUNCTION("""COMPUTED_VALUE"""),40497.666666666664)</f>
        <v>40497.66667</v>
      </c>
      <c r="B918" s="1">
        <f>IFERROR(__xludf.DUMMYFUNCTION("""COMPUTED_VALUE"""),1.07)</f>
        <v>1.07</v>
      </c>
      <c r="C918" s="1">
        <f>IFERROR(__xludf.DUMMYFUNCTION("""COMPUTED_VALUE"""),1.09)</f>
        <v>1.09</v>
      </c>
      <c r="D918" s="1">
        <f>IFERROR(__xludf.DUMMYFUNCTION("""COMPUTED_VALUE"""),1.05)</f>
        <v>1.05</v>
      </c>
      <c r="E918" s="1">
        <f>IFERROR(__xludf.DUMMYFUNCTION("""COMPUTED_VALUE"""),1.05)</f>
        <v>1.05</v>
      </c>
      <c r="F918" s="1">
        <f>IFERROR(__xludf.DUMMYFUNCTION("""COMPUTED_VALUE"""),150258.0)</f>
        <v>150258</v>
      </c>
    </row>
    <row r="919">
      <c r="A919" s="2">
        <f>IFERROR(__xludf.DUMMYFUNCTION("""COMPUTED_VALUE"""),40498.666666666664)</f>
        <v>40498.66667</v>
      </c>
      <c r="B919" s="1">
        <f>IFERROR(__xludf.DUMMYFUNCTION("""COMPUTED_VALUE"""),1.04)</f>
        <v>1.04</v>
      </c>
      <c r="C919" s="1">
        <f>IFERROR(__xludf.DUMMYFUNCTION("""COMPUTED_VALUE"""),1.05)</f>
        <v>1.05</v>
      </c>
      <c r="D919" s="1">
        <f>IFERROR(__xludf.DUMMYFUNCTION("""COMPUTED_VALUE"""),1.01)</f>
        <v>1.01</v>
      </c>
      <c r="E919" s="1">
        <f>IFERROR(__xludf.DUMMYFUNCTION("""COMPUTED_VALUE"""),1.02)</f>
        <v>1.02</v>
      </c>
      <c r="F919" s="1">
        <f>IFERROR(__xludf.DUMMYFUNCTION("""COMPUTED_VALUE"""),165295.0)</f>
        <v>165295</v>
      </c>
    </row>
    <row r="920">
      <c r="A920" s="2">
        <f>IFERROR(__xludf.DUMMYFUNCTION("""COMPUTED_VALUE"""),40499.666666666664)</f>
        <v>40499.66667</v>
      </c>
      <c r="B920" s="1">
        <f>IFERROR(__xludf.DUMMYFUNCTION("""COMPUTED_VALUE"""),1.02)</f>
        <v>1.02</v>
      </c>
      <c r="C920" s="1">
        <f>IFERROR(__xludf.DUMMYFUNCTION("""COMPUTED_VALUE"""),1.05)</f>
        <v>1.05</v>
      </c>
      <c r="D920" s="1">
        <f>IFERROR(__xludf.DUMMYFUNCTION("""COMPUTED_VALUE"""),1.01)</f>
        <v>1.01</v>
      </c>
      <c r="E920" s="1">
        <f>IFERROR(__xludf.DUMMYFUNCTION("""COMPUTED_VALUE"""),1.03)</f>
        <v>1.03</v>
      </c>
      <c r="F920" s="1">
        <f>IFERROR(__xludf.DUMMYFUNCTION("""COMPUTED_VALUE"""),273685.0)</f>
        <v>273685</v>
      </c>
    </row>
    <row r="921">
      <c r="A921" s="2">
        <f>IFERROR(__xludf.DUMMYFUNCTION("""COMPUTED_VALUE"""),40500.666666666664)</f>
        <v>40500.66667</v>
      </c>
      <c r="B921" s="1">
        <f>IFERROR(__xludf.DUMMYFUNCTION("""COMPUTED_VALUE"""),1.04)</f>
        <v>1.04</v>
      </c>
      <c r="C921" s="1">
        <f>IFERROR(__xludf.DUMMYFUNCTION("""COMPUTED_VALUE"""),1.07)</f>
        <v>1.07</v>
      </c>
      <c r="D921" s="1">
        <f>IFERROR(__xludf.DUMMYFUNCTION("""COMPUTED_VALUE"""),1.04)</f>
        <v>1.04</v>
      </c>
      <c r="E921" s="1">
        <f>IFERROR(__xludf.DUMMYFUNCTION("""COMPUTED_VALUE"""),1.05)</f>
        <v>1.05</v>
      </c>
      <c r="F921" s="1">
        <f>IFERROR(__xludf.DUMMYFUNCTION("""COMPUTED_VALUE"""),130273.0)</f>
        <v>130273</v>
      </c>
    </row>
    <row r="922">
      <c r="A922" s="2">
        <f>IFERROR(__xludf.DUMMYFUNCTION("""COMPUTED_VALUE"""),40501.666666666664)</f>
        <v>40501.66667</v>
      </c>
      <c r="B922" s="1">
        <f>IFERROR(__xludf.DUMMYFUNCTION("""COMPUTED_VALUE"""),1.05)</f>
        <v>1.05</v>
      </c>
      <c r="C922" s="1">
        <f>IFERROR(__xludf.DUMMYFUNCTION("""COMPUTED_VALUE"""),1.06)</f>
        <v>1.06</v>
      </c>
      <c r="D922" s="1">
        <f>IFERROR(__xludf.DUMMYFUNCTION("""COMPUTED_VALUE"""),1.02)</f>
        <v>1.02</v>
      </c>
      <c r="E922" s="1">
        <f>IFERROR(__xludf.DUMMYFUNCTION("""COMPUTED_VALUE"""),1.03)</f>
        <v>1.03</v>
      </c>
      <c r="F922" s="1">
        <f>IFERROR(__xludf.DUMMYFUNCTION("""COMPUTED_VALUE"""),150822.0)</f>
        <v>150822</v>
      </c>
    </row>
    <row r="923">
      <c r="A923" s="2">
        <f>IFERROR(__xludf.DUMMYFUNCTION("""COMPUTED_VALUE"""),40504.666666666664)</f>
        <v>40504.66667</v>
      </c>
      <c r="B923" s="1">
        <f>IFERROR(__xludf.DUMMYFUNCTION("""COMPUTED_VALUE"""),1.02)</f>
        <v>1.02</v>
      </c>
      <c r="C923" s="1">
        <f>IFERROR(__xludf.DUMMYFUNCTION("""COMPUTED_VALUE"""),1.04)</f>
        <v>1.04</v>
      </c>
      <c r="D923" s="1">
        <f>IFERROR(__xludf.DUMMYFUNCTION("""COMPUTED_VALUE"""),1.02)</f>
        <v>1.02</v>
      </c>
      <c r="E923" s="1">
        <f>IFERROR(__xludf.DUMMYFUNCTION("""COMPUTED_VALUE"""),1.04)</f>
        <v>1.04</v>
      </c>
      <c r="F923" s="1">
        <f>IFERROR(__xludf.DUMMYFUNCTION("""COMPUTED_VALUE"""),142183.0)</f>
        <v>142183</v>
      </c>
    </row>
    <row r="924">
      <c r="A924" s="2">
        <f>IFERROR(__xludf.DUMMYFUNCTION("""COMPUTED_VALUE"""),40505.666666666664)</f>
        <v>40505.66667</v>
      </c>
      <c r="B924" s="1">
        <f>IFERROR(__xludf.DUMMYFUNCTION("""COMPUTED_VALUE"""),1.03)</f>
        <v>1.03</v>
      </c>
      <c r="C924" s="1">
        <f>IFERROR(__xludf.DUMMYFUNCTION("""COMPUTED_VALUE"""),1.04)</f>
        <v>1.04</v>
      </c>
      <c r="D924" s="1">
        <f>IFERROR(__xludf.DUMMYFUNCTION("""COMPUTED_VALUE"""),1.02)</f>
        <v>1.02</v>
      </c>
      <c r="E924" s="1">
        <f>IFERROR(__xludf.DUMMYFUNCTION("""COMPUTED_VALUE"""),1.04)</f>
        <v>1.04</v>
      </c>
      <c r="F924" s="1">
        <f>IFERROR(__xludf.DUMMYFUNCTION("""COMPUTED_VALUE"""),115766.0)</f>
        <v>115766</v>
      </c>
    </row>
    <row r="925">
      <c r="A925" s="2">
        <f>IFERROR(__xludf.DUMMYFUNCTION("""COMPUTED_VALUE"""),40506.666666666664)</f>
        <v>40506.66667</v>
      </c>
      <c r="B925" s="1">
        <f>IFERROR(__xludf.DUMMYFUNCTION("""COMPUTED_VALUE"""),1.05)</f>
        <v>1.05</v>
      </c>
      <c r="C925" s="1">
        <f>IFERROR(__xludf.DUMMYFUNCTION("""COMPUTED_VALUE"""),1.07)</f>
        <v>1.07</v>
      </c>
      <c r="D925" s="1">
        <f>IFERROR(__xludf.DUMMYFUNCTION("""COMPUTED_VALUE"""),1.04)</f>
        <v>1.04</v>
      </c>
      <c r="E925" s="1">
        <f>IFERROR(__xludf.DUMMYFUNCTION("""COMPUTED_VALUE"""),1.07)</f>
        <v>1.07</v>
      </c>
      <c r="F925" s="1">
        <f>IFERROR(__xludf.DUMMYFUNCTION("""COMPUTED_VALUE"""),112932.0)</f>
        <v>112932</v>
      </c>
    </row>
    <row r="926">
      <c r="A926" s="2">
        <f>IFERROR(__xludf.DUMMYFUNCTION("""COMPUTED_VALUE"""),40508.666666666664)</f>
        <v>40508.66667</v>
      </c>
      <c r="B926" s="1">
        <f>IFERROR(__xludf.DUMMYFUNCTION("""COMPUTED_VALUE"""),1.06)</f>
        <v>1.06</v>
      </c>
      <c r="C926" s="1">
        <f>IFERROR(__xludf.DUMMYFUNCTION("""COMPUTED_VALUE"""),1.06)</f>
        <v>1.06</v>
      </c>
      <c r="D926" s="1">
        <f>IFERROR(__xludf.DUMMYFUNCTION("""COMPUTED_VALUE"""),1.04)</f>
        <v>1.04</v>
      </c>
      <c r="E926" s="1">
        <f>IFERROR(__xludf.DUMMYFUNCTION("""COMPUTED_VALUE"""),1.05)</f>
        <v>1.05</v>
      </c>
      <c r="F926" s="1">
        <f>IFERROR(__xludf.DUMMYFUNCTION("""COMPUTED_VALUE"""),25379.0)</f>
        <v>25379</v>
      </c>
    </row>
    <row r="927">
      <c r="A927" s="2">
        <f>IFERROR(__xludf.DUMMYFUNCTION("""COMPUTED_VALUE"""),40511.666666666664)</f>
        <v>40511.66667</v>
      </c>
      <c r="B927" s="1">
        <f>IFERROR(__xludf.DUMMYFUNCTION("""COMPUTED_VALUE"""),1.04)</f>
        <v>1.04</v>
      </c>
      <c r="C927" s="1">
        <f>IFERROR(__xludf.DUMMYFUNCTION("""COMPUTED_VALUE"""),1.04)</f>
        <v>1.04</v>
      </c>
      <c r="D927" s="1">
        <f>IFERROR(__xludf.DUMMYFUNCTION("""COMPUTED_VALUE"""),1.01)</f>
        <v>1.01</v>
      </c>
      <c r="E927" s="1">
        <f>IFERROR(__xludf.DUMMYFUNCTION("""COMPUTED_VALUE"""),1.03)</f>
        <v>1.03</v>
      </c>
      <c r="F927" s="1">
        <f>IFERROR(__xludf.DUMMYFUNCTION("""COMPUTED_VALUE"""),146617.0)</f>
        <v>146617</v>
      </c>
    </row>
    <row r="928">
      <c r="A928" s="2">
        <f>IFERROR(__xludf.DUMMYFUNCTION("""COMPUTED_VALUE"""),40512.666666666664)</f>
        <v>40512.66667</v>
      </c>
      <c r="B928" s="1">
        <f>IFERROR(__xludf.DUMMYFUNCTION("""COMPUTED_VALUE"""),1.02)</f>
        <v>1.02</v>
      </c>
      <c r="C928" s="1">
        <f>IFERROR(__xludf.DUMMYFUNCTION("""COMPUTED_VALUE"""),1.04)</f>
        <v>1.04</v>
      </c>
      <c r="D928" s="1">
        <f>IFERROR(__xludf.DUMMYFUNCTION("""COMPUTED_VALUE"""),1.01)</f>
        <v>1.01</v>
      </c>
      <c r="E928" s="1">
        <f>IFERROR(__xludf.DUMMYFUNCTION("""COMPUTED_VALUE"""),1.03)</f>
        <v>1.03</v>
      </c>
      <c r="F928" s="1">
        <f>IFERROR(__xludf.DUMMYFUNCTION("""COMPUTED_VALUE"""),141902.0)</f>
        <v>141902</v>
      </c>
    </row>
    <row r="929">
      <c r="A929" s="2">
        <f>IFERROR(__xludf.DUMMYFUNCTION("""COMPUTED_VALUE"""),40513.666666666664)</f>
        <v>40513.66667</v>
      </c>
      <c r="B929" s="1">
        <f>IFERROR(__xludf.DUMMYFUNCTION("""COMPUTED_VALUE"""),1.05)</f>
        <v>1.05</v>
      </c>
      <c r="C929" s="1">
        <f>IFERROR(__xludf.DUMMYFUNCTION("""COMPUTED_VALUE"""),1.08)</f>
        <v>1.08</v>
      </c>
      <c r="D929" s="1">
        <f>IFERROR(__xludf.DUMMYFUNCTION("""COMPUTED_VALUE"""),1.05)</f>
        <v>1.05</v>
      </c>
      <c r="E929" s="1">
        <f>IFERROR(__xludf.DUMMYFUNCTION("""COMPUTED_VALUE"""),1.06)</f>
        <v>1.06</v>
      </c>
      <c r="F929" s="1">
        <f>IFERROR(__xludf.DUMMYFUNCTION("""COMPUTED_VALUE"""),118080.0)</f>
        <v>118080</v>
      </c>
    </row>
    <row r="930">
      <c r="A930" s="2">
        <f>IFERROR(__xludf.DUMMYFUNCTION("""COMPUTED_VALUE"""),40514.666666666664)</f>
        <v>40514.66667</v>
      </c>
      <c r="B930" s="1">
        <f>IFERROR(__xludf.DUMMYFUNCTION("""COMPUTED_VALUE"""),1.06)</f>
        <v>1.06</v>
      </c>
      <c r="C930" s="1">
        <f>IFERROR(__xludf.DUMMYFUNCTION("""COMPUTED_VALUE"""),1.09)</f>
        <v>1.09</v>
      </c>
      <c r="D930" s="1">
        <f>IFERROR(__xludf.DUMMYFUNCTION("""COMPUTED_VALUE"""),1.06)</f>
        <v>1.06</v>
      </c>
      <c r="E930" s="1">
        <f>IFERROR(__xludf.DUMMYFUNCTION("""COMPUTED_VALUE"""),1.08)</f>
        <v>1.08</v>
      </c>
      <c r="F930" s="1">
        <f>IFERROR(__xludf.DUMMYFUNCTION("""COMPUTED_VALUE"""),93201.0)</f>
        <v>93201</v>
      </c>
    </row>
    <row r="931">
      <c r="A931" s="2">
        <f>IFERROR(__xludf.DUMMYFUNCTION("""COMPUTED_VALUE"""),40515.666666666664)</f>
        <v>40515.66667</v>
      </c>
      <c r="B931" s="1">
        <f>IFERROR(__xludf.DUMMYFUNCTION("""COMPUTED_VALUE"""),1.08)</f>
        <v>1.08</v>
      </c>
      <c r="C931" s="1">
        <f>IFERROR(__xludf.DUMMYFUNCTION("""COMPUTED_VALUE"""),1.11)</f>
        <v>1.11</v>
      </c>
      <c r="D931" s="1">
        <f>IFERROR(__xludf.DUMMYFUNCTION("""COMPUTED_VALUE"""),1.08)</f>
        <v>1.08</v>
      </c>
      <c r="E931" s="1">
        <f>IFERROR(__xludf.DUMMYFUNCTION("""COMPUTED_VALUE"""),1.11)</f>
        <v>1.11</v>
      </c>
      <c r="F931" s="1">
        <f>IFERROR(__xludf.DUMMYFUNCTION("""COMPUTED_VALUE"""),92329.0)</f>
        <v>92329</v>
      </c>
    </row>
    <row r="932">
      <c r="A932" s="2">
        <f>IFERROR(__xludf.DUMMYFUNCTION("""COMPUTED_VALUE"""),40518.666666666664)</f>
        <v>40518.66667</v>
      </c>
      <c r="B932" s="1">
        <f>IFERROR(__xludf.DUMMYFUNCTION("""COMPUTED_VALUE"""),1.1)</f>
        <v>1.1</v>
      </c>
      <c r="C932" s="1">
        <f>IFERROR(__xludf.DUMMYFUNCTION("""COMPUTED_VALUE"""),1.12)</f>
        <v>1.12</v>
      </c>
      <c r="D932" s="1">
        <f>IFERROR(__xludf.DUMMYFUNCTION("""COMPUTED_VALUE"""),1.09)</f>
        <v>1.09</v>
      </c>
      <c r="E932" s="1">
        <f>IFERROR(__xludf.DUMMYFUNCTION("""COMPUTED_VALUE"""),1.1)</f>
        <v>1.1</v>
      </c>
      <c r="F932" s="1">
        <f>IFERROR(__xludf.DUMMYFUNCTION("""COMPUTED_VALUE"""),102291.0)</f>
        <v>102291</v>
      </c>
    </row>
    <row r="933">
      <c r="A933" s="2">
        <f>IFERROR(__xludf.DUMMYFUNCTION("""COMPUTED_VALUE"""),40519.666666666664)</f>
        <v>40519.66667</v>
      </c>
      <c r="B933" s="1">
        <f>IFERROR(__xludf.DUMMYFUNCTION("""COMPUTED_VALUE"""),1.11)</f>
        <v>1.11</v>
      </c>
      <c r="C933" s="1">
        <f>IFERROR(__xludf.DUMMYFUNCTION("""COMPUTED_VALUE"""),1.19)</f>
        <v>1.19</v>
      </c>
      <c r="D933" s="1">
        <f>IFERROR(__xludf.DUMMYFUNCTION("""COMPUTED_VALUE"""),1.11)</f>
        <v>1.11</v>
      </c>
      <c r="E933" s="1">
        <f>IFERROR(__xludf.DUMMYFUNCTION("""COMPUTED_VALUE"""),1.18)</f>
        <v>1.18</v>
      </c>
      <c r="F933" s="1">
        <f>IFERROR(__xludf.DUMMYFUNCTION("""COMPUTED_VALUE"""),370193.0)</f>
        <v>370193</v>
      </c>
    </row>
    <row r="934">
      <c r="A934" s="2">
        <f>IFERROR(__xludf.DUMMYFUNCTION("""COMPUTED_VALUE"""),40520.666666666664)</f>
        <v>40520.66667</v>
      </c>
      <c r="B934" s="1">
        <f>IFERROR(__xludf.DUMMYFUNCTION("""COMPUTED_VALUE"""),1.18)</f>
        <v>1.18</v>
      </c>
      <c r="C934" s="1">
        <f>IFERROR(__xludf.DUMMYFUNCTION("""COMPUTED_VALUE"""),1.19)</f>
        <v>1.19</v>
      </c>
      <c r="D934" s="1">
        <f>IFERROR(__xludf.DUMMYFUNCTION("""COMPUTED_VALUE"""),1.16)</f>
        <v>1.16</v>
      </c>
      <c r="E934" s="1">
        <f>IFERROR(__xludf.DUMMYFUNCTION("""COMPUTED_VALUE"""),1.18)</f>
        <v>1.18</v>
      </c>
      <c r="F934" s="1">
        <f>IFERROR(__xludf.DUMMYFUNCTION("""COMPUTED_VALUE"""),142853.0)</f>
        <v>142853</v>
      </c>
    </row>
    <row r="935">
      <c r="A935" s="2">
        <f>IFERROR(__xludf.DUMMYFUNCTION("""COMPUTED_VALUE"""),40521.666666666664)</f>
        <v>40521.66667</v>
      </c>
      <c r="B935" s="1">
        <f>IFERROR(__xludf.DUMMYFUNCTION("""COMPUTED_VALUE"""),1.19)</f>
        <v>1.19</v>
      </c>
      <c r="C935" s="1">
        <f>IFERROR(__xludf.DUMMYFUNCTION("""COMPUTED_VALUE"""),1.19)</f>
        <v>1.19</v>
      </c>
      <c r="D935" s="1">
        <f>IFERROR(__xludf.DUMMYFUNCTION("""COMPUTED_VALUE"""),1.16)</f>
        <v>1.16</v>
      </c>
      <c r="E935" s="1">
        <f>IFERROR(__xludf.DUMMYFUNCTION("""COMPUTED_VALUE"""),1.18)</f>
        <v>1.18</v>
      </c>
      <c r="F935" s="1">
        <f>IFERROR(__xludf.DUMMYFUNCTION("""COMPUTED_VALUE"""),122871.0)</f>
        <v>122871</v>
      </c>
    </row>
    <row r="936">
      <c r="A936" s="2">
        <f>IFERROR(__xludf.DUMMYFUNCTION("""COMPUTED_VALUE"""),40522.666666666664)</f>
        <v>40522.66667</v>
      </c>
      <c r="B936" s="1">
        <f>IFERROR(__xludf.DUMMYFUNCTION("""COMPUTED_VALUE"""),1.19)</f>
        <v>1.19</v>
      </c>
      <c r="C936" s="1">
        <f>IFERROR(__xludf.DUMMYFUNCTION("""COMPUTED_VALUE"""),1.21)</f>
        <v>1.21</v>
      </c>
      <c r="D936" s="1">
        <f>IFERROR(__xludf.DUMMYFUNCTION("""COMPUTED_VALUE"""),1.17)</f>
        <v>1.17</v>
      </c>
      <c r="E936" s="1">
        <f>IFERROR(__xludf.DUMMYFUNCTION("""COMPUTED_VALUE"""),1.2)</f>
        <v>1.2</v>
      </c>
      <c r="F936" s="1">
        <f>IFERROR(__xludf.DUMMYFUNCTION("""COMPUTED_VALUE"""),124657.0)</f>
        <v>124657</v>
      </c>
    </row>
    <row r="937">
      <c r="A937" s="2">
        <f>IFERROR(__xludf.DUMMYFUNCTION("""COMPUTED_VALUE"""),40525.666666666664)</f>
        <v>40525.66667</v>
      </c>
      <c r="B937" s="1">
        <f>IFERROR(__xludf.DUMMYFUNCTION("""COMPUTED_VALUE"""),1.21)</f>
        <v>1.21</v>
      </c>
      <c r="C937" s="1">
        <f>IFERROR(__xludf.DUMMYFUNCTION("""COMPUTED_VALUE"""),1.22)</f>
        <v>1.22</v>
      </c>
      <c r="D937" s="1">
        <f>IFERROR(__xludf.DUMMYFUNCTION("""COMPUTED_VALUE"""),1.19)</f>
        <v>1.19</v>
      </c>
      <c r="E937" s="1">
        <f>IFERROR(__xludf.DUMMYFUNCTION("""COMPUTED_VALUE"""),1.19)</f>
        <v>1.19</v>
      </c>
      <c r="F937" s="1">
        <f>IFERROR(__xludf.DUMMYFUNCTION("""COMPUTED_VALUE"""),116642.0)</f>
        <v>116642</v>
      </c>
    </row>
    <row r="938">
      <c r="A938" s="2">
        <f>IFERROR(__xludf.DUMMYFUNCTION("""COMPUTED_VALUE"""),40526.666666666664)</f>
        <v>40526.66667</v>
      </c>
      <c r="B938" s="1">
        <f>IFERROR(__xludf.DUMMYFUNCTION("""COMPUTED_VALUE"""),1.2)</f>
        <v>1.2</v>
      </c>
      <c r="C938" s="1">
        <f>IFERROR(__xludf.DUMMYFUNCTION("""COMPUTED_VALUE"""),1.21)</f>
        <v>1.21</v>
      </c>
      <c r="D938" s="1">
        <f>IFERROR(__xludf.DUMMYFUNCTION("""COMPUTED_VALUE"""),1.16)</f>
        <v>1.16</v>
      </c>
      <c r="E938" s="1">
        <f>IFERROR(__xludf.DUMMYFUNCTION("""COMPUTED_VALUE"""),1.18)</f>
        <v>1.18</v>
      </c>
      <c r="F938" s="1">
        <f>IFERROR(__xludf.DUMMYFUNCTION("""COMPUTED_VALUE"""),154609.0)</f>
        <v>154609</v>
      </c>
    </row>
    <row r="939">
      <c r="A939" s="2">
        <f>IFERROR(__xludf.DUMMYFUNCTION("""COMPUTED_VALUE"""),40527.666666666664)</f>
        <v>40527.66667</v>
      </c>
      <c r="B939" s="1">
        <f>IFERROR(__xludf.DUMMYFUNCTION("""COMPUTED_VALUE"""),1.18)</f>
        <v>1.18</v>
      </c>
      <c r="C939" s="1">
        <f>IFERROR(__xludf.DUMMYFUNCTION("""COMPUTED_VALUE"""),1.19)</f>
        <v>1.19</v>
      </c>
      <c r="D939" s="1">
        <f>IFERROR(__xludf.DUMMYFUNCTION("""COMPUTED_VALUE"""),1.16)</f>
        <v>1.16</v>
      </c>
      <c r="E939" s="1">
        <f>IFERROR(__xludf.DUMMYFUNCTION("""COMPUTED_VALUE"""),1.17)</f>
        <v>1.17</v>
      </c>
      <c r="F939" s="1">
        <f>IFERROR(__xludf.DUMMYFUNCTION("""COMPUTED_VALUE"""),162028.0)</f>
        <v>162028</v>
      </c>
    </row>
    <row r="940">
      <c r="A940" s="2">
        <f>IFERROR(__xludf.DUMMYFUNCTION("""COMPUTED_VALUE"""),40528.666666666664)</f>
        <v>40528.66667</v>
      </c>
      <c r="B940" s="1">
        <f>IFERROR(__xludf.DUMMYFUNCTION("""COMPUTED_VALUE"""),1.17)</f>
        <v>1.17</v>
      </c>
      <c r="C940" s="1">
        <f>IFERROR(__xludf.DUMMYFUNCTION("""COMPUTED_VALUE"""),1.18)</f>
        <v>1.18</v>
      </c>
      <c r="D940" s="1">
        <f>IFERROR(__xludf.DUMMYFUNCTION("""COMPUTED_VALUE"""),1.16)</f>
        <v>1.16</v>
      </c>
      <c r="E940" s="1">
        <f>IFERROR(__xludf.DUMMYFUNCTION("""COMPUTED_VALUE"""),1.16)</f>
        <v>1.16</v>
      </c>
      <c r="F940" s="1">
        <f>IFERROR(__xludf.DUMMYFUNCTION("""COMPUTED_VALUE"""),129632.0)</f>
        <v>129632</v>
      </c>
    </row>
    <row r="941">
      <c r="A941" s="2">
        <f>IFERROR(__xludf.DUMMYFUNCTION("""COMPUTED_VALUE"""),40529.666666666664)</f>
        <v>40529.66667</v>
      </c>
      <c r="B941" s="1">
        <f>IFERROR(__xludf.DUMMYFUNCTION("""COMPUTED_VALUE"""),1.16)</f>
        <v>1.16</v>
      </c>
      <c r="C941" s="1">
        <f>IFERROR(__xludf.DUMMYFUNCTION("""COMPUTED_VALUE"""),1.17)</f>
        <v>1.17</v>
      </c>
      <c r="D941" s="1">
        <f>IFERROR(__xludf.DUMMYFUNCTION("""COMPUTED_VALUE"""),1.14)</f>
        <v>1.14</v>
      </c>
      <c r="E941" s="1">
        <f>IFERROR(__xludf.DUMMYFUNCTION("""COMPUTED_VALUE"""),1.15)</f>
        <v>1.15</v>
      </c>
      <c r="F941" s="1">
        <f>IFERROR(__xludf.DUMMYFUNCTION("""COMPUTED_VALUE"""),347692.0)</f>
        <v>347692</v>
      </c>
    </row>
    <row r="942">
      <c r="A942" s="2">
        <f>IFERROR(__xludf.DUMMYFUNCTION("""COMPUTED_VALUE"""),40532.666666666664)</f>
        <v>40532.66667</v>
      </c>
      <c r="B942" s="1">
        <f>IFERROR(__xludf.DUMMYFUNCTION("""COMPUTED_VALUE"""),1.15)</f>
        <v>1.15</v>
      </c>
      <c r="C942" s="1">
        <f>IFERROR(__xludf.DUMMYFUNCTION("""COMPUTED_VALUE"""),1.16)</f>
        <v>1.16</v>
      </c>
      <c r="D942" s="1">
        <f>IFERROR(__xludf.DUMMYFUNCTION("""COMPUTED_VALUE"""),1.13)</f>
        <v>1.13</v>
      </c>
      <c r="E942" s="1">
        <f>IFERROR(__xludf.DUMMYFUNCTION("""COMPUTED_VALUE"""),1.14)</f>
        <v>1.14</v>
      </c>
      <c r="F942" s="1">
        <f>IFERROR(__xludf.DUMMYFUNCTION("""COMPUTED_VALUE"""),138827.0)</f>
        <v>138827</v>
      </c>
    </row>
    <row r="943">
      <c r="A943" s="2">
        <f>IFERROR(__xludf.DUMMYFUNCTION("""COMPUTED_VALUE"""),40533.666666666664)</f>
        <v>40533.66667</v>
      </c>
      <c r="B943" s="1">
        <f>IFERROR(__xludf.DUMMYFUNCTION("""COMPUTED_VALUE"""),1.15)</f>
        <v>1.15</v>
      </c>
      <c r="C943" s="1">
        <f>IFERROR(__xludf.DUMMYFUNCTION("""COMPUTED_VALUE"""),1.18)</f>
        <v>1.18</v>
      </c>
      <c r="D943" s="1">
        <f>IFERROR(__xludf.DUMMYFUNCTION("""COMPUTED_VALUE"""),1.14)</f>
        <v>1.14</v>
      </c>
      <c r="E943" s="1">
        <f>IFERROR(__xludf.DUMMYFUNCTION("""COMPUTED_VALUE"""),1.18)</f>
        <v>1.18</v>
      </c>
      <c r="F943" s="1">
        <f>IFERROR(__xludf.DUMMYFUNCTION("""COMPUTED_VALUE"""),174093.0)</f>
        <v>174093</v>
      </c>
    </row>
    <row r="944">
      <c r="A944" s="2">
        <f>IFERROR(__xludf.DUMMYFUNCTION("""COMPUTED_VALUE"""),40534.666666666664)</f>
        <v>40534.66667</v>
      </c>
      <c r="B944" s="1">
        <f>IFERROR(__xludf.DUMMYFUNCTION("""COMPUTED_VALUE"""),1.18)</f>
        <v>1.18</v>
      </c>
      <c r="C944" s="1">
        <f>IFERROR(__xludf.DUMMYFUNCTION("""COMPUTED_VALUE"""),1.19)</f>
        <v>1.19</v>
      </c>
      <c r="D944" s="1">
        <f>IFERROR(__xludf.DUMMYFUNCTION("""COMPUTED_VALUE"""),1.17)</f>
        <v>1.17</v>
      </c>
      <c r="E944" s="1">
        <f>IFERROR(__xludf.DUMMYFUNCTION("""COMPUTED_VALUE"""),1.18)</f>
        <v>1.18</v>
      </c>
      <c r="F944" s="1">
        <f>IFERROR(__xludf.DUMMYFUNCTION("""COMPUTED_VALUE"""),43052.0)</f>
        <v>43052</v>
      </c>
    </row>
    <row r="945">
      <c r="A945" s="2">
        <f>IFERROR(__xludf.DUMMYFUNCTION("""COMPUTED_VALUE"""),40535.666666666664)</f>
        <v>40535.66667</v>
      </c>
      <c r="B945" s="1">
        <f>IFERROR(__xludf.DUMMYFUNCTION("""COMPUTED_VALUE"""),1.18)</f>
        <v>1.18</v>
      </c>
      <c r="C945" s="1">
        <f>IFERROR(__xludf.DUMMYFUNCTION("""COMPUTED_VALUE"""),1.18)</f>
        <v>1.18</v>
      </c>
      <c r="D945" s="1">
        <f>IFERROR(__xludf.DUMMYFUNCTION("""COMPUTED_VALUE"""),1.14)</f>
        <v>1.14</v>
      </c>
      <c r="E945" s="1">
        <f>IFERROR(__xludf.DUMMYFUNCTION("""COMPUTED_VALUE"""),1.15)</f>
        <v>1.15</v>
      </c>
      <c r="F945" s="1">
        <f>IFERROR(__xludf.DUMMYFUNCTION("""COMPUTED_VALUE"""),116813.0)</f>
        <v>116813</v>
      </c>
    </row>
    <row r="946">
      <c r="A946" s="2">
        <f>IFERROR(__xludf.DUMMYFUNCTION("""COMPUTED_VALUE"""),40539.666666666664)</f>
        <v>40539.66667</v>
      </c>
      <c r="B946" s="1">
        <f>IFERROR(__xludf.DUMMYFUNCTION("""COMPUTED_VALUE"""),1.14)</f>
        <v>1.14</v>
      </c>
      <c r="C946" s="1">
        <f>IFERROR(__xludf.DUMMYFUNCTION("""COMPUTED_VALUE"""),1.15)</f>
        <v>1.15</v>
      </c>
      <c r="D946" s="1">
        <f>IFERROR(__xludf.DUMMYFUNCTION("""COMPUTED_VALUE"""),1.13)</f>
        <v>1.13</v>
      </c>
      <c r="E946" s="1">
        <f>IFERROR(__xludf.DUMMYFUNCTION("""COMPUTED_VALUE"""),1.13)</f>
        <v>1.13</v>
      </c>
      <c r="F946" s="1">
        <f>IFERROR(__xludf.DUMMYFUNCTION("""COMPUTED_VALUE"""),96875.0)</f>
        <v>96875</v>
      </c>
    </row>
    <row r="947">
      <c r="A947" s="2">
        <f>IFERROR(__xludf.DUMMYFUNCTION("""COMPUTED_VALUE"""),40540.666666666664)</f>
        <v>40540.66667</v>
      </c>
      <c r="B947" s="1">
        <f>IFERROR(__xludf.DUMMYFUNCTION("""COMPUTED_VALUE"""),1.13)</f>
        <v>1.13</v>
      </c>
      <c r="C947" s="1">
        <f>IFERROR(__xludf.DUMMYFUNCTION("""COMPUTED_VALUE"""),1.14)</f>
        <v>1.14</v>
      </c>
      <c r="D947" s="1">
        <f>IFERROR(__xludf.DUMMYFUNCTION("""COMPUTED_VALUE"""),1.13)</f>
        <v>1.13</v>
      </c>
      <c r="E947" s="1">
        <f>IFERROR(__xludf.DUMMYFUNCTION("""COMPUTED_VALUE"""),1.13)</f>
        <v>1.13</v>
      </c>
      <c r="F947" s="1">
        <f>IFERROR(__xludf.DUMMYFUNCTION("""COMPUTED_VALUE"""),91465.0)</f>
        <v>91465</v>
      </c>
    </row>
    <row r="948">
      <c r="A948" s="2">
        <f>IFERROR(__xludf.DUMMYFUNCTION("""COMPUTED_VALUE"""),40541.666666666664)</f>
        <v>40541.66667</v>
      </c>
      <c r="B948" s="1">
        <f>IFERROR(__xludf.DUMMYFUNCTION("""COMPUTED_VALUE"""),1.13)</f>
        <v>1.13</v>
      </c>
      <c r="C948" s="1">
        <f>IFERROR(__xludf.DUMMYFUNCTION("""COMPUTED_VALUE"""),1.15)</f>
        <v>1.15</v>
      </c>
      <c r="D948" s="1">
        <f>IFERROR(__xludf.DUMMYFUNCTION("""COMPUTED_VALUE"""),1.13)</f>
        <v>1.13</v>
      </c>
      <c r="E948" s="1">
        <f>IFERROR(__xludf.DUMMYFUNCTION("""COMPUTED_VALUE"""),1.15)</f>
        <v>1.15</v>
      </c>
      <c r="F948" s="1">
        <f>IFERROR(__xludf.DUMMYFUNCTION("""COMPUTED_VALUE"""),40549.0)</f>
        <v>40549</v>
      </c>
    </row>
    <row r="949">
      <c r="A949" s="2">
        <f>IFERROR(__xludf.DUMMYFUNCTION("""COMPUTED_VALUE"""),40542.666666666664)</f>
        <v>40542.66667</v>
      </c>
      <c r="B949" s="1">
        <f>IFERROR(__xludf.DUMMYFUNCTION("""COMPUTED_VALUE"""),1.15)</f>
        <v>1.15</v>
      </c>
      <c r="C949" s="1">
        <f>IFERROR(__xludf.DUMMYFUNCTION("""COMPUTED_VALUE"""),1.16)</f>
        <v>1.16</v>
      </c>
      <c r="D949" s="1">
        <f>IFERROR(__xludf.DUMMYFUNCTION("""COMPUTED_VALUE"""),1.14)</f>
        <v>1.14</v>
      </c>
      <c r="E949" s="1">
        <f>IFERROR(__xludf.DUMMYFUNCTION("""COMPUTED_VALUE"""),1.14)</f>
        <v>1.14</v>
      </c>
      <c r="F949" s="1">
        <f>IFERROR(__xludf.DUMMYFUNCTION("""COMPUTED_VALUE"""),57168.0)</f>
        <v>57168</v>
      </c>
    </row>
    <row r="950">
      <c r="A950" s="2">
        <f>IFERROR(__xludf.DUMMYFUNCTION("""COMPUTED_VALUE"""),40543.666666666664)</f>
        <v>40543.66667</v>
      </c>
      <c r="B950" s="1">
        <f>IFERROR(__xludf.DUMMYFUNCTION("""COMPUTED_VALUE"""),1.15)</f>
        <v>1.15</v>
      </c>
      <c r="C950" s="1">
        <f>IFERROR(__xludf.DUMMYFUNCTION("""COMPUTED_VALUE"""),1.18)</f>
        <v>1.18</v>
      </c>
      <c r="D950" s="1">
        <f>IFERROR(__xludf.DUMMYFUNCTION("""COMPUTED_VALUE"""),1.14)</f>
        <v>1.14</v>
      </c>
      <c r="E950" s="1">
        <f>IFERROR(__xludf.DUMMYFUNCTION("""COMPUTED_VALUE"""),1.15)</f>
        <v>1.15</v>
      </c>
      <c r="F950" s="1">
        <f>IFERROR(__xludf.DUMMYFUNCTION("""COMPUTED_VALUE"""),79419.0)</f>
        <v>79419</v>
      </c>
    </row>
    <row r="951">
      <c r="A951" s="2">
        <f>IFERROR(__xludf.DUMMYFUNCTION("""COMPUTED_VALUE"""),40546.666666666664)</f>
        <v>40546.66667</v>
      </c>
      <c r="B951" s="1">
        <f>IFERROR(__xludf.DUMMYFUNCTION("""COMPUTED_VALUE"""),1.17)</f>
        <v>1.17</v>
      </c>
      <c r="C951" s="1">
        <f>IFERROR(__xludf.DUMMYFUNCTION("""COMPUTED_VALUE"""),1.2)</f>
        <v>1.2</v>
      </c>
      <c r="D951" s="1">
        <f>IFERROR(__xludf.DUMMYFUNCTION("""COMPUTED_VALUE"""),1.15)</f>
        <v>1.15</v>
      </c>
      <c r="E951" s="1">
        <f>IFERROR(__xludf.DUMMYFUNCTION("""COMPUTED_VALUE"""),1.19)</f>
        <v>1.19</v>
      </c>
      <c r="F951" s="1">
        <f>IFERROR(__xludf.DUMMYFUNCTION("""COMPUTED_VALUE"""),116611.0)</f>
        <v>116611</v>
      </c>
    </row>
    <row r="952">
      <c r="A952" s="2">
        <f>IFERROR(__xludf.DUMMYFUNCTION("""COMPUTED_VALUE"""),40547.666666666664)</f>
        <v>40547.66667</v>
      </c>
      <c r="B952" s="1">
        <f>IFERROR(__xludf.DUMMYFUNCTION("""COMPUTED_VALUE"""),1.2)</f>
        <v>1.2</v>
      </c>
      <c r="C952" s="1">
        <f>IFERROR(__xludf.DUMMYFUNCTION("""COMPUTED_VALUE"""),1.2)</f>
        <v>1.2</v>
      </c>
      <c r="D952" s="1">
        <f>IFERROR(__xludf.DUMMYFUNCTION("""COMPUTED_VALUE"""),1.15)</f>
        <v>1.15</v>
      </c>
      <c r="E952" s="1">
        <f>IFERROR(__xludf.DUMMYFUNCTION("""COMPUTED_VALUE"""),1.17)</f>
        <v>1.17</v>
      </c>
      <c r="F952" s="1">
        <f>IFERROR(__xludf.DUMMYFUNCTION("""COMPUTED_VALUE"""),124352.0)</f>
        <v>124352</v>
      </c>
    </row>
    <row r="953">
      <c r="A953" s="2">
        <f>IFERROR(__xludf.DUMMYFUNCTION("""COMPUTED_VALUE"""),40548.666666666664)</f>
        <v>40548.66667</v>
      </c>
      <c r="B953" s="1">
        <f>IFERROR(__xludf.DUMMYFUNCTION("""COMPUTED_VALUE"""),1.16)</f>
        <v>1.16</v>
      </c>
      <c r="C953" s="1">
        <f>IFERROR(__xludf.DUMMYFUNCTION("""COMPUTED_VALUE"""),1.18)</f>
        <v>1.18</v>
      </c>
      <c r="D953" s="1">
        <f>IFERROR(__xludf.DUMMYFUNCTION("""COMPUTED_VALUE"""),1.16)</f>
        <v>1.16</v>
      </c>
      <c r="E953" s="1">
        <f>IFERROR(__xludf.DUMMYFUNCTION("""COMPUTED_VALUE"""),1.18)</f>
        <v>1.18</v>
      </c>
      <c r="F953" s="1">
        <f>IFERROR(__xludf.DUMMYFUNCTION("""COMPUTED_VALUE"""),84891.0)</f>
        <v>84891</v>
      </c>
    </row>
    <row r="954">
      <c r="A954" s="2">
        <f>IFERROR(__xludf.DUMMYFUNCTION("""COMPUTED_VALUE"""),40549.666666666664)</f>
        <v>40549.66667</v>
      </c>
      <c r="B954" s="1">
        <f>IFERROR(__xludf.DUMMYFUNCTION("""COMPUTED_VALUE"""),1.17)</f>
        <v>1.17</v>
      </c>
      <c r="C954" s="1">
        <f>IFERROR(__xludf.DUMMYFUNCTION("""COMPUTED_VALUE"""),1.18)</f>
        <v>1.18</v>
      </c>
      <c r="D954" s="1">
        <f>IFERROR(__xludf.DUMMYFUNCTION("""COMPUTED_VALUE"""),1.16)</f>
        <v>1.16</v>
      </c>
      <c r="E954" s="1">
        <f>IFERROR(__xludf.DUMMYFUNCTION("""COMPUTED_VALUE"""),1.17)</f>
        <v>1.17</v>
      </c>
      <c r="F954" s="1">
        <f>IFERROR(__xludf.DUMMYFUNCTION("""COMPUTED_VALUE"""),67477.0)</f>
        <v>67477</v>
      </c>
    </row>
    <row r="955">
      <c r="A955" s="2">
        <f>IFERROR(__xludf.DUMMYFUNCTION("""COMPUTED_VALUE"""),40550.666666666664)</f>
        <v>40550.66667</v>
      </c>
      <c r="B955" s="1">
        <f>IFERROR(__xludf.DUMMYFUNCTION("""COMPUTED_VALUE"""),1.17)</f>
        <v>1.17</v>
      </c>
      <c r="C955" s="1">
        <f>IFERROR(__xludf.DUMMYFUNCTION("""COMPUTED_VALUE"""),1.18)</f>
        <v>1.18</v>
      </c>
      <c r="D955" s="1">
        <f>IFERROR(__xludf.DUMMYFUNCTION("""COMPUTED_VALUE"""),1.14)</f>
        <v>1.14</v>
      </c>
      <c r="E955" s="1">
        <f>IFERROR(__xludf.DUMMYFUNCTION("""COMPUTED_VALUE"""),1.18)</f>
        <v>1.18</v>
      </c>
      <c r="F955" s="1">
        <f>IFERROR(__xludf.DUMMYFUNCTION("""COMPUTED_VALUE"""),90063.0)</f>
        <v>90063</v>
      </c>
    </row>
    <row r="956">
      <c r="A956" s="2">
        <f>IFERROR(__xludf.DUMMYFUNCTION("""COMPUTED_VALUE"""),40553.666666666664)</f>
        <v>40553.66667</v>
      </c>
      <c r="B956" s="1">
        <f>IFERROR(__xludf.DUMMYFUNCTION("""COMPUTED_VALUE"""),1.18)</f>
        <v>1.18</v>
      </c>
      <c r="C956" s="1">
        <f>IFERROR(__xludf.DUMMYFUNCTION("""COMPUTED_VALUE"""),1.2)</f>
        <v>1.2</v>
      </c>
      <c r="D956" s="1">
        <f>IFERROR(__xludf.DUMMYFUNCTION("""COMPUTED_VALUE"""),1.17)</f>
        <v>1.17</v>
      </c>
      <c r="E956" s="1">
        <f>IFERROR(__xludf.DUMMYFUNCTION("""COMPUTED_VALUE"""),1.19)</f>
        <v>1.19</v>
      </c>
      <c r="F956" s="1">
        <f>IFERROR(__xludf.DUMMYFUNCTION("""COMPUTED_VALUE"""),97119.0)</f>
        <v>97119</v>
      </c>
    </row>
    <row r="957">
      <c r="A957" s="2">
        <f>IFERROR(__xludf.DUMMYFUNCTION("""COMPUTED_VALUE"""),40554.666666666664)</f>
        <v>40554.66667</v>
      </c>
      <c r="B957" s="1">
        <f>IFERROR(__xludf.DUMMYFUNCTION("""COMPUTED_VALUE"""),1.19)</f>
        <v>1.19</v>
      </c>
      <c r="C957" s="1">
        <f>IFERROR(__xludf.DUMMYFUNCTION("""COMPUTED_VALUE"""),1.2)</f>
        <v>1.2</v>
      </c>
      <c r="D957" s="1">
        <f>IFERROR(__xludf.DUMMYFUNCTION("""COMPUTED_VALUE"""),1.17)</f>
        <v>1.17</v>
      </c>
      <c r="E957" s="1">
        <f>IFERROR(__xludf.DUMMYFUNCTION("""COMPUTED_VALUE"""),1.18)</f>
        <v>1.18</v>
      </c>
      <c r="F957" s="1">
        <f>IFERROR(__xludf.DUMMYFUNCTION("""COMPUTED_VALUE"""),119897.0)</f>
        <v>119897</v>
      </c>
    </row>
    <row r="958">
      <c r="A958" s="2">
        <f>IFERROR(__xludf.DUMMYFUNCTION("""COMPUTED_VALUE"""),40555.666666666664)</f>
        <v>40555.66667</v>
      </c>
      <c r="B958" s="1">
        <f>IFERROR(__xludf.DUMMYFUNCTION("""COMPUTED_VALUE"""),1.19)</f>
        <v>1.19</v>
      </c>
      <c r="C958" s="1">
        <f>IFERROR(__xludf.DUMMYFUNCTION("""COMPUTED_VALUE"""),1.23)</f>
        <v>1.23</v>
      </c>
      <c r="D958" s="1">
        <f>IFERROR(__xludf.DUMMYFUNCTION("""COMPUTED_VALUE"""),1.19)</f>
        <v>1.19</v>
      </c>
      <c r="E958" s="1">
        <f>IFERROR(__xludf.DUMMYFUNCTION("""COMPUTED_VALUE"""),1.23)</f>
        <v>1.23</v>
      </c>
      <c r="F958" s="1">
        <f>IFERROR(__xludf.DUMMYFUNCTION("""COMPUTED_VALUE"""),78300.0)</f>
        <v>78300</v>
      </c>
    </row>
    <row r="959">
      <c r="A959" s="2">
        <f>IFERROR(__xludf.DUMMYFUNCTION("""COMPUTED_VALUE"""),40556.666666666664)</f>
        <v>40556.66667</v>
      </c>
      <c r="B959" s="1">
        <f>IFERROR(__xludf.DUMMYFUNCTION("""COMPUTED_VALUE"""),1.23)</f>
        <v>1.23</v>
      </c>
      <c r="C959" s="1">
        <f>IFERROR(__xludf.DUMMYFUNCTION("""COMPUTED_VALUE"""),1.25)</f>
        <v>1.25</v>
      </c>
      <c r="D959" s="1">
        <f>IFERROR(__xludf.DUMMYFUNCTION("""COMPUTED_VALUE"""),1.22)</f>
        <v>1.22</v>
      </c>
      <c r="E959" s="1">
        <f>IFERROR(__xludf.DUMMYFUNCTION("""COMPUTED_VALUE"""),1.25)</f>
        <v>1.25</v>
      </c>
      <c r="F959" s="1">
        <f>IFERROR(__xludf.DUMMYFUNCTION("""COMPUTED_VALUE"""),71111.0)</f>
        <v>71111</v>
      </c>
    </row>
    <row r="960">
      <c r="A960" s="2">
        <f>IFERROR(__xludf.DUMMYFUNCTION("""COMPUTED_VALUE"""),40557.666666666664)</f>
        <v>40557.66667</v>
      </c>
      <c r="B960" s="1">
        <f>IFERROR(__xludf.DUMMYFUNCTION("""COMPUTED_VALUE"""),1.25)</f>
        <v>1.25</v>
      </c>
      <c r="C960" s="1">
        <f>IFERROR(__xludf.DUMMYFUNCTION("""COMPUTED_VALUE"""),1.32)</f>
        <v>1.32</v>
      </c>
      <c r="D960" s="1">
        <f>IFERROR(__xludf.DUMMYFUNCTION("""COMPUTED_VALUE"""),1.24)</f>
        <v>1.24</v>
      </c>
      <c r="E960" s="1">
        <f>IFERROR(__xludf.DUMMYFUNCTION("""COMPUTED_VALUE"""),1.32)</f>
        <v>1.32</v>
      </c>
      <c r="F960" s="1">
        <f>IFERROR(__xludf.DUMMYFUNCTION("""COMPUTED_VALUE"""),173699.0)</f>
        <v>173699</v>
      </c>
    </row>
    <row r="961">
      <c r="A961" s="2">
        <f>IFERROR(__xludf.DUMMYFUNCTION("""COMPUTED_VALUE"""),40561.666666666664)</f>
        <v>40561.66667</v>
      </c>
      <c r="B961" s="1">
        <f>IFERROR(__xludf.DUMMYFUNCTION("""COMPUTED_VALUE"""),1.32)</f>
        <v>1.32</v>
      </c>
      <c r="C961" s="1">
        <f>IFERROR(__xludf.DUMMYFUNCTION("""COMPUTED_VALUE"""),1.33)</f>
        <v>1.33</v>
      </c>
      <c r="D961" s="1">
        <f>IFERROR(__xludf.DUMMYFUNCTION("""COMPUTED_VALUE"""),1.28)</f>
        <v>1.28</v>
      </c>
      <c r="E961" s="1">
        <f>IFERROR(__xludf.DUMMYFUNCTION("""COMPUTED_VALUE"""),1.28)</f>
        <v>1.28</v>
      </c>
      <c r="F961" s="1">
        <f>IFERROR(__xludf.DUMMYFUNCTION("""COMPUTED_VALUE"""),200929.0)</f>
        <v>200929</v>
      </c>
    </row>
    <row r="962">
      <c r="A962" s="2">
        <f>IFERROR(__xludf.DUMMYFUNCTION("""COMPUTED_VALUE"""),40562.666666666664)</f>
        <v>40562.66667</v>
      </c>
      <c r="B962" s="1">
        <f>IFERROR(__xludf.DUMMYFUNCTION("""COMPUTED_VALUE"""),1.28)</f>
        <v>1.28</v>
      </c>
      <c r="C962" s="1">
        <f>IFERROR(__xludf.DUMMYFUNCTION("""COMPUTED_VALUE"""),1.3)</f>
        <v>1.3</v>
      </c>
      <c r="D962" s="1">
        <f>IFERROR(__xludf.DUMMYFUNCTION("""COMPUTED_VALUE"""),1.25)</f>
        <v>1.25</v>
      </c>
      <c r="E962" s="1">
        <f>IFERROR(__xludf.DUMMYFUNCTION("""COMPUTED_VALUE"""),1.26)</f>
        <v>1.26</v>
      </c>
      <c r="F962" s="1">
        <f>IFERROR(__xludf.DUMMYFUNCTION("""COMPUTED_VALUE"""),166315.0)</f>
        <v>166315</v>
      </c>
    </row>
    <row r="963">
      <c r="A963" s="2">
        <f>IFERROR(__xludf.DUMMYFUNCTION("""COMPUTED_VALUE"""),40563.666666666664)</f>
        <v>40563.66667</v>
      </c>
      <c r="B963" s="1">
        <f>IFERROR(__xludf.DUMMYFUNCTION("""COMPUTED_VALUE"""),1.25)</f>
        <v>1.25</v>
      </c>
      <c r="C963" s="1">
        <f>IFERROR(__xludf.DUMMYFUNCTION("""COMPUTED_VALUE"""),1.3)</f>
        <v>1.3</v>
      </c>
      <c r="D963" s="1">
        <f>IFERROR(__xludf.DUMMYFUNCTION("""COMPUTED_VALUE"""),1.24)</f>
        <v>1.24</v>
      </c>
      <c r="E963" s="1">
        <f>IFERROR(__xludf.DUMMYFUNCTION("""COMPUTED_VALUE"""),1.27)</f>
        <v>1.27</v>
      </c>
      <c r="F963" s="1">
        <f>IFERROR(__xludf.DUMMYFUNCTION("""COMPUTED_VALUE"""),180612.0)</f>
        <v>180612</v>
      </c>
    </row>
    <row r="964">
      <c r="A964" s="2">
        <f>IFERROR(__xludf.DUMMYFUNCTION("""COMPUTED_VALUE"""),40564.666666666664)</f>
        <v>40564.66667</v>
      </c>
      <c r="B964" s="1">
        <f>IFERROR(__xludf.DUMMYFUNCTION("""COMPUTED_VALUE"""),1.28)</f>
        <v>1.28</v>
      </c>
      <c r="C964" s="1">
        <f>IFERROR(__xludf.DUMMYFUNCTION("""COMPUTED_VALUE"""),1.29)</f>
        <v>1.29</v>
      </c>
      <c r="D964" s="1">
        <f>IFERROR(__xludf.DUMMYFUNCTION("""COMPUTED_VALUE"""),1.27)</f>
        <v>1.27</v>
      </c>
      <c r="E964" s="1">
        <f>IFERROR(__xludf.DUMMYFUNCTION("""COMPUTED_VALUE"""),1.27)</f>
        <v>1.27</v>
      </c>
      <c r="F964" s="1">
        <f>IFERROR(__xludf.DUMMYFUNCTION("""COMPUTED_VALUE"""),138907.0)</f>
        <v>138907</v>
      </c>
    </row>
    <row r="965">
      <c r="A965" s="2">
        <f>IFERROR(__xludf.DUMMYFUNCTION("""COMPUTED_VALUE"""),40567.666666666664)</f>
        <v>40567.66667</v>
      </c>
      <c r="B965" s="1">
        <f>IFERROR(__xludf.DUMMYFUNCTION("""COMPUTED_VALUE"""),1.27)</f>
        <v>1.27</v>
      </c>
      <c r="C965" s="1">
        <f>IFERROR(__xludf.DUMMYFUNCTION("""COMPUTED_VALUE"""),1.31)</f>
        <v>1.31</v>
      </c>
      <c r="D965" s="1">
        <f>IFERROR(__xludf.DUMMYFUNCTION("""COMPUTED_VALUE"""),1.27)</f>
        <v>1.27</v>
      </c>
      <c r="E965" s="1">
        <f>IFERROR(__xludf.DUMMYFUNCTION("""COMPUTED_VALUE"""),1.29)</f>
        <v>1.29</v>
      </c>
      <c r="F965" s="1">
        <f>IFERROR(__xludf.DUMMYFUNCTION("""COMPUTED_VALUE"""),102482.0)</f>
        <v>102482</v>
      </c>
    </row>
    <row r="966">
      <c r="A966" s="2">
        <f>IFERROR(__xludf.DUMMYFUNCTION("""COMPUTED_VALUE"""),40568.666666666664)</f>
        <v>40568.66667</v>
      </c>
      <c r="B966" s="1">
        <f>IFERROR(__xludf.DUMMYFUNCTION("""COMPUTED_VALUE"""),1.28)</f>
        <v>1.28</v>
      </c>
      <c r="C966" s="1">
        <f>IFERROR(__xludf.DUMMYFUNCTION("""COMPUTED_VALUE"""),1.31)</f>
        <v>1.31</v>
      </c>
      <c r="D966" s="1">
        <f>IFERROR(__xludf.DUMMYFUNCTION("""COMPUTED_VALUE"""),1.27)</f>
        <v>1.27</v>
      </c>
      <c r="E966" s="1">
        <f>IFERROR(__xludf.DUMMYFUNCTION("""COMPUTED_VALUE"""),1.3)</f>
        <v>1.3</v>
      </c>
      <c r="F966" s="1">
        <f>IFERROR(__xludf.DUMMYFUNCTION("""COMPUTED_VALUE"""),102916.0)</f>
        <v>102916</v>
      </c>
    </row>
    <row r="967">
      <c r="A967" s="2">
        <f>IFERROR(__xludf.DUMMYFUNCTION("""COMPUTED_VALUE"""),40569.666666666664)</f>
        <v>40569.66667</v>
      </c>
      <c r="B967" s="1">
        <f>IFERROR(__xludf.DUMMYFUNCTION("""COMPUTED_VALUE"""),1.35)</f>
        <v>1.35</v>
      </c>
      <c r="C967" s="1">
        <f>IFERROR(__xludf.DUMMYFUNCTION("""COMPUTED_VALUE"""),1.46)</f>
        <v>1.46</v>
      </c>
      <c r="D967" s="1">
        <f>IFERROR(__xludf.DUMMYFUNCTION("""COMPUTED_VALUE"""),1.34)</f>
        <v>1.34</v>
      </c>
      <c r="E967" s="1">
        <f>IFERROR(__xludf.DUMMYFUNCTION("""COMPUTED_VALUE"""),1.36)</f>
        <v>1.36</v>
      </c>
      <c r="F967" s="1">
        <f>IFERROR(__xludf.DUMMYFUNCTION("""COMPUTED_VALUE"""),643144.0)</f>
        <v>643144</v>
      </c>
    </row>
    <row r="968">
      <c r="A968" s="2">
        <f>IFERROR(__xludf.DUMMYFUNCTION("""COMPUTED_VALUE"""),40570.666666666664)</f>
        <v>40570.66667</v>
      </c>
      <c r="B968" s="1">
        <f>IFERROR(__xludf.DUMMYFUNCTION("""COMPUTED_VALUE"""),1.36)</f>
        <v>1.36</v>
      </c>
      <c r="C968" s="1">
        <f>IFERROR(__xludf.DUMMYFUNCTION("""COMPUTED_VALUE"""),1.39)</f>
        <v>1.39</v>
      </c>
      <c r="D968" s="1">
        <f>IFERROR(__xludf.DUMMYFUNCTION("""COMPUTED_VALUE"""),1.35)</f>
        <v>1.35</v>
      </c>
      <c r="E968" s="1">
        <f>IFERROR(__xludf.DUMMYFUNCTION("""COMPUTED_VALUE"""),1.39)</f>
        <v>1.39</v>
      </c>
      <c r="F968" s="1">
        <f>IFERROR(__xludf.DUMMYFUNCTION("""COMPUTED_VALUE"""),205409.0)</f>
        <v>205409</v>
      </c>
    </row>
    <row r="969">
      <c r="A969" s="2">
        <f>IFERROR(__xludf.DUMMYFUNCTION("""COMPUTED_VALUE"""),40571.666666666664)</f>
        <v>40571.66667</v>
      </c>
      <c r="B969" s="1">
        <f>IFERROR(__xludf.DUMMYFUNCTION("""COMPUTED_VALUE"""),1.4)</f>
        <v>1.4</v>
      </c>
      <c r="C969" s="1">
        <f>IFERROR(__xludf.DUMMYFUNCTION("""COMPUTED_VALUE"""),1.43)</f>
        <v>1.43</v>
      </c>
      <c r="D969" s="1">
        <f>IFERROR(__xludf.DUMMYFUNCTION("""COMPUTED_VALUE"""),1.39)</f>
        <v>1.39</v>
      </c>
      <c r="E969" s="1">
        <f>IFERROR(__xludf.DUMMYFUNCTION("""COMPUTED_VALUE"""),1.43)</f>
        <v>1.43</v>
      </c>
      <c r="F969" s="1">
        <f>IFERROR(__xludf.DUMMYFUNCTION("""COMPUTED_VALUE"""),554527.0)</f>
        <v>554527</v>
      </c>
    </row>
    <row r="970">
      <c r="A970" s="2">
        <f>IFERROR(__xludf.DUMMYFUNCTION("""COMPUTED_VALUE"""),40574.666666666664)</f>
        <v>40574.66667</v>
      </c>
      <c r="B970" s="1">
        <f>IFERROR(__xludf.DUMMYFUNCTION("""COMPUTED_VALUE"""),1.44)</f>
        <v>1.44</v>
      </c>
      <c r="C970" s="1">
        <f>IFERROR(__xludf.DUMMYFUNCTION("""COMPUTED_VALUE"""),1.44)</f>
        <v>1.44</v>
      </c>
      <c r="D970" s="1">
        <f>IFERROR(__xludf.DUMMYFUNCTION("""COMPUTED_VALUE"""),1.4)</f>
        <v>1.4</v>
      </c>
      <c r="E970" s="1">
        <f>IFERROR(__xludf.DUMMYFUNCTION("""COMPUTED_VALUE"""),1.41)</f>
        <v>1.41</v>
      </c>
      <c r="F970" s="1">
        <f>IFERROR(__xludf.DUMMYFUNCTION("""COMPUTED_VALUE"""),301579.0)</f>
        <v>301579</v>
      </c>
    </row>
    <row r="971">
      <c r="A971" s="2">
        <f>IFERROR(__xludf.DUMMYFUNCTION("""COMPUTED_VALUE"""),40575.666666666664)</f>
        <v>40575.66667</v>
      </c>
      <c r="B971" s="1">
        <f>IFERROR(__xludf.DUMMYFUNCTION("""COMPUTED_VALUE"""),1.42)</f>
        <v>1.42</v>
      </c>
      <c r="C971" s="1">
        <f>IFERROR(__xludf.DUMMYFUNCTION("""COMPUTED_VALUE"""),1.44)</f>
        <v>1.44</v>
      </c>
      <c r="D971" s="1">
        <f>IFERROR(__xludf.DUMMYFUNCTION("""COMPUTED_VALUE"""),1.39)</f>
        <v>1.39</v>
      </c>
      <c r="E971" s="1">
        <f>IFERROR(__xludf.DUMMYFUNCTION("""COMPUTED_VALUE"""),1.42)</f>
        <v>1.42</v>
      </c>
      <c r="F971" s="1">
        <f>IFERROR(__xludf.DUMMYFUNCTION("""COMPUTED_VALUE"""),238915.0)</f>
        <v>238915</v>
      </c>
    </row>
    <row r="972">
      <c r="A972" s="2">
        <f>IFERROR(__xludf.DUMMYFUNCTION("""COMPUTED_VALUE"""),40576.666666666664)</f>
        <v>40576.66667</v>
      </c>
      <c r="B972" s="1">
        <f>IFERROR(__xludf.DUMMYFUNCTION("""COMPUTED_VALUE"""),1.42)</f>
        <v>1.42</v>
      </c>
      <c r="C972" s="1">
        <f>IFERROR(__xludf.DUMMYFUNCTION("""COMPUTED_VALUE"""),1.46)</f>
        <v>1.46</v>
      </c>
      <c r="D972" s="1">
        <f>IFERROR(__xludf.DUMMYFUNCTION("""COMPUTED_VALUE"""),1.41)</f>
        <v>1.41</v>
      </c>
      <c r="E972" s="1">
        <f>IFERROR(__xludf.DUMMYFUNCTION("""COMPUTED_VALUE"""),1.46)</f>
        <v>1.46</v>
      </c>
      <c r="F972" s="1">
        <f>IFERROR(__xludf.DUMMYFUNCTION("""COMPUTED_VALUE"""),281871.0)</f>
        <v>281871</v>
      </c>
    </row>
    <row r="973">
      <c r="A973" s="2">
        <f>IFERROR(__xludf.DUMMYFUNCTION("""COMPUTED_VALUE"""),40577.666666666664)</f>
        <v>40577.66667</v>
      </c>
      <c r="B973" s="1">
        <f>IFERROR(__xludf.DUMMYFUNCTION("""COMPUTED_VALUE"""),1.49)</f>
        <v>1.49</v>
      </c>
      <c r="C973" s="1">
        <f>IFERROR(__xludf.DUMMYFUNCTION("""COMPUTED_VALUE"""),1.56)</f>
        <v>1.56</v>
      </c>
      <c r="D973" s="1">
        <f>IFERROR(__xludf.DUMMYFUNCTION("""COMPUTED_VALUE"""),1.48)</f>
        <v>1.48</v>
      </c>
      <c r="E973" s="1">
        <f>IFERROR(__xludf.DUMMYFUNCTION("""COMPUTED_VALUE"""),1.56)</f>
        <v>1.56</v>
      </c>
      <c r="F973" s="1">
        <f>IFERROR(__xludf.DUMMYFUNCTION("""COMPUTED_VALUE"""),488700.0)</f>
        <v>488700</v>
      </c>
    </row>
    <row r="974">
      <c r="A974" s="2">
        <f>IFERROR(__xludf.DUMMYFUNCTION("""COMPUTED_VALUE"""),40578.666666666664)</f>
        <v>40578.66667</v>
      </c>
      <c r="B974" s="1">
        <f>IFERROR(__xludf.DUMMYFUNCTION("""COMPUTED_VALUE"""),1.56)</f>
        <v>1.56</v>
      </c>
      <c r="C974" s="1">
        <f>IFERROR(__xludf.DUMMYFUNCTION("""COMPUTED_VALUE"""),1.56)</f>
        <v>1.56</v>
      </c>
      <c r="D974" s="1">
        <f>IFERROR(__xludf.DUMMYFUNCTION("""COMPUTED_VALUE"""),1.5)</f>
        <v>1.5</v>
      </c>
      <c r="E974" s="1">
        <f>IFERROR(__xludf.DUMMYFUNCTION("""COMPUTED_VALUE"""),1.5)</f>
        <v>1.5</v>
      </c>
      <c r="F974" s="1">
        <f>IFERROR(__xludf.DUMMYFUNCTION("""COMPUTED_VALUE"""),332299.0)</f>
        <v>332299</v>
      </c>
    </row>
    <row r="975">
      <c r="A975" s="2">
        <f>IFERROR(__xludf.DUMMYFUNCTION("""COMPUTED_VALUE"""),40581.666666666664)</f>
        <v>40581.66667</v>
      </c>
      <c r="B975" s="1">
        <f>IFERROR(__xludf.DUMMYFUNCTION("""COMPUTED_VALUE"""),1.51)</f>
        <v>1.51</v>
      </c>
      <c r="C975" s="1">
        <f>IFERROR(__xludf.DUMMYFUNCTION("""COMPUTED_VALUE"""),1.56)</f>
        <v>1.56</v>
      </c>
      <c r="D975" s="1">
        <f>IFERROR(__xludf.DUMMYFUNCTION("""COMPUTED_VALUE"""),1.51)</f>
        <v>1.51</v>
      </c>
      <c r="E975" s="1">
        <f>IFERROR(__xludf.DUMMYFUNCTION("""COMPUTED_VALUE"""),1.54)</f>
        <v>1.54</v>
      </c>
      <c r="F975" s="1">
        <f>IFERROR(__xludf.DUMMYFUNCTION("""COMPUTED_VALUE"""),250623.0)</f>
        <v>250623</v>
      </c>
    </row>
    <row r="976">
      <c r="A976" s="2">
        <f>IFERROR(__xludf.DUMMYFUNCTION("""COMPUTED_VALUE"""),40582.666666666664)</f>
        <v>40582.66667</v>
      </c>
      <c r="B976" s="1">
        <f>IFERROR(__xludf.DUMMYFUNCTION("""COMPUTED_VALUE"""),1.54)</f>
        <v>1.54</v>
      </c>
      <c r="C976" s="1">
        <f>IFERROR(__xludf.DUMMYFUNCTION("""COMPUTED_VALUE"""),1.56)</f>
        <v>1.56</v>
      </c>
      <c r="D976" s="1">
        <f>IFERROR(__xludf.DUMMYFUNCTION("""COMPUTED_VALUE"""),1.52)</f>
        <v>1.52</v>
      </c>
      <c r="E976" s="1">
        <f>IFERROR(__xludf.DUMMYFUNCTION("""COMPUTED_VALUE"""),1.55)</f>
        <v>1.55</v>
      </c>
      <c r="F976" s="1">
        <f>IFERROR(__xludf.DUMMYFUNCTION("""COMPUTED_VALUE"""),174816.0)</f>
        <v>174816</v>
      </c>
    </row>
    <row r="977">
      <c r="A977" s="2">
        <f>IFERROR(__xludf.DUMMYFUNCTION("""COMPUTED_VALUE"""),40583.666666666664)</f>
        <v>40583.66667</v>
      </c>
      <c r="B977" s="1">
        <f>IFERROR(__xludf.DUMMYFUNCTION("""COMPUTED_VALUE"""),1.54)</f>
        <v>1.54</v>
      </c>
      <c r="C977" s="1">
        <f>IFERROR(__xludf.DUMMYFUNCTION("""COMPUTED_VALUE"""),1.57)</f>
        <v>1.57</v>
      </c>
      <c r="D977" s="1">
        <f>IFERROR(__xludf.DUMMYFUNCTION("""COMPUTED_VALUE"""),1.53)</f>
        <v>1.53</v>
      </c>
      <c r="E977" s="1">
        <f>IFERROR(__xludf.DUMMYFUNCTION("""COMPUTED_VALUE"""),1.57)</f>
        <v>1.57</v>
      </c>
      <c r="F977" s="1">
        <f>IFERROR(__xludf.DUMMYFUNCTION("""COMPUTED_VALUE"""),237028.0)</f>
        <v>237028</v>
      </c>
    </row>
    <row r="978">
      <c r="A978" s="2">
        <f>IFERROR(__xludf.DUMMYFUNCTION("""COMPUTED_VALUE"""),40584.666666666664)</f>
        <v>40584.66667</v>
      </c>
      <c r="B978" s="1">
        <f>IFERROR(__xludf.DUMMYFUNCTION("""COMPUTED_VALUE"""),1.54)</f>
        <v>1.54</v>
      </c>
      <c r="C978" s="1">
        <f>IFERROR(__xludf.DUMMYFUNCTION("""COMPUTED_VALUE"""),1.61)</f>
        <v>1.61</v>
      </c>
      <c r="D978" s="1">
        <f>IFERROR(__xludf.DUMMYFUNCTION("""COMPUTED_VALUE"""),1.54)</f>
        <v>1.54</v>
      </c>
      <c r="E978" s="1">
        <f>IFERROR(__xludf.DUMMYFUNCTION("""COMPUTED_VALUE"""),1.6)</f>
        <v>1.6</v>
      </c>
      <c r="F978" s="1">
        <f>IFERROR(__xludf.DUMMYFUNCTION("""COMPUTED_VALUE"""),371722.0)</f>
        <v>371722</v>
      </c>
    </row>
    <row r="979">
      <c r="A979" s="2">
        <f>IFERROR(__xludf.DUMMYFUNCTION("""COMPUTED_VALUE"""),40585.666666666664)</f>
        <v>40585.66667</v>
      </c>
      <c r="B979" s="1">
        <f>IFERROR(__xludf.DUMMYFUNCTION("""COMPUTED_VALUE"""),1.58)</f>
        <v>1.58</v>
      </c>
      <c r="C979" s="1">
        <f>IFERROR(__xludf.DUMMYFUNCTION("""COMPUTED_VALUE"""),1.6)</f>
        <v>1.6</v>
      </c>
      <c r="D979" s="1">
        <f>IFERROR(__xludf.DUMMYFUNCTION("""COMPUTED_VALUE"""),1.56)</f>
        <v>1.56</v>
      </c>
      <c r="E979" s="1">
        <f>IFERROR(__xludf.DUMMYFUNCTION("""COMPUTED_VALUE"""),1.58)</f>
        <v>1.58</v>
      </c>
      <c r="F979" s="1">
        <f>IFERROR(__xludf.DUMMYFUNCTION("""COMPUTED_VALUE"""),174745.0)</f>
        <v>174745</v>
      </c>
    </row>
    <row r="980">
      <c r="A980" s="2">
        <f>IFERROR(__xludf.DUMMYFUNCTION("""COMPUTED_VALUE"""),40588.666666666664)</f>
        <v>40588.66667</v>
      </c>
      <c r="B980" s="1">
        <f>IFERROR(__xludf.DUMMYFUNCTION("""COMPUTED_VALUE"""),1.59)</f>
        <v>1.59</v>
      </c>
      <c r="C980" s="1">
        <f>IFERROR(__xludf.DUMMYFUNCTION("""COMPUTED_VALUE"""),1.59)</f>
        <v>1.59</v>
      </c>
      <c r="D980" s="1">
        <f>IFERROR(__xludf.DUMMYFUNCTION("""COMPUTED_VALUE"""),1.54)</f>
        <v>1.54</v>
      </c>
      <c r="E980" s="1">
        <f>IFERROR(__xludf.DUMMYFUNCTION("""COMPUTED_VALUE"""),1.59)</f>
        <v>1.59</v>
      </c>
      <c r="F980" s="1">
        <f>IFERROR(__xludf.DUMMYFUNCTION("""COMPUTED_VALUE"""),170560.0)</f>
        <v>170560</v>
      </c>
    </row>
    <row r="981">
      <c r="A981" s="2">
        <f>IFERROR(__xludf.DUMMYFUNCTION("""COMPUTED_VALUE"""),40589.666666666664)</f>
        <v>40589.66667</v>
      </c>
      <c r="B981" s="1">
        <f>IFERROR(__xludf.DUMMYFUNCTION("""COMPUTED_VALUE"""),1.58)</f>
        <v>1.58</v>
      </c>
      <c r="C981" s="1">
        <f>IFERROR(__xludf.DUMMYFUNCTION("""COMPUTED_VALUE"""),1.6)</f>
        <v>1.6</v>
      </c>
      <c r="D981" s="1">
        <f>IFERROR(__xludf.DUMMYFUNCTION("""COMPUTED_VALUE"""),1.56)</f>
        <v>1.56</v>
      </c>
      <c r="E981" s="1">
        <f>IFERROR(__xludf.DUMMYFUNCTION("""COMPUTED_VALUE"""),1.58)</f>
        <v>1.58</v>
      </c>
      <c r="F981" s="1">
        <f>IFERROR(__xludf.DUMMYFUNCTION("""COMPUTED_VALUE"""),185269.0)</f>
        <v>185269</v>
      </c>
    </row>
    <row r="982">
      <c r="A982" s="2">
        <f>IFERROR(__xludf.DUMMYFUNCTION("""COMPUTED_VALUE"""),40590.666666666664)</f>
        <v>40590.66667</v>
      </c>
      <c r="B982" s="1">
        <f>IFERROR(__xludf.DUMMYFUNCTION("""COMPUTED_VALUE"""),1.59)</f>
        <v>1.59</v>
      </c>
      <c r="C982" s="1">
        <f>IFERROR(__xludf.DUMMYFUNCTION("""COMPUTED_VALUE"""),1.59)</f>
        <v>1.59</v>
      </c>
      <c r="D982" s="1">
        <f>IFERROR(__xludf.DUMMYFUNCTION("""COMPUTED_VALUE"""),1.54)</f>
        <v>1.54</v>
      </c>
      <c r="E982" s="1">
        <f>IFERROR(__xludf.DUMMYFUNCTION("""COMPUTED_VALUE"""),1.55)</f>
        <v>1.55</v>
      </c>
      <c r="F982" s="1">
        <f>IFERROR(__xludf.DUMMYFUNCTION("""COMPUTED_VALUE"""),180997.0)</f>
        <v>180997</v>
      </c>
    </row>
    <row r="983">
      <c r="A983" s="2">
        <f>IFERROR(__xludf.DUMMYFUNCTION("""COMPUTED_VALUE"""),40591.666666666664)</f>
        <v>40591.66667</v>
      </c>
      <c r="B983" s="1">
        <f>IFERROR(__xludf.DUMMYFUNCTION("""COMPUTED_VALUE"""),1.55)</f>
        <v>1.55</v>
      </c>
      <c r="C983" s="1">
        <f>IFERROR(__xludf.DUMMYFUNCTION("""COMPUTED_VALUE"""),1.55)</f>
        <v>1.55</v>
      </c>
      <c r="D983" s="1">
        <f>IFERROR(__xludf.DUMMYFUNCTION("""COMPUTED_VALUE"""),1.43)</f>
        <v>1.43</v>
      </c>
      <c r="E983" s="1">
        <f>IFERROR(__xludf.DUMMYFUNCTION("""COMPUTED_VALUE"""),1.5)</f>
        <v>1.5</v>
      </c>
      <c r="F983" s="1">
        <f>IFERROR(__xludf.DUMMYFUNCTION("""COMPUTED_VALUE"""),924349.0)</f>
        <v>924349</v>
      </c>
    </row>
    <row r="984">
      <c r="A984" s="2">
        <f>IFERROR(__xludf.DUMMYFUNCTION("""COMPUTED_VALUE"""),40592.666666666664)</f>
        <v>40592.66667</v>
      </c>
      <c r="B984" s="1">
        <f>IFERROR(__xludf.DUMMYFUNCTION("""COMPUTED_VALUE"""),1.5)</f>
        <v>1.5</v>
      </c>
      <c r="C984" s="1">
        <f>IFERROR(__xludf.DUMMYFUNCTION("""COMPUTED_VALUE"""),1.51)</f>
        <v>1.51</v>
      </c>
      <c r="D984" s="1">
        <f>IFERROR(__xludf.DUMMYFUNCTION("""COMPUTED_VALUE"""),1.5)</f>
        <v>1.5</v>
      </c>
      <c r="E984" s="1">
        <f>IFERROR(__xludf.DUMMYFUNCTION("""COMPUTED_VALUE"""),1.5)</f>
        <v>1.5</v>
      </c>
      <c r="F984" s="1">
        <f>IFERROR(__xludf.DUMMYFUNCTION("""COMPUTED_VALUE"""),307670.0)</f>
        <v>307670</v>
      </c>
    </row>
    <row r="985">
      <c r="A985" s="2">
        <f>IFERROR(__xludf.DUMMYFUNCTION("""COMPUTED_VALUE"""),40596.666666666664)</f>
        <v>40596.66667</v>
      </c>
      <c r="B985" s="1">
        <f>IFERROR(__xludf.DUMMYFUNCTION("""COMPUTED_VALUE"""),1.46)</f>
        <v>1.46</v>
      </c>
      <c r="C985" s="1">
        <f>IFERROR(__xludf.DUMMYFUNCTION("""COMPUTED_VALUE"""),1.5)</f>
        <v>1.5</v>
      </c>
      <c r="D985" s="1">
        <f>IFERROR(__xludf.DUMMYFUNCTION("""COMPUTED_VALUE"""),1.46)</f>
        <v>1.46</v>
      </c>
      <c r="E985" s="1">
        <f>IFERROR(__xludf.DUMMYFUNCTION("""COMPUTED_VALUE"""),1.46)</f>
        <v>1.46</v>
      </c>
      <c r="F985" s="1">
        <f>IFERROR(__xludf.DUMMYFUNCTION("""COMPUTED_VALUE"""),277512.0)</f>
        <v>277512</v>
      </c>
    </row>
    <row r="986">
      <c r="A986" s="2">
        <f>IFERROR(__xludf.DUMMYFUNCTION("""COMPUTED_VALUE"""),40597.666666666664)</f>
        <v>40597.66667</v>
      </c>
      <c r="B986" s="1">
        <f>IFERROR(__xludf.DUMMYFUNCTION("""COMPUTED_VALUE"""),1.45)</f>
        <v>1.45</v>
      </c>
      <c r="C986" s="1">
        <f>IFERROR(__xludf.DUMMYFUNCTION("""COMPUTED_VALUE"""),1.45)</f>
        <v>1.45</v>
      </c>
      <c r="D986" s="1">
        <f>IFERROR(__xludf.DUMMYFUNCTION("""COMPUTED_VALUE"""),1.4)</f>
        <v>1.4</v>
      </c>
      <c r="E986" s="1">
        <f>IFERROR(__xludf.DUMMYFUNCTION("""COMPUTED_VALUE"""),1.43)</f>
        <v>1.43</v>
      </c>
      <c r="F986" s="1">
        <f>IFERROR(__xludf.DUMMYFUNCTION("""COMPUTED_VALUE"""),248195.0)</f>
        <v>248195</v>
      </c>
    </row>
    <row r="987">
      <c r="A987" s="2">
        <f>IFERROR(__xludf.DUMMYFUNCTION("""COMPUTED_VALUE"""),40598.666666666664)</f>
        <v>40598.66667</v>
      </c>
      <c r="B987" s="1">
        <f>IFERROR(__xludf.DUMMYFUNCTION("""COMPUTED_VALUE"""),1.44)</f>
        <v>1.44</v>
      </c>
      <c r="C987" s="1">
        <f>IFERROR(__xludf.DUMMYFUNCTION("""COMPUTED_VALUE"""),1.48)</f>
        <v>1.48</v>
      </c>
      <c r="D987" s="1">
        <f>IFERROR(__xludf.DUMMYFUNCTION("""COMPUTED_VALUE"""),1.44)</f>
        <v>1.44</v>
      </c>
      <c r="E987" s="1">
        <f>IFERROR(__xludf.DUMMYFUNCTION("""COMPUTED_VALUE"""),1.47)</f>
        <v>1.47</v>
      </c>
      <c r="F987" s="1">
        <f>IFERROR(__xludf.DUMMYFUNCTION("""COMPUTED_VALUE"""),293217.0)</f>
        <v>293217</v>
      </c>
    </row>
    <row r="988">
      <c r="A988" s="2">
        <f>IFERROR(__xludf.DUMMYFUNCTION("""COMPUTED_VALUE"""),40599.666666666664)</f>
        <v>40599.66667</v>
      </c>
      <c r="B988" s="1">
        <f>IFERROR(__xludf.DUMMYFUNCTION("""COMPUTED_VALUE"""),1.5)</f>
        <v>1.5</v>
      </c>
      <c r="C988" s="1">
        <f>IFERROR(__xludf.DUMMYFUNCTION("""COMPUTED_VALUE"""),1.54)</f>
        <v>1.54</v>
      </c>
      <c r="D988" s="1">
        <f>IFERROR(__xludf.DUMMYFUNCTION("""COMPUTED_VALUE"""),1.5)</f>
        <v>1.5</v>
      </c>
      <c r="E988" s="1">
        <f>IFERROR(__xludf.DUMMYFUNCTION("""COMPUTED_VALUE"""),1.52)</f>
        <v>1.52</v>
      </c>
      <c r="F988" s="1">
        <f>IFERROR(__xludf.DUMMYFUNCTION("""COMPUTED_VALUE"""),303943.0)</f>
        <v>303943</v>
      </c>
    </row>
    <row r="989">
      <c r="A989" s="2">
        <f>IFERROR(__xludf.DUMMYFUNCTION("""COMPUTED_VALUE"""),40602.666666666664)</f>
        <v>40602.66667</v>
      </c>
      <c r="B989" s="1">
        <f>IFERROR(__xludf.DUMMYFUNCTION("""COMPUTED_VALUE"""),1.53)</f>
        <v>1.53</v>
      </c>
      <c r="C989" s="1">
        <f>IFERROR(__xludf.DUMMYFUNCTION("""COMPUTED_VALUE"""),1.54)</f>
        <v>1.54</v>
      </c>
      <c r="D989" s="1">
        <f>IFERROR(__xludf.DUMMYFUNCTION("""COMPUTED_VALUE"""),1.49)</f>
        <v>1.49</v>
      </c>
      <c r="E989" s="1">
        <f>IFERROR(__xludf.DUMMYFUNCTION("""COMPUTED_VALUE"""),1.5)</f>
        <v>1.5</v>
      </c>
      <c r="F989" s="1">
        <f>IFERROR(__xludf.DUMMYFUNCTION("""COMPUTED_VALUE"""),294599.0)</f>
        <v>294599</v>
      </c>
    </row>
    <row r="990">
      <c r="A990" s="2">
        <f>IFERROR(__xludf.DUMMYFUNCTION("""COMPUTED_VALUE"""),40603.666666666664)</f>
        <v>40603.66667</v>
      </c>
      <c r="B990" s="1">
        <f>IFERROR(__xludf.DUMMYFUNCTION("""COMPUTED_VALUE"""),1.51)</f>
        <v>1.51</v>
      </c>
      <c r="C990" s="1">
        <f>IFERROR(__xludf.DUMMYFUNCTION("""COMPUTED_VALUE"""),1.53)</f>
        <v>1.53</v>
      </c>
      <c r="D990" s="1">
        <f>IFERROR(__xludf.DUMMYFUNCTION("""COMPUTED_VALUE"""),1.49)</f>
        <v>1.49</v>
      </c>
      <c r="E990" s="1">
        <f>IFERROR(__xludf.DUMMYFUNCTION("""COMPUTED_VALUE"""),1.5)</f>
        <v>1.5</v>
      </c>
      <c r="F990" s="1">
        <f>IFERROR(__xludf.DUMMYFUNCTION("""COMPUTED_VALUE"""),187752.0)</f>
        <v>187752</v>
      </c>
    </row>
    <row r="991">
      <c r="A991" s="2">
        <f>IFERROR(__xludf.DUMMYFUNCTION("""COMPUTED_VALUE"""),40604.666666666664)</f>
        <v>40604.66667</v>
      </c>
      <c r="B991" s="1">
        <f>IFERROR(__xludf.DUMMYFUNCTION("""COMPUTED_VALUE"""),1.51)</f>
        <v>1.51</v>
      </c>
      <c r="C991" s="1">
        <f>IFERROR(__xludf.DUMMYFUNCTION("""COMPUTED_VALUE"""),1.54)</f>
        <v>1.54</v>
      </c>
      <c r="D991" s="1">
        <f>IFERROR(__xludf.DUMMYFUNCTION("""COMPUTED_VALUE"""),1.5)</f>
        <v>1.5</v>
      </c>
      <c r="E991" s="1">
        <f>IFERROR(__xludf.DUMMYFUNCTION("""COMPUTED_VALUE"""),1.52)</f>
        <v>1.52</v>
      </c>
      <c r="F991" s="1">
        <f>IFERROR(__xludf.DUMMYFUNCTION("""COMPUTED_VALUE"""),161678.0)</f>
        <v>161678</v>
      </c>
    </row>
    <row r="992">
      <c r="A992" s="2">
        <f>IFERROR(__xludf.DUMMYFUNCTION("""COMPUTED_VALUE"""),40605.666666666664)</f>
        <v>40605.66667</v>
      </c>
      <c r="B992" s="1">
        <f>IFERROR(__xludf.DUMMYFUNCTION("""COMPUTED_VALUE"""),1.54)</f>
        <v>1.54</v>
      </c>
      <c r="C992" s="1">
        <f>IFERROR(__xludf.DUMMYFUNCTION("""COMPUTED_VALUE"""),1.58)</f>
        <v>1.58</v>
      </c>
      <c r="D992" s="1">
        <f>IFERROR(__xludf.DUMMYFUNCTION("""COMPUTED_VALUE"""),1.54)</f>
        <v>1.54</v>
      </c>
      <c r="E992" s="1">
        <f>IFERROR(__xludf.DUMMYFUNCTION("""COMPUTED_VALUE"""),1.58)</f>
        <v>1.58</v>
      </c>
      <c r="F992" s="1">
        <f>IFERROR(__xludf.DUMMYFUNCTION("""COMPUTED_VALUE"""),159925.0)</f>
        <v>159925</v>
      </c>
    </row>
    <row r="993">
      <c r="A993" s="2">
        <f>IFERROR(__xludf.DUMMYFUNCTION("""COMPUTED_VALUE"""),40606.666666666664)</f>
        <v>40606.66667</v>
      </c>
      <c r="B993" s="1">
        <f>IFERROR(__xludf.DUMMYFUNCTION("""COMPUTED_VALUE"""),1.58)</f>
        <v>1.58</v>
      </c>
      <c r="C993" s="1">
        <f>IFERROR(__xludf.DUMMYFUNCTION("""COMPUTED_VALUE"""),1.58)</f>
        <v>1.58</v>
      </c>
      <c r="D993" s="1">
        <f>IFERROR(__xludf.DUMMYFUNCTION("""COMPUTED_VALUE"""),1.54)</f>
        <v>1.54</v>
      </c>
      <c r="E993" s="1">
        <f>IFERROR(__xludf.DUMMYFUNCTION("""COMPUTED_VALUE"""),1.57)</f>
        <v>1.57</v>
      </c>
      <c r="F993" s="1">
        <f>IFERROR(__xludf.DUMMYFUNCTION("""COMPUTED_VALUE"""),135122.0)</f>
        <v>135122</v>
      </c>
    </row>
    <row r="994">
      <c r="A994" s="2">
        <f>IFERROR(__xludf.DUMMYFUNCTION("""COMPUTED_VALUE"""),40609.666666666664)</f>
        <v>40609.66667</v>
      </c>
      <c r="B994" s="1">
        <f>IFERROR(__xludf.DUMMYFUNCTION("""COMPUTED_VALUE"""),1.57)</f>
        <v>1.57</v>
      </c>
      <c r="C994" s="1">
        <f>IFERROR(__xludf.DUMMYFUNCTION("""COMPUTED_VALUE"""),1.57)</f>
        <v>1.57</v>
      </c>
      <c r="D994" s="1">
        <f>IFERROR(__xludf.DUMMYFUNCTION("""COMPUTED_VALUE"""),1.5)</f>
        <v>1.5</v>
      </c>
      <c r="E994" s="1">
        <f>IFERROR(__xludf.DUMMYFUNCTION("""COMPUTED_VALUE"""),1.53)</f>
        <v>1.53</v>
      </c>
      <c r="F994" s="1">
        <f>IFERROR(__xludf.DUMMYFUNCTION("""COMPUTED_VALUE"""),170519.0)</f>
        <v>170519</v>
      </c>
    </row>
    <row r="995">
      <c r="A995" s="2">
        <f>IFERROR(__xludf.DUMMYFUNCTION("""COMPUTED_VALUE"""),40610.666666666664)</f>
        <v>40610.66667</v>
      </c>
      <c r="B995" s="1">
        <f>IFERROR(__xludf.DUMMYFUNCTION("""COMPUTED_VALUE"""),1.53)</f>
        <v>1.53</v>
      </c>
      <c r="C995" s="1">
        <f>IFERROR(__xludf.DUMMYFUNCTION("""COMPUTED_VALUE"""),1.59)</f>
        <v>1.59</v>
      </c>
      <c r="D995" s="1">
        <f>IFERROR(__xludf.DUMMYFUNCTION("""COMPUTED_VALUE"""),1.52)</f>
        <v>1.52</v>
      </c>
      <c r="E995" s="1">
        <f>IFERROR(__xludf.DUMMYFUNCTION("""COMPUTED_VALUE"""),1.56)</f>
        <v>1.56</v>
      </c>
      <c r="F995" s="1">
        <f>IFERROR(__xludf.DUMMYFUNCTION("""COMPUTED_VALUE"""),107722.0)</f>
        <v>107722</v>
      </c>
    </row>
    <row r="996">
      <c r="A996" s="2">
        <f>IFERROR(__xludf.DUMMYFUNCTION("""COMPUTED_VALUE"""),40611.666666666664)</f>
        <v>40611.66667</v>
      </c>
      <c r="B996" s="1">
        <f>IFERROR(__xludf.DUMMYFUNCTION("""COMPUTED_VALUE"""),1.55)</f>
        <v>1.55</v>
      </c>
      <c r="C996" s="1">
        <f>IFERROR(__xludf.DUMMYFUNCTION("""COMPUTED_VALUE"""),1.58)</f>
        <v>1.58</v>
      </c>
      <c r="D996" s="1">
        <f>IFERROR(__xludf.DUMMYFUNCTION("""COMPUTED_VALUE"""),1.54)</f>
        <v>1.54</v>
      </c>
      <c r="E996" s="1">
        <f>IFERROR(__xludf.DUMMYFUNCTION("""COMPUTED_VALUE"""),1.54)</f>
        <v>1.54</v>
      </c>
      <c r="F996" s="1">
        <f>IFERROR(__xludf.DUMMYFUNCTION("""COMPUTED_VALUE"""),123067.0)</f>
        <v>123067</v>
      </c>
    </row>
    <row r="997">
      <c r="A997" s="2">
        <f>IFERROR(__xludf.DUMMYFUNCTION("""COMPUTED_VALUE"""),40612.666666666664)</f>
        <v>40612.66667</v>
      </c>
      <c r="B997" s="1">
        <f>IFERROR(__xludf.DUMMYFUNCTION("""COMPUTED_VALUE"""),1.52)</f>
        <v>1.52</v>
      </c>
      <c r="C997" s="1">
        <f>IFERROR(__xludf.DUMMYFUNCTION("""COMPUTED_VALUE"""),1.52)</f>
        <v>1.52</v>
      </c>
      <c r="D997" s="1">
        <f>IFERROR(__xludf.DUMMYFUNCTION("""COMPUTED_VALUE"""),1.48)</f>
        <v>1.48</v>
      </c>
      <c r="E997" s="1">
        <f>IFERROR(__xludf.DUMMYFUNCTION("""COMPUTED_VALUE"""),1.49)</f>
        <v>1.49</v>
      </c>
      <c r="F997" s="1">
        <f>IFERROR(__xludf.DUMMYFUNCTION("""COMPUTED_VALUE"""),168652.0)</f>
        <v>168652</v>
      </c>
    </row>
    <row r="998">
      <c r="A998" s="2">
        <f>IFERROR(__xludf.DUMMYFUNCTION("""COMPUTED_VALUE"""),40613.666666666664)</f>
        <v>40613.66667</v>
      </c>
      <c r="B998" s="1">
        <f>IFERROR(__xludf.DUMMYFUNCTION("""COMPUTED_VALUE"""),1.48)</f>
        <v>1.48</v>
      </c>
      <c r="C998" s="1">
        <f>IFERROR(__xludf.DUMMYFUNCTION("""COMPUTED_VALUE"""),1.52)</f>
        <v>1.52</v>
      </c>
      <c r="D998" s="1">
        <f>IFERROR(__xludf.DUMMYFUNCTION("""COMPUTED_VALUE"""),1.47)</f>
        <v>1.47</v>
      </c>
      <c r="E998" s="1">
        <f>IFERROR(__xludf.DUMMYFUNCTION("""COMPUTED_VALUE"""),1.47)</f>
        <v>1.47</v>
      </c>
      <c r="F998" s="1">
        <f>IFERROR(__xludf.DUMMYFUNCTION("""COMPUTED_VALUE"""),152221.0)</f>
        <v>152221</v>
      </c>
    </row>
    <row r="999">
      <c r="A999" s="2">
        <f>IFERROR(__xludf.DUMMYFUNCTION("""COMPUTED_VALUE"""),40616.666666666664)</f>
        <v>40616.66667</v>
      </c>
      <c r="B999" s="1">
        <f>IFERROR(__xludf.DUMMYFUNCTION("""COMPUTED_VALUE"""),1.46)</f>
        <v>1.46</v>
      </c>
      <c r="C999" s="1">
        <f>IFERROR(__xludf.DUMMYFUNCTION("""COMPUTED_VALUE"""),1.48)</f>
        <v>1.48</v>
      </c>
      <c r="D999" s="1">
        <f>IFERROR(__xludf.DUMMYFUNCTION("""COMPUTED_VALUE"""),1.44)</f>
        <v>1.44</v>
      </c>
      <c r="E999" s="1">
        <f>IFERROR(__xludf.DUMMYFUNCTION("""COMPUTED_VALUE"""),1.46)</f>
        <v>1.46</v>
      </c>
      <c r="F999" s="1">
        <f>IFERROR(__xludf.DUMMYFUNCTION("""COMPUTED_VALUE"""),157492.0)</f>
        <v>157492</v>
      </c>
    </row>
    <row r="1000">
      <c r="A1000" s="2">
        <f>IFERROR(__xludf.DUMMYFUNCTION("""COMPUTED_VALUE"""),40617.666666666664)</f>
        <v>40617.66667</v>
      </c>
      <c r="B1000" s="1">
        <f>IFERROR(__xludf.DUMMYFUNCTION("""COMPUTED_VALUE"""),1.41)</f>
        <v>1.41</v>
      </c>
      <c r="C1000" s="1">
        <f>IFERROR(__xludf.DUMMYFUNCTION("""COMPUTED_VALUE"""),1.43)</f>
        <v>1.43</v>
      </c>
      <c r="D1000" s="1">
        <f>IFERROR(__xludf.DUMMYFUNCTION("""COMPUTED_VALUE"""),1.33)</f>
        <v>1.33</v>
      </c>
      <c r="E1000" s="1">
        <f>IFERROR(__xludf.DUMMYFUNCTION("""COMPUTED_VALUE"""),1.41)</f>
        <v>1.41</v>
      </c>
      <c r="F1000" s="1">
        <f>IFERROR(__xludf.DUMMYFUNCTION("""COMPUTED_VALUE"""),195209.0)</f>
        <v>195209</v>
      </c>
    </row>
    <row r="1001">
      <c r="A1001" s="2">
        <f>IFERROR(__xludf.DUMMYFUNCTION("""COMPUTED_VALUE"""),40618.666666666664)</f>
        <v>40618.66667</v>
      </c>
      <c r="B1001" s="1">
        <f>IFERROR(__xludf.DUMMYFUNCTION("""COMPUTED_VALUE"""),1.41)</f>
        <v>1.41</v>
      </c>
      <c r="C1001" s="1">
        <f>IFERROR(__xludf.DUMMYFUNCTION("""COMPUTED_VALUE"""),1.43)</f>
        <v>1.43</v>
      </c>
      <c r="D1001" s="1">
        <f>IFERROR(__xludf.DUMMYFUNCTION("""COMPUTED_VALUE"""),1.4)</f>
        <v>1.4</v>
      </c>
      <c r="E1001" s="1">
        <f>IFERROR(__xludf.DUMMYFUNCTION("""COMPUTED_VALUE"""),1.41)</f>
        <v>1.41</v>
      </c>
      <c r="F1001" s="1">
        <f>IFERROR(__xludf.DUMMYFUNCTION("""COMPUTED_VALUE"""),159410.0)</f>
        <v>159410</v>
      </c>
    </row>
    <row r="1002">
      <c r="A1002" s="2">
        <f>IFERROR(__xludf.DUMMYFUNCTION("""COMPUTED_VALUE"""),40619.666666666664)</f>
        <v>40619.66667</v>
      </c>
      <c r="B1002" s="1">
        <f>IFERROR(__xludf.DUMMYFUNCTION("""COMPUTED_VALUE"""),1.43)</f>
        <v>1.43</v>
      </c>
      <c r="C1002" s="1">
        <f>IFERROR(__xludf.DUMMYFUNCTION("""COMPUTED_VALUE"""),1.45)</f>
        <v>1.45</v>
      </c>
      <c r="D1002" s="1">
        <f>IFERROR(__xludf.DUMMYFUNCTION("""COMPUTED_VALUE"""),1.41)</f>
        <v>1.41</v>
      </c>
      <c r="E1002" s="1">
        <f>IFERROR(__xludf.DUMMYFUNCTION("""COMPUTED_VALUE"""),1.43)</f>
        <v>1.43</v>
      </c>
      <c r="F1002" s="1">
        <f>IFERROR(__xludf.DUMMYFUNCTION("""COMPUTED_VALUE"""),190127.0)</f>
        <v>190127</v>
      </c>
    </row>
    <row r="1003">
      <c r="A1003" s="2">
        <f>IFERROR(__xludf.DUMMYFUNCTION("""COMPUTED_VALUE"""),40620.666666666664)</f>
        <v>40620.66667</v>
      </c>
      <c r="B1003" s="1">
        <f>IFERROR(__xludf.DUMMYFUNCTION("""COMPUTED_VALUE"""),1.45)</f>
        <v>1.45</v>
      </c>
      <c r="C1003" s="1">
        <f>IFERROR(__xludf.DUMMYFUNCTION("""COMPUTED_VALUE"""),1.48)</f>
        <v>1.48</v>
      </c>
      <c r="D1003" s="1">
        <f>IFERROR(__xludf.DUMMYFUNCTION("""COMPUTED_VALUE"""),1.43)</f>
        <v>1.43</v>
      </c>
      <c r="E1003" s="1">
        <f>IFERROR(__xludf.DUMMYFUNCTION("""COMPUTED_VALUE"""),1.48)</f>
        <v>1.48</v>
      </c>
      <c r="F1003" s="1">
        <f>IFERROR(__xludf.DUMMYFUNCTION("""COMPUTED_VALUE"""),250570.0)</f>
        <v>250570</v>
      </c>
    </row>
    <row r="1004">
      <c r="A1004" s="2">
        <f>IFERROR(__xludf.DUMMYFUNCTION("""COMPUTED_VALUE"""),40623.666666666664)</f>
        <v>40623.66667</v>
      </c>
      <c r="B1004" s="1">
        <f>IFERROR(__xludf.DUMMYFUNCTION("""COMPUTED_VALUE"""),1.5)</f>
        <v>1.5</v>
      </c>
      <c r="C1004" s="1">
        <f>IFERROR(__xludf.DUMMYFUNCTION("""COMPUTED_VALUE"""),1.52)</f>
        <v>1.52</v>
      </c>
      <c r="D1004" s="1">
        <f>IFERROR(__xludf.DUMMYFUNCTION("""COMPUTED_VALUE"""),1.49)</f>
        <v>1.49</v>
      </c>
      <c r="E1004" s="1">
        <f>IFERROR(__xludf.DUMMYFUNCTION("""COMPUTED_VALUE"""),1.52)</f>
        <v>1.52</v>
      </c>
      <c r="F1004" s="1">
        <f>IFERROR(__xludf.DUMMYFUNCTION("""COMPUTED_VALUE"""),151239.0)</f>
        <v>151239</v>
      </c>
    </row>
    <row r="1005">
      <c r="A1005" s="2">
        <f>IFERROR(__xludf.DUMMYFUNCTION("""COMPUTED_VALUE"""),40624.666666666664)</f>
        <v>40624.66667</v>
      </c>
      <c r="B1005" s="1">
        <f>IFERROR(__xludf.DUMMYFUNCTION("""COMPUTED_VALUE"""),1.52)</f>
        <v>1.52</v>
      </c>
      <c r="C1005" s="1">
        <f>IFERROR(__xludf.DUMMYFUNCTION("""COMPUTED_VALUE"""),1.56)</f>
        <v>1.56</v>
      </c>
      <c r="D1005" s="1">
        <f>IFERROR(__xludf.DUMMYFUNCTION("""COMPUTED_VALUE"""),1.51)</f>
        <v>1.51</v>
      </c>
      <c r="E1005" s="1">
        <f>IFERROR(__xludf.DUMMYFUNCTION("""COMPUTED_VALUE"""),1.53)</f>
        <v>1.53</v>
      </c>
      <c r="F1005" s="1">
        <f>IFERROR(__xludf.DUMMYFUNCTION("""COMPUTED_VALUE"""),213016.0)</f>
        <v>213016</v>
      </c>
    </row>
    <row r="1006">
      <c r="A1006" s="2">
        <f>IFERROR(__xludf.DUMMYFUNCTION("""COMPUTED_VALUE"""),40625.666666666664)</f>
        <v>40625.66667</v>
      </c>
      <c r="B1006" s="1">
        <f>IFERROR(__xludf.DUMMYFUNCTION("""COMPUTED_VALUE"""),1.53)</f>
        <v>1.53</v>
      </c>
      <c r="C1006" s="1">
        <f>IFERROR(__xludf.DUMMYFUNCTION("""COMPUTED_VALUE"""),1.54)</f>
        <v>1.54</v>
      </c>
      <c r="D1006" s="1">
        <f>IFERROR(__xludf.DUMMYFUNCTION("""COMPUTED_VALUE"""),1.52)</f>
        <v>1.52</v>
      </c>
      <c r="E1006" s="1">
        <f>IFERROR(__xludf.DUMMYFUNCTION("""COMPUTED_VALUE"""),1.54)</f>
        <v>1.54</v>
      </c>
      <c r="F1006" s="1">
        <f>IFERROR(__xludf.DUMMYFUNCTION("""COMPUTED_VALUE"""),95497.0)</f>
        <v>95497</v>
      </c>
    </row>
    <row r="1007">
      <c r="A1007" s="2">
        <f>IFERROR(__xludf.DUMMYFUNCTION("""COMPUTED_VALUE"""),40626.666666666664)</f>
        <v>40626.66667</v>
      </c>
      <c r="B1007" s="1">
        <f>IFERROR(__xludf.DUMMYFUNCTION("""COMPUTED_VALUE"""),1.55)</f>
        <v>1.55</v>
      </c>
      <c r="C1007" s="1">
        <f>IFERROR(__xludf.DUMMYFUNCTION("""COMPUTED_VALUE"""),1.55)</f>
        <v>1.55</v>
      </c>
      <c r="D1007" s="1">
        <f>IFERROR(__xludf.DUMMYFUNCTION("""COMPUTED_VALUE"""),1.53)</f>
        <v>1.53</v>
      </c>
      <c r="E1007" s="1">
        <f>IFERROR(__xludf.DUMMYFUNCTION("""COMPUTED_VALUE"""),1.54)</f>
        <v>1.54</v>
      </c>
      <c r="F1007" s="1">
        <f>IFERROR(__xludf.DUMMYFUNCTION("""COMPUTED_VALUE"""),128331.0)</f>
        <v>128331</v>
      </c>
    </row>
    <row r="1008">
      <c r="A1008" s="2">
        <f>IFERROR(__xludf.DUMMYFUNCTION("""COMPUTED_VALUE"""),40627.666666666664)</f>
        <v>40627.66667</v>
      </c>
      <c r="B1008" s="1">
        <f>IFERROR(__xludf.DUMMYFUNCTION("""COMPUTED_VALUE"""),1.55)</f>
        <v>1.55</v>
      </c>
      <c r="C1008" s="1">
        <f>IFERROR(__xludf.DUMMYFUNCTION("""COMPUTED_VALUE"""),1.57)</f>
        <v>1.57</v>
      </c>
      <c r="D1008" s="1">
        <f>IFERROR(__xludf.DUMMYFUNCTION("""COMPUTED_VALUE"""),1.53)</f>
        <v>1.53</v>
      </c>
      <c r="E1008" s="1">
        <f>IFERROR(__xludf.DUMMYFUNCTION("""COMPUTED_VALUE"""),1.57)</f>
        <v>1.57</v>
      </c>
      <c r="F1008" s="1">
        <f>IFERROR(__xludf.DUMMYFUNCTION("""COMPUTED_VALUE"""),153402.0)</f>
        <v>153402</v>
      </c>
    </row>
    <row r="1009">
      <c r="A1009" s="2">
        <f>IFERROR(__xludf.DUMMYFUNCTION("""COMPUTED_VALUE"""),40630.666666666664)</f>
        <v>40630.66667</v>
      </c>
      <c r="B1009" s="1">
        <f>IFERROR(__xludf.DUMMYFUNCTION("""COMPUTED_VALUE"""),1.57)</f>
        <v>1.57</v>
      </c>
      <c r="C1009" s="1">
        <f>IFERROR(__xludf.DUMMYFUNCTION("""COMPUTED_VALUE"""),1.57)</f>
        <v>1.57</v>
      </c>
      <c r="D1009" s="1">
        <f>IFERROR(__xludf.DUMMYFUNCTION("""COMPUTED_VALUE"""),1.56)</f>
        <v>1.56</v>
      </c>
      <c r="E1009" s="1">
        <f>IFERROR(__xludf.DUMMYFUNCTION("""COMPUTED_VALUE"""),1.57)</f>
        <v>1.57</v>
      </c>
      <c r="F1009" s="1">
        <f>IFERROR(__xludf.DUMMYFUNCTION("""COMPUTED_VALUE"""),113044.0)</f>
        <v>113044</v>
      </c>
    </row>
    <row r="1010">
      <c r="A1010" s="2">
        <f>IFERROR(__xludf.DUMMYFUNCTION("""COMPUTED_VALUE"""),40631.666666666664)</f>
        <v>40631.66667</v>
      </c>
      <c r="B1010" s="1">
        <f>IFERROR(__xludf.DUMMYFUNCTION("""COMPUTED_VALUE"""),1.56)</f>
        <v>1.56</v>
      </c>
      <c r="C1010" s="1">
        <f>IFERROR(__xludf.DUMMYFUNCTION("""COMPUTED_VALUE"""),1.57)</f>
        <v>1.57</v>
      </c>
      <c r="D1010" s="1">
        <f>IFERROR(__xludf.DUMMYFUNCTION("""COMPUTED_VALUE"""),1.55)</f>
        <v>1.55</v>
      </c>
      <c r="E1010" s="1">
        <f>IFERROR(__xludf.DUMMYFUNCTION("""COMPUTED_VALUE"""),1.55)</f>
        <v>1.55</v>
      </c>
      <c r="F1010" s="1">
        <f>IFERROR(__xludf.DUMMYFUNCTION("""COMPUTED_VALUE"""),59472.0)</f>
        <v>59472</v>
      </c>
    </row>
    <row r="1011">
      <c r="A1011" s="2">
        <f>IFERROR(__xludf.DUMMYFUNCTION("""COMPUTED_VALUE"""),40632.666666666664)</f>
        <v>40632.66667</v>
      </c>
      <c r="B1011" s="1">
        <f>IFERROR(__xludf.DUMMYFUNCTION("""COMPUTED_VALUE"""),1.54)</f>
        <v>1.54</v>
      </c>
      <c r="C1011" s="1">
        <f>IFERROR(__xludf.DUMMYFUNCTION("""COMPUTED_VALUE"""),1.55)</f>
        <v>1.55</v>
      </c>
      <c r="D1011" s="1">
        <f>IFERROR(__xludf.DUMMYFUNCTION("""COMPUTED_VALUE"""),1.53)</f>
        <v>1.53</v>
      </c>
      <c r="E1011" s="1">
        <f>IFERROR(__xludf.DUMMYFUNCTION("""COMPUTED_VALUE"""),1.54)</f>
        <v>1.54</v>
      </c>
      <c r="F1011" s="1">
        <f>IFERROR(__xludf.DUMMYFUNCTION("""COMPUTED_VALUE"""),90088.0)</f>
        <v>90088</v>
      </c>
    </row>
    <row r="1012">
      <c r="A1012" s="2">
        <f>IFERROR(__xludf.DUMMYFUNCTION("""COMPUTED_VALUE"""),40633.666666666664)</f>
        <v>40633.66667</v>
      </c>
      <c r="B1012" s="1">
        <f>IFERROR(__xludf.DUMMYFUNCTION("""COMPUTED_VALUE"""),1.54)</f>
        <v>1.54</v>
      </c>
      <c r="C1012" s="1">
        <f>IFERROR(__xludf.DUMMYFUNCTION("""COMPUTED_VALUE"""),1.62)</f>
        <v>1.62</v>
      </c>
      <c r="D1012" s="1">
        <f>IFERROR(__xludf.DUMMYFUNCTION("""COMPUTED_VALUE"""),1.53)</f>
        <v>1.53</v>
      </c>
      <c r="E1012" s="1">
        <f>IFERROR(__xludf.DUMMYFUNCTION("""COMPUTED_VALUE"""),1.6)</f>
        <v>1.6</v>
      </c>
      <c r="F1012" s="1">
        <f>IFERROR(__xludf.DUMMYFUNCTION("""COMPUTED_VALUE"""),280615.0)</f>
        <v>280615</v>
      </c>
    </row>
    <row r="1013">
      <c r="A1013" s="2">
        <f>IFERROR(__xludf.DUMMYFUNCTION("""COMPUTED_VALUE"""),40634.666666666664)</f>
        <v>40634.66667</v>
      </c>
      <c r="B1013" s="1">
        <f>IFERROR(__xludf.DUMMYFUNCTION("""COMPUTED_VALUE"""),1.62)</f>
        <v>1.62</v>
      </c>
      <c r="C1013" s="1">
        <f>IFERROR(__xludf.DUMMYFUNCTION("""COMPUTED_VALUE"""),1.69)</f>
        <v>1.69</v>
      </c>
      <c r="D1013" s="1">
        <f>IFERROR(__xludf.DUMMYFUNCTION("""COMPUTED_VALUE"""),1.61)</f>
        <v>1.61</v>
      </c>
      <c r="E1013" s="1">
        <f>IFERROR(__xludf.DUMMYFUNCTION("""COMPUTED_VALUE"""),1.62)</f>
        <v>1.62</v>
      </c>
      <c r="F1013" s="1">
        <f>IFERROR(__xludf.DUMMYFUNCTION("""COMPUTED_VALUE"""),313070.0)</f>
        <v>313070</v>
      </c>
    </row>
    <row r="1014">
      <c r="A1014" s="2">
        <f>IFERROR(__xludf.DUMMYFUNCTION("""COMPUTED_VALUE"""),40637.666666666664)</f>
        <v>40637.66667</v>
      </c>
      <c r="B1014" s="1">
        <f>IFERROR(__xludf.DUMMYFUNCTION("""COMPUTED_VALUE"""),1.63)</f>
        <v>1.63</v>
      </c>
      <c r="C1014" s="1">
        <f>IFERROR(__xludf.DUMMYFUNCTION("""COMPUTED_VALUE"""),1.65)</f>
        <v>1.65</v>
      </c>
      <c r="D1014" s="1">
        <f>IFERROR(__xludf.DUMMYFUNCTION("""COMPUTED_VALUE"""),1.61)</f>
        <v>1.61</v>
      </c>
      <c r="E1014" s="1">
        <f>IFERROR(__xludf.DUMMYFUNCTION("""COMPUTED_VALUE"""),1.65)</f>
        <v>1.65</v>
      </c>
      <c r="F1014" s="1">
        <f>IFERROR(__xludf.DUMMYFUNCTION("""COMPUTED_VALUE"""),179185.0)</f>
        <v>179185</v>
      </c>
    </row>
    <row r="1015">
      <c r="A1015" s="2">
        <f>IFERROR(__xludf.DUMMYFUNCTION("""COMPUTED_VALUE"""),40638.666666666664)</f>
        <v>40638.66667</v>
      </c>
      <c r="B1015" s="1">
        <f>IFERROR(__xludf.DUMMYFUNCTION("""COMPUTED_VALUE"""),1.65)</f>
        <v>1.65</v>
      </c>
      <c r="C1015" s="1">
        <f>IFERROR(__xludf.DUMMYFUNCTION("""COMPUTED_VALUE"""),1.67)</f>
        <v>1.67</v>
      </c>
      <c r="D1015" s="1">
        <f>IFERROR(__xludf.DUMMYFUNCTION("""COMPUTED_VALUE"""),1.62)</f>
        <v>1.62</v>
      </c>
      <c r="E1015" s="1">
        <f>IFERROR(__xludf.DUMMYFUNCTION("""COMPUTED_VALUE"""),1.64)</f>
        <v>1.64</v>
      </c>
      <c r="F1015" s="1">
        <f>IFERROR(__xludf.DUMMYFUNCTION("""COMPUTED_VALUE"""),101628.0)</f>
        <v>101628</v>
      </c>
    </row>
    <row r="1016">
      <c r="A1016" s="2">
        <f>IFERROR(__xludf.DUMMYFUNCTION("""COMPUTED_VALUE"""),40639.666666666664)</f>
        <v>40639.66667</v>
      </c>
      <c r="B1016" s="1">
        <f>IFERROR(__xludf.DUMMYFUNCTION("""COMPUTED_VALUE"""),1.64)</f>
        <v>1.64</v>
      </c>
      <c r="C1016" s="1">
        <f>IFERROR(__xludf.DUMMYFUNCTION("""COMPUTED_VALUE"""),1.66)</f>
        <v>1.66</v>
      </c>
      <c r="D1016" s="1">
        <f>IFERROR(__xludf.DUMMYFUNCTION("""COMPUTED_VALUE"""),1.63)</f>
        <v>1.63</v>
      </c>
      <c r="E1016" s="1">
        <f>IFERROR(__xludf.DUMMYFUNCTION("""COMPUTED_VALUE"""),1.65)</f>
        <v>1.65</v>
      </c>
      <c r="F1016" s="1">
        <f>IFERROR(__xludf.DUMMYFUNCTION("""COMPUTED_VALUE"""),70304.0)</f>
        <v>70304</v>
      </c>
    </row>
    <row r="1017">
      <c r="A1017" s="2">
        <f>IFERROR(__xludf.DUMMYFUNCTION("""COMPUTED_VALUE"""),40640.666666666664)</f>
        <v>40640.66667</v>
      </c>
      <c r="B1017" s="1">
        <f>IFERROR(__xludf.DUMMYFUNCTION("""COMPUTED_VALUE"""),1.65)</f>
        <v>1.65</v>
      </c>
      <c r="C1017" s="1">
        <f>IFERROR(__xludf.DUMMYFUNCTION("""COMPUTED_VALUE"""),1.66)</f>
        <v>1.66</v>
      </c>
      <c r="D1017" s="1">
        <f>IFERROR(__xludf.DUMMYFUNCTION("""COMPUTED_VALUE"""),1.63)</f>
        <v>1.63</v>
      </c>
      <c r="E1017" s="1">
        <f>IFERROR(__xludf.DUMMYFUNCTION("""COMPUTED_VALUE"""),1.64)</f>
        <v>1.64</v>
      </c>
      <c r="F1017" s="1">
        <f>IFERROR(__xludf.DUMMYFUNCTION("""COMPUTED_VALUE"""),86687.0)</f>
        <v>86687</v>
      </c>
    </row>
    <row r="1018">
      <c r="A1018" s="2">
        <f>IFERROR(__xludf.DUMMYFUNCTION("""COMPUTED_VALUE"""),40641.666666666664)</f>
        <v>40641.66667</v>
      </c>
      <c r="B1018" s="1">
        <f>IFERROR(__xludf.DUMMYFUNCTION("""COMPUTED_VALUE"""),1.65)</f>
        <v>1.65</v>
      </c>
      <c r="C1018" s="1">
        <f>IFERROR(__xludf.DUMMYFUNCTION("""COMPUTED_VALUE"""),1.68)</f>
        <v>1.68</v>
      </c>
      <c r="D1018" s="1">
        <f>IFERROR(__xludf.DUMMYFUNCTION("""COMPUTED_VALUE"""),1.61)</f>
        <v>1.61</v>
      </c>
      <c r="E1018" s="1">
        <f>IFERROR(__xludf.DUMMYFUNCTION("""COMPUTED_VALUE"""),1.61)</f>
        <v>1.61</v>
      </c>
      <c r="F1018" s="1">
        <f>IFERROR(__xludf.DUMMYFUNCTION("""COMPUTED_VALUE"""),125470.0)</f>
        <v>125470</v>
      </c>
    </row>
    <row r="1019">
      <c r="A1019" s="2">
        <f>IFERROR(__xludf.DUMMYFUNCTION("""COMPUTED_VALUE"""),40644.666666666664)</f>
        <v>40644.66667</v>
      </c>
      <c r="B1019" s="1">
        <f>IFERROR(__xludf.DUMMYFUNCTION("""COMPUTED_VALUE"""),1.61)</f>
        <v>1.61</v>
      </c>
      <c r="C1019" s="1">
        <f>IFERROR(__xludf.DUMMYFUNCTION("""COMPUTED_VALUE"""),1.61)</f>
        <v>1.61</v>
      </c>
      <c r="D1019" s="1">
        <f>IFERROR(__xludf.DUMMYFUNCTION("""COMPUTED_VALUE"""),1.54)</f>
        <v>1.54</v>
      </c>
      <c r="E1019" s="1">
        <f>IFERROR(__xludf.DUMMYFUNCTION("""COMPUTED_VALUE"""),1.55)</f>
        <v>1.55</v>
      </c>
      <c r="F1019" s="1">
        <f>IFERROR(__xludf.DUMMYFUNCTION("""COMPUTED_VALUE"""),111957.0)</f>
        <v>111957</v>
      </c>
    </row>
    <row r="1020">
      <c r="A1020" s="2">
        <f>IFERROR(__xludf.DUMMYFUNCTION("""COMPUTED_VALUE"""),40645.666666666664)</f>
        <v>40645.66667</v>
      </c>
      <c r="B1020" s="1">
        <f>IFERROR(__xludf.DUMMYFUNCTION("""COMPUTED_VALUE"""),1.53)</f>
        <v>1.53</v>
      </c>
      <c r="C1020" s="1">
        <f>IFERROR(__xludf.DUMMYFUNCTION("""COMPUTED_VALUE"""),1.54)</f>
        <v>1.54</v>
      </c>
      <c r="D1020" s="1">
        <f>IFERROR(__xludf.DUMMYFUNCTION("""COMPUTED_VALUE"""),1.5)</f>
        <v>1.5</v>
      </c>
      <c r="E1020" s="1">
        <f>IFERROR(__xludf.DUMMYFUNCTION("""COMPUTED_VALUE"""),1.53)</f>
        <v>1.53</v>
      </c>
      <c r="F1020" s="1">
        <f>IFERROR(__xludf.DUMMYFUNCTION("""COMPUTED_VALUE"""),123922.0)</f>
        <v>123922</v>
      </c>
    </row>
    <row r="1021">
      <c r="A1021" s="2">
        <f>IFERROR(__xludf.DUMMYFUNCTION("""COMPUTED_VALUE"""),40646.666666666664)</f>
        <v>40646.66667</v>
      </c>
      <c r="B1021" s="1">
        <f>IFERROR(__xludf.DUMMYFUNCTION("""COMPUTED_VALUE"""),1.55)</f>
        <v>1.55</v>
      </c>
      <c r="C1021" s="1">
        <f>IFERROR(__xludf.DUMMYFUNCTION("""COMPUTED_VALUE"""),1.56)</f>
        <v>1.56</v>
      </c>
      <c r="D1021" s="1">
        <f>IFERROR(__xludf.DUMMYFUNCTION("""COMPUTED_VALUE"""),1.52)</f>
        <v>1.52</v>
      </c>
      <c r="E1021" s="1">
        <f>IFERROR(__xludf.DUMMYFUNCTION("""COMPUTED_VALUE"""),1.53)</f>
        <v>1.53</v>
      </c>
      <c r="F1021" s="1">
        <f>IFERROR(__xludf.DUMMYFUNCTION("""COMPUTED_VALUE"""),81060.0)</f>
        <v>81060</v>
      </c>
    </row>
    <row r="1022">
      <c r="A1022" s="2">
        <f>IFERROR(__xludf.DUMMYFUNCTION("""COMPUTED_VALUE"""),40647.666666666664)</f>
        <v>40647.66667</v>
      </c>
      <c r="B1022" s="1">
        <f>IFERROR(__xludf.DUMMYFUNCTION("""COMPUTED_VALUE"""),1.52)</f>
        <v>1.52</v>
      </c>
      <c r="C1022" s="1">
        <f>IFERROR(__xludf.DUMMYFUNCTION("""COMPUTED_VALUE"""),1.58)</f>
        <v>1.58</v>
      </c>
      <c r="D1022" s="1">
        <f>IFERROR(__xludf.DUMMYFUNCTION("""COMPUTED_VALUE"""),1.51)</f>
        <v>1.51</v>
      </c>
      <c r="E1022" s="1">
        <f>IFERROR(__xludf.DUMMYFUNCTION("""COMPUTED_VALUE"""),1.54)</f>
        <v>1.54</v>
      </c>
      <c r="F1022" s="1">
        <f>IFERROR(__xludf.DUMMYFUNCTION("""COMPUTED_VALUE"""),83958.0)</f>
        <v>83958</v>
      </c>
    </row>
    <row r="1023">
      <c r="A1023" s="2">
        <f>IFERROR(__xludf.DUMMYFUNCTION("""COMPUTED_VALUE"""),40648.666666666664)</f>
        <v>40648.66667</v>
      </c>
      <c r="B1023" s="1">
        <f>IFERROR(__xludf.DUMMYFUNCTION("""COMPUTED_VALUE"""),1.53)</f>
        <v>1.53</v>
      </c>
      <c r="C1023" s="1">
        <f>IFERROR(__xludf.DUMMYFUNCTION("""COMPUTED_VALUE"""),1.58)</f>
        <v>1.58</v>
      </c>
      <c r="D1023" s="1">
        <f>IFERROR(__xludf.DUMMYFUNCTION("""COMPUTED_VALUE"""),1.53)</f>
        <v>1.53</v>
      </c>
      <c r="E1023" s="1">
        <f>IFERROR(__xludf.DUMMYFUNCTION("""COMPUTED_VALUE"""),1.57)</f>
        <v>1.57</v>
      </c>
      <c r="F1023" s="1">
        <f>IFERROR(__xludf.DUMMYFUNCTION("""COMPUTED_VALUE"""),70019.0)</f>
        <v>70019</v>
      </c>
    </row>
    <row r="1024">
      <c r="A1024" s="2">
        <f>IFERROR(__xludf.DUMMYFUNCTION("""COMPUTED_VALUE"""),40651.666666666664)</f>
        <v>40651.66667</v>
      </c>
      <c r="B1024" s="1">
        <f>IFERROR(__xludf.DUMMYFUNCTION("""COMPUTED_VALUE"""),1.55)</f>
        <v>1.55</v>
      </c>
      <c r="C1024" s="1">
        <f>IFERROR(__xludf.DUMMYFUNCTION("""COMPUTED_VALUE"""),1.57)</f>
        <v>1.57</v>
      </c>
      <c r="D1024" s="1">
        <f>IFERROR(__xludf.DUMMYFUNCTION("""COMPUTED_VALUE"""),1.52)</f>
        <v>1.52</v>
      </c>
      <c r="E1024" s="1">
        <f>IFERROR(__xludf.DUMMYFUNCTION("""COMPUTED_VALUE"""),1.56)</f>
        <v>1.56</v>
      </c>
      <c r="F1024" s="1">
        <f>IFERROR(__xludf.DUMMYFUNCTION("""COMPUTED_VALUE"""),91651.0)</f>
        <v>91651</v>
      </c>
    </row>
    <row r="1025">
      <c r="A1025" s="2">
        <f>IFERROR(__xludf.DUMMYFUNCTION("""COMPUTED_VALUE"""),40652.666666666664)</f>
        <v>40652.66667</v>
      </c>
      <c r="B1025" s="1">
        <f>IFERROR(__xludf.DUMMYFUNCTION("""COMPUTED_VALUE"""),1.57)</f>
        <v>1.57</v>
      </c>
      <c r="C1025" s="1">
        <f>IFERROR(__xludf.DUMMYFUNCTION("""COMPUTED_VALUE"""),1.57)</f>
        <v>1.57</v>
      </c>
      <c r="D1025" s="1">
        <f>IFERROR(__xludf.DUMMYFUNCTION("""COMPUTED_VALUE"""),1.53)</f>
        <v>1.53</v>
      </c>
      <c r="E1025" s="1">
        <f>IFERROR(__xludf.DUMMYFUNCTION("""COMPUTED_VALUE"""),1.54)</f>
        <v>1.54</v>
      </c>
      <c r="F1025" s="1">
        <f>IFERROR(__xludf.DUMMYFUNCTION("""COMPUTED_VALUE"""),61205.0)</f>
        <v>61205</v>
      </c>
    </row>
    <row r="1026">
      <c r="A1026" s="2">
        <f>IFERROR(__xludf.DUMMYFUNCTION("""COMPUTED_VALUE"""),40653.666666666664)</f>
        <v>40653.66667</v>
      </c>
      <c r="B1026" s="1">
        <f>IFERROR(__xludf.DUMMYFUNCTION("""COMPUTED_VALUE"""),1.57)</f>
        <v>1.57</v>
      </c>
      <c r="C1026" s="1">
        <f>IFERROR(__xludf.DUMMYFUNCTION("""COMPUTED_VALUE"""),1.67)</f>
        <v>1.67</v>
      </c>
      <c r="D1026" s="1">
        <f>IFERROR(__xludf.DUMMYFUNCTION("""COMPUTED_VALUE"""),1.57)</f>
        <v>1.57</v>
      </c>
      <c r="E1026" s="1">
        <f>IFERROR(__xludf.DUMMYFUNCTION("""COMPUTED_VALUE"""),1.67)</f>
        <v>1.67</v>
      </c>
      <c r="F1026" s="1">
        <f>IFERROR(__xludf.DUMMYFUNCTION("""COMPUTED_VALUE"""),213070.0)</f>
        <v>213070</v>
      </c>
    </row>
    <row r="1027">
      <c r="A1027" s="2">
        <f>IFERROR(__xludf.DUMMYFUNCTION("""COMPUTED_VALUE"""),40654.666666666664)</f>
        <v>40654.66667</v>
      </c>
      <c r="B1027" s="1">
        <f>IFERROR(__xludf.DUMMYFUNCTION("""COMPUTED_VALUE"""),1.68)</f>
        <v>1.68</v>
      </c>
      <c r="C1027" s="1">
        <f>IFERROR(__xludf.DUMMYFUNCTION("""COMPUTED_VALUE"""),1.7)</f>
        <v>1.7</v>
      </c>
      <c r="D1027" s="1">
        <f>IFERROR(__xludf.DUMMYFUNCTION("""COMPUTED_VALUE"""),1.65)</f>
        <v>1.65</v>
      </c>
      <c r="E1027" s="1">
        <f>IFERROR(__xludf.DUMMYFUNCTION("""COMPUTED_VALUE"""),1.7)</f>
        <v>1.7</v>
      </c>
      <c r="F1027" s="1">
        <f>IFERROR(__xludf.DUMMYFUNCTION("""COMPUTED_VALUE"""),222337.0)</f>
        <v>222337</v>
      </c>
    </row>
    <row r="1028">
      <c r="A1028" s="2">
        <f>IFERROR(__xludf.DUMMYFUNCTION("""COMPUTED_VALUE"""),40658.666666666664)</f>
        <v>40658.66667</v>
      </c>
      <c r="B1028" s="1">
        <f>IFERROR(__xludf.DUMMYFUNCTION("""COMPUTED_VALUE"""),1.75)</f>
        <v>1.75</v>
      </c>
      <c r="C1028" s="1">
        <f>IFERROR(__xludf.DUMMYFUNCTION("""COMPUTED_VALUE"""),1.88)</f>
        <v>1.88</v>
      </c>
      <c r="D1028" s="1">
        <f>IFERROR(__xludf.DUMMYFUNCTION("""COMPUTED_VALUE"""),1.74)</f>
        <v>1.74</v>
      </c>
      <c r="E1028" s="1">
        <f>IFERROR(__xludf.DUMMYFUNCTION("""COMPUTED_VALUE"""),1.86)</f>
        <v>1.86</v>
      </c>
      <c r="F1028" s="1">
        <f>IFERROR(__xludf.DUMMYFUNCTION("""COMPUTED_VALUE"""),750567.0)</f>
        <v>750567</v>
      </c>
    </row>
    <row r="1029">
      <c r="A1029" s="2">
        <f>IFERROR(__xludf.DUMMYFUNCTION("""COMPUTED_VALUE"""),40659.666666666664)</f>
        <v>40659.66667</v>
      </c>
      <c r="B1029" s="1">
        <f>IFERROR(__xludf.DUMMYFUNCTION("""COMPUTED_VALUE"""),1.88)</f>
        <v>1.88</v>
      </c>
      <c r="C1029" s="1">
        <f>IFERROR(__xludf.DUMMYFUNCTION("""COMPUTED_VALUE"""),1.93)</f>
        <v>1.93</v>
      </c>
      <c r="D1029" s="1">
        <f>IFERROR(__xludf.DUMMYFUNCTION("""COMPUTED_VALUE"""),1.81)</f>
        <v>1.81</v>
      </c>
      <c r="E1029" s="1">
        <f>IFERROR(__xludf.DUMMYFUNCTION("""COMPUTED_VALUE"""),1.9)</f>
        <v>1.9</v>
      </c>
      <c r="F1029" s="1">
        <f>IFERROR(__xludf.DUMMYFUNCTION("""COMPUTED_VALUE"""),403226.0)</f>
        <v>403226</v>
      </c>
    </row>
    <row r="1030">
      <c r="A1030" s="2">
        <f>IFERROR(__xludf.DUMMYFUNCTION("""COMPUTED_VALUE"""),40660.666666666664)</f>
        <v>40660.66667</v>
      </c>
      <c r="B1030" s="1">
        <f>IFERROR(__xludf.DUMMYFUNCTION("""COMPUTED_VALUE"""),1.8)</f>
        <v>1.8</v>
      </c>
      <c r="C1030" s="1">
        <f>IFERROR(__xludf.DUMMYFUNCTION("""COMPUTED_VALUE"""),1.84)</f>
        <v>1.84</v>
      </c>
      <c r="D1030" s="1">
        <f>IFERROR(__xludf.DUMMYFUNCTION("""COMPUTED_VALUE"""),1.68)</f>
        <v>1.68</v>
      </c>
      <c r="E1030" s="1">
        <f>IFERROR(__xludf.DUMMYFUNCTION("""COMPUTED_VALUE"""),1.74)</f>
        <v>1.74</v>
      </c>
      <c r="F1030" s="1">
        <f>IFERROR(__xludf.DUMMYFUNCTION("""COMPUTED_VALUE"""),619292.0)</f>
        <v>619292</v>
      </c>
    </row>
    <row r="1031">
      <c r="A1031" s="2">
        <f>IFERROR(__xludf.DUMMYFUNCTION("""COMPUTED_VALUE"""),40661.666666666664)</f>
        <v>40661.66667</v>
      </c>
      <c r="B1031" s="1">
        <f>IFERROR(__xludf.DUMMYFUNCTION("""COMPUTED_VALUE"""),1.73)</f>
        <v>1.73</v>
      </c>
      <c r="C1031" s="1">
        <f>IFERROR(__xludf.DUMMYFUNCTION("""COMPUTED_VALUE"""),1.75)</f>
        <v>1.75</v>
      </c>
      <c r="D1031" s="1">
        <f>IFERROR(__xludf.DUMMYFUNCTION("""COMPUTED_VALUE"""),1.68)</f>
        <v>1.68</v>
      </c>
      <c r="E1031" s="1">
        <f>IFERROR(__xludf.DUMMYFUNCTION("""COMPUTED_VALUE"""),1.71)</f>
        <v>1.71</v>
      </c>
      <c r="F1031" s="1">
        <f>IFERROR(__xludf.DUMMYFUNCTION("""COMPUTED_VALUE"""),201422.0)</f>
        <v>201422</v>
      </c>
    </row>
    <row r="1032">
      <c r="A1032" s="2">
        <f>IFERROR(__xludf.DUMMYFUNCTION("""COMPUTED_VALUE"""),40662.666666666664)</f>
        <v>40662.66667</v>
      </c>
      <c r="B1032" s="1">
        <f>IFERROR(__xludf.DUMMYFUNCTION("""COMPUTED_VALUE"""),1.7)</f>
        <v>1.7</v>
      </c>
      <c r="C1032" s="1">
        <f>IFERROR(__xludf.DUMMYFUNCTION("""COMPUTED_VALUE"""),1.71)</f>
        <v>1.71</v>
      </c>
      <c r="D1032" s="1">
        <f>IFERROR(__xludf.DUMMYFUNCTION("""COMPUTED_VALUE"""),1.58)</f>
        <v>1.58</v>
      </c>
      <c r="E1032" s="1">
        <f>IFERROR(__xludf.DUMMYFUNCTION("""COMPUTED_VALUE"""),1.71)</f>
        <v>1.71</v>
      </c>
      <c r="F1032" s="1">
        <f>IFERROR(__xludf.DUMMYFUNCTION("""COMPUTED_VALUE"""),452411.0)</f>
        <v>452411</v>
      </c>
    </row>
    <row r="1033">
      <c r="A1033" s="2">
        <f>IFERROR(__xludf.DUMMYFUNCTION("""COMPUTED_VALUE"""),40665.666666666664)</f>
        <v>40665.66667</v>
      </c>
      <c r="B1033" s="1">
        <f>IFERROR(__xludf.DUMMYFUNCTION("""COMPUTED_VALUE"""),1.7)</f>
        <v>1.7</v>
      </c>
      <c r="C1033" s="1">
        <f>IFERROR(__xludf.DUMMYFUNCTION("""COMPUTED_VALUE"""),1.73)</f>
        <v>1.73</v>
      </c>
      <c r="D1033" s="1">
        <f>IFERROR(__xludf.DUMMYFUNCTION("""COMPUTED_VALUE"""),1.65)</f>
        <v>1.65</v>
      </c>
      <c r="E1033" s="1">
        <f>IFERROR(__xludf.DUMMYFUNCTION("""COMPUTED_VALUE"""),1.66)</f>
        <v>1.66</v>
      </c>
      <c r="F1033" s="1">
        <f>IFERROR(__xludf.DUMMYFUNCTION("""COMPUTED_VALUE"""),361717.0)</f>
        <v>361717</v>
      </c>
    </row>
    <row r="1034">
      <c r="A1034" s="2">
        <f>IFERROR(__xludf.DUMMYFUNCTION("""COMPUTED_VALUE"""),40666.666666666664)</f>
        <v>40666.66667</v>
      </c>
      <c r="B1034" s="1">
        <f>IFERROR(__xludf.DUMMYFUNCTION("""COMPUTED_VALUE"""),1.64)</f>
        <v>1.64</v>
      </c>
      <c r="C1034" s="1">
        <f>IFERROR(__xludf.DUMMYFUNCTION("""COMPUTED_VALUE"""),1.66)</f>
        <v>1.66</v>
      </c>
      <c r="D1034" s="1">
        <f>IFERROR(__xludf.DUMMYFUNCTION("""COMPUTED_VALUE"""),1.59)</f>
        <v>1.59</v>
      </c>
      <c r="E1034" s="1">
        <f>IFERROR(__xludf.DUMMYFUNCTION("""COMPUTED_VALUE"""),1.62)</f>
        <v>1.62</v>
      </c>
      <c r="F1034" s="1">
        <f>IFERROR(__xludf.DUMMYFUNCTION("""COMPUTED_VALUE"""),222409.0)</f>
        <v>222409</v>
      </c>
    </row>
    <row r="1035">
      <c r="A1035" s="2">
        <f>IFERROR(__xludf.DUMMYFUNCTION("""COMPUTED_VALUE"""),40667.666666666664)</f>
        <v>40667.66667</v>
      </c>
      <c r="B1035" s="1">
        <f>IFERROR(__xludf.DUMMYFUNCTION("""COMPUTED_VALUE"""),1.63)</f>
        <v>1.63</v>
      </c>
      <c r="C1035" s="1">
        <f>IFERROR(__xludf.DUMMYFUNCTION("""COMPUTED_VALUE"""),1.67)</f>
        <v>1.67</v>
      </c>
      <c r="D1035" s="1">
        <f>IFERROR(__xludf.DUMMYFUNCTION("""COMPUTED_VALUE"""),1.58)</f>
        <v>1.58</v>
      </c>
      <c r="E1035" s="1">
        <f>IFERROR(__xludf.DUMMYFUNCTION("""COMPUTED_VALUE"""),1.58)</f>
        <v>1.58</v>
      </c>
      <c r="F1035" s="1">
        <f>IFERROR(__xludf.DUMMYFUNCTION("""COMPUTED_VALUE"""),305852.0)</f>
        <v>305852</v>
      </c>
    </row>
    <row r="1036">
      <c r="A1036" s="2">
        <f>IFERROR(__xludf.DUMMYFUNCTION("""COMPUTED_VALUE"""),40668.666666666664)</f>
        <v>40668.66667</v>
      </c>
      <c r="B1036" s="1">
        <f>IFERROR(__xludf.DUMMYFUNCTION("""COMPUTED_VALUE"""),1.58)</f>
        <v>1.58</v>
      </c>
      <c r="C1036" s="1">
        <f>IFERROR(__xludf.DUMMYFUNCTION("""COMPUTED_VALUE"""),1.65)</f>
        <v>1.65</v>
      </c>
      <c r="D1036" s="1">
        <f>IFERROR(__xludf.DUMMYFUNCTION("""COMPUTED_VALUE"""),1.56)</f>
        <v>1.56</v>
      </c>
      <c r="E1036" s="1">
        <f>IFERROR(__xludf.DUMMYFUNCTION("""COMPUTED_VALUE"""),1.62)</f>
        <v>1.62</v>
      </c>
      <c r="F1036" s="1">
        <f>IFERROR(__xludf.DUMMYFUNCTION("""COMPUTED_VALUE"""),201978.0)</f>
        <v>201978</v>
      </c>
    </row>
    <row r="1037">
      <c r="A1037" s="2">
        <f>IFERROR(__xludf.DUMMYFUNCTION("""COMPUTED_VALUE"""),40669.666666666664)</f>
        <v>40669.66667</v>
      </c>
      <c r="B1037" s="1">
        <f>IFERROR(__xludf.DUMMYFUNCTION("""COMPUTED_VALUE"""),1.64)</f>
        <v>1.64</v>
      </c>
      <c r="C1037" s="1">
        <f>IFERROR(__xludf.DUMMYFUNCTION("""COMPUTED_VALUE"""),1.65)</f>
        <v>1.65</v>
      </c>
      <c r="D1037" s="1">
        <f>IFERROR(__xludf.DUMMYFUNCTION("""COMPUTED_VALUE"""),1.58)</f>
        <v>1.58</v>
      </c>
      <c r="E1037" s="1">
        <f>IFERROR(__xludf.DUMMYFUNCTION("""COMPUTED_VALUE"""),1.61)</f>
        <v>1.61</v>
      </c>
      <c r="F1037" s="1">
        <f>IFERROR(__xludf.DUMMYFUNCTION("""COMPUTED_VALUE"""),127752.0)</f>
        <v>127752</v>
      </c>
    </row>
    <row r="1038">
      <c r="A1038" s="2">
        <f>IFERROR(__xludf.DUMMYFUNCTION("""COMPUTED_VALUE"""),40672.666666666664)</f>
        <v>40672.66667</v>
      </c>
      <c r="B1038" s="1">
        <f>IFERROR(__xludf.DUMMYFUNCTION("""COMPUTED_VALUE"""),1.61)</f>
        <v>1.61</v>
      </c>
      <c r="C1038" s="1">
        <f>IFERROR(__xludf.DUMMYFUNCTION("""COMPUTED_VALUE"""),1.65)</f>
        <v>1.65</v>
      </c>
      <c r="D1038" s="1">
        <f>IFERROR(__xludf.DUMMYFUNCTION("""COMPUTED_VALUE"""),1.59)</f>
        <v>1.59</v>
      </c>
      <c r="E1038" s="1">
        <f>IFERROR(__xludf.DUMMYFUNCTION("""COMPUTED_VALUE"""),1.64)</f>
        <v>1.64</v>
      </c>
      <c r="F1038" s="1">
        <f>IFERROR(__xludf.DUMMYFUNCTION("""COMPUTED_VALUE"""),144804.0)</f>
        <v>144804</v>
      </c>
    </row>
    <row r="1039">
      <c r="A1039" s="2">
        <f>IFERROR(__xludf.DUMMYFUNCTION("""COMPUTED_VALUE"""),40673.666666666664)</f>
        <v>40673.66667</v>
      </c>
      <c r="B1039" s="1">
        <f>IFERROR(__xludf.DUMMYFUNCTION("""COMPUTED_VALUE"""),1.65)</f>
        <v>1.65</v>
      </c>
      <c r="C1039" s="1">
        <f>IFERROR(__xludf.DUMMYFUNCTION("""COMPUTED_VALUE"""),1.68)</f>
        <v>1.68</v>
      </c>
      <c r="D1039" s="1">
        <f>IFERROR(__xludf.DUMMYFUNCTION("""COMPUTED_VALUE"""),1.63)</f>
        <v>1.63</v>
      </c>
      <c r="E1039" s="1">
        <f>IFERROR(__xludf.DUMMYFUNCTION("""COMPUTED_VALUE"""),1.68)</f>
        <v>1.68</v>
      </c>
      <c r="F1039" s="1">
        <f>IFERROR(__xludf.DUMMYFUNCTION("""COMPUTED_VALUE"""),236712.0)</f>
        <v>236712</v>
      </c>
    </row>
    <row r="1040">
      <c r="A1040" s="2">
        <f>IFERROR(__xludf.DUMMYFUNCTION("""COMPUTED_VALUE"""),40674.666666666664)</f>
        <v>40674.66667</v>
      </c>
      <c r="B1040" s="1">
        <f>IFERROR(__xludf.DUMMYFUNCTION("""COMPUTED_VALUE"""),1.68)</f>
        <v>1.68</v>
      </c>
      <c r="C1040" s="1">
        <f>IFERROR(__xludf.DUMMYFUNCTION("""COMPUTED_VALUE"""),1.71)</f>
        <v>1.71</v>
      </c>
      <c r="D1040" s="1">
        <f>IFERROR(__xludf.DUMMYFUNCTION("""COMPUTED_VALUE"""),1.67)</f>
        <v>1.67</v>
      </c>
      <c r="E1040" s="1">
        <f>IFERROR(__xludf.DUMMYFUNCTION("""COMPUTED_VALUE"""),1.7)</f>
        <v>1.7</v>
      </c>
      <c r="F1040" s="1">
        <f>IFERROR(__xludf.DUMMYFUNCTION("""COMPUTED_VALUE"""),317018.0)</f>
        <v>317018</v>
      </c>
    </row>
    <row r="1041">
      <c r="A1041" s="2">
        <f>IFERROR(__xludf.DUMMYFUNCTION("""COMPUTED_VALUE"""),40675.666666666664)</f>
        <v>40675.66667</v>
      </c>
      <c r="B1041" s="1">
        <f>IFERROR(__xludf.DUMMYFUNCTION("""COMPUTED_VALUE"""),1.69)</f>
        <v>1.69</v>
      </c>
      <c r="C1041" s="1">
        <f>IFERROR(__xludf.DUMMYFUNCTION("""COMPUTED_VALUE"""),1.7)</f>
        <v>1.7</v>
      </c>
      <c r="D1041" s="1">
        <f>IFERROR(__xludf.DUMMYFUNCTION("""COMPUTED_VALUE"""),1.67)</f>
        <v>1.67</v>
      </c>
      <c r="E1041" s="1">
        <f>IFERROR(__xludf.DUMMYFUNCTION("""COMPUTED_VALUE"""),1.69)</f>
        <v>1.69</v>
      </c>
      <c r="F1041" s="1">
        <f>IFERROR(__xludf.DUMMYFUNCTION("""COMPUTED_VALUE"""),142913.0)</f>
        <v>142913</v>
      </c>
    </row>
    <row r="1042">
      <c r="A1042" s="2">
        <f>IFERROR(__xludf.DUMMYFUNCTION("""COMPUTED_VALUE"""),40676.666666666664)</f>
        <v>40676.66667</v>
      </c>
      <c r="B1042" s="1">
        <f>IFERROR(__xludf.DUMMYFUNCTION("""COMPUTED_VALUE"""),1.69)</f>
        <v>1.69</v>
      </c>
      <c r="C1042" s="1">
        <f>IFERROR(__xludf.DUMMYFUNCTION("""COMPUTED_VALUE"""),1.7)</f>
        <v>1.7</v>
      </c>
      <c r="D1042" s="1">
        <f>IFERROR(__xludf.DUMMYFUNCTION("""COMPUTED_VALUE"""),1.68)</f>
        <v>1.68</v>
      </c>
      <c r="E1042" s="1">
        <f>IFERROR(__xludf.DUMMYFUNCTION("""COMPUTED_VALUE"""),1.69)</f>
        <v>1.69</v>
      </c>
      <c r="F1042" s="1">
        <f>IFERROR(__xludf.DUMMYFUNCTION("""COMPUTED_VALUE"""),180721.0)</f>
        <v>180721</v>
      </c>
    </row>
    <row r="1043">
      <c r="A1043" s="2">
        <f>IFERROR(__xludf.DUMMYFUNCTION("""COMPUTED_VALUE"""),40679.666666666664)</f>
        <v>40679.66667</v>
      </c>
      <c r="B1043" s="1">
        <f>IFERROR(__xludf.DUMMYFUNCTION("""COMPUTED_VALUE"""),1.67)</f>
        <v>1.67</v>
      </c>
      <c r="C1043" s="1">
        <f>IFERROR(__xludf.DUMMYFUNCTION("""COMPUTED_VALUE"""),1.68)</f>
        <v>1.68</v>
      </c>
      <c r="D1043" s="1">
        <f>IFERROR(__xludf.DUMMYFUNCTION("""COMPUTED_VALUE"""),1.63)</f>
        <v>1.63</v>
      </c>
      <c r="E1043" s="1">
        <f>IFERROR(__xludf.DUMMYFUNCTION("""COMPUTED_VALUE"""),1.63)</f>
        <v>1.63</v>
      </c>
      <c r="F1043" s="1">
        <f>IFERROR(__xludf.DUMMYFUNCTION("""COMPUTED_VALUE"""),213867.0)</f>
        <v>213867</v>
      </c>
    </row>
    <row r="1044">
      <c r="A1044" s="2">
        <f>IFERROR(__xludf.DUMMYFUNCTION("""COMPUTED_VALUE"""),40680.666666666664)</f>
        <v>40680.66667</v>
      </c>
      <c r="B1044" s="1">
        <f>IFERROR(__xludf.DUMMYFUNCTION("""COMPUTED_VALUE"""),1.62)</f>
        <v>1.62</v>
      </c>
      <c r="C1044" s="1">
        <f>IFERROR(__xludf.DUMMYFUNCTION("""COMPUTED_VALUE"""),1.63)</f>
        <v>1.63</v>
      </c>
      <c r="D1044" s="1">
        <f>IFERROR(__xludf.DUMMYFUNCTION("""COMPUTED_VALUE"""),1.58)</f>
        <v>1.58</v>
      </c>
      <c r="E1044" s="1">
        <f>IFERROR(__xludf.DUMMYFUNCTION("""COMPUTED_VALUE"""),1.63)</f>
        <v>1.63</v>
      </c>
      <c r="F1044" s="1">
        <f>IFERROR(__xludf.DUMMYFUNCTION("""COMPUTED_VALUE"""),175843.0)</f>
        <v>175843</v>
      </c>
    </row>
    <row r="1045">
      <c r="A1045" s="2">
        <f>IFERROR(__xludf.DUMMYFUNCTION("""COMPUTED_VALUE"""),40681.666666666664)</f>
        <v>40681.66667</v>
      </c>
      <c r="B1045" s="1">
        <f>IFERROR(__xludf.DUMMYFUNCTION("""COMPUTED_VALUE"""),1.62)</f>
        <v>1.62</v>
      </c>
      <c r="C1045" s="1">
        <f>IFERROR(__xludf.DUMMYFUNCTION("""COMPUTED_VALUE"""),1.68)</f>
        <v>1.68</v>
      </c>
      <c r="D1045" s="1">
        <f>IFERROR(__xludf.DUMMYFUNCTION("""COMPUTED_VALUE"""),1.62)</f>
        <v>1.62</v>
      </c>
      <c r="E1045" s="1">
        <f>IFERROR(__xludf.DUMMYFUNCTION("""COMPUTED_VALUE"""),1.66)</f>
        <v>1.66</v>
      </c>
      <c r="F1045" s="1">
        <f>IFERROR(__xludf.DUMMYFUNCTION("""COMPUTED_VALUE"""),123343.0)</f>
        <v>123343</v>
      </c>
    </row>
    <row r="1046">
      <c r="A1046" s="2">
        <f>IFERROR(__xludf.DUMMYFUNCTION("""COMPUTED_VALUE"""),40682.666666666664)</f>
        <v>40682.66667</v>
      </c>
      <c r="B1046" s="1">
        <f>IFERROR(__xludf.DUMMYFUNCTION("""COMPUTED_VALUE"""),1.65)</f>
        <v>1.65</v>
      </c>
      <c r="C1046" s="1">
        <f>IFERROR(__xludf.DUMMYFUNCTION("""COMPUTED_VALUE"""),1.69)</f>
        <v>1.69</v>
      </c>
      <c r="D1046" s="1">
        <f>IFERROR(__xludf.DUMMYFUNCTION("""COMPUTED_VALUE"""),1.63)</f>
        <v>1.63</v>
      </c>
      <c r="E1046" s="1">
        <f>IFERROR(__xludf.DUMMYFUNCTION("""COMPUTED_VALUE"""),1.69)</f>
        <v>1.69</v>
      </c>
      <c r="F1046" s="1">
        <f>IFERROR(__xludf.DUMMYFUNCTION("""COMPUTED_VALUE"""),235667.0)</f>
        <v>235667</v>
      </c>
    </row>
    <row r="1047">
      <c r="A1047" s="2">
        <f>IFERROR(__xludf.DUMMYFUNCTION("""COMPUTED_VALUE"""),40683.666666666664)</f>
        <v>40683.66667</v>
      </c>
      <c r="B1047" s="1">
        <f>IFERROR(__xludf.DUMMYFUNCTION("""COMPUTED_VALUE"""),1.68)</f>
        <v>1.68</v>
      </c>
      <c r="C1047" s="1">
        <f>IFERROR(__xludf.DUMMYFUNCTION("""COMPUTED_VALUE"""),1.7)</f>
        <v>1.7</v>
      </c>
      <c r="D1047" s="1">
        <f>IFERROR(__xludf.DUMMYFUNCTION("""COMPUTED_VALUE"""),1.67)</f>
        <v>1.67</v>
      </c>
      <c r="E1047" s="1">
        <f>IFERROR(__xludf.DUMMYFUNCTION("""COMPUTED_VALUE"""),1.68)</f>
        <v>1.68</v>
      </c>
      <c r="F1047" s="1">
        <f>IFERROR(__xludf.DUMMYFUNCTION("""COMPUTED_VALUE"""),286955.0)</f>
        <v>286955</v>
      </c>
    </row>
    <row r="1048">
      <c r="A1048" s="2">
        <f>IFERROR(__xludf.DUMMYFUNCTION("""COMPUTED_VALUE"""),40686.666666666664)</f>
        <v>40686.66667</v>
      </c>
      <c r="B1048" s="1">
        <f>IFERROR(__xludf.DUMMYFUNCTION("""COMPUTED_VALUE"""),1.64)</f>
        <v>1.64</v>
      </c>
      <c r="C1048" s="1">
        <f>IFERROR(__xludf.DUMMYFUNCTION("""COMPUTED_VALUE"""),1.67)</f>
        <v>1.67</v>
      </c>
      <c r="D1048" s="1">
        <f>IFERROR(__xludf.DUMMYFUNCTION("""COMPUTED_VALUE"""),1.63)</f>
        <v>1.63</v>
      </c>
      <c r="E1048" s="1">
        <f>IFERROR(__xludf.DUMMYFUNCTION("""COMPUTED_VALUE"""),1.63)</f>
        <v>1.63</v>
      </c>
      <c r="F1048" s="1">
        <f>IFERROR(__xludf.DUMMYFUNCTION("""COMPUTED_VALUE"""),173636.0)</f>
        <v>173636</v>
      </c>
    </row>
    <row r="1049">
      <c r="A1049" s="2">
        <f>IFERROR(__xludf.DUMMYFUNCTION("""COMPUTED_VALUE"""),40687.666666666664)</f>
        <v>40687.66667</v>
      </c>
      <c r="B1049" s="1">
        <f>IFERROR(__xludf.DUMMYFUNCTION("""COMPUTED_VALUE"""),1.64)</f>
        <v>1.64</v>
      </c>
      <c r="C1049" s="1">
        <f>IFERROR(__xludf.DUMMYFUNCTION("""COMPUTED_VALUE"""),1.66)</f>
        <v>1.66</v>
      </c>
      <c r="D1049" s="1">
        <f>IFERROR(__xludf.DUMMYFUNCTION("""COMPUTED_VALUE"""),1.63)</f>
        <v>1.63</v>
      </c>
      <c r="E1049" s="1">
        <f>IFERROR(__xludf.DUMMYFUNCTION("""COMPUTED_VALUE"""),1.63)</f>
        <v>1.63</v>
      </c>
      <c r="F1049" s="1">
        <f>IFERROR(__xludf.DUMMYFUNCTION("""COMPUTED_VALUE"""),179359.0)</f>
        <v>179359</v>
      </c>
    </row>
    <row r="1050">
      <c r="A1050" s="2">
        <f>IFERROR(__xludf.DUMMYFUNCTION("""COMPUTED_VALUE"""),40688.666666666664)</f>
        <v>40688.66667</v>
      </c>
      <c r="B1050" s="1">
        <f>IFERROR(__xludf.DUMMYFUNCTION("""COMPUTED_VALUE"""),1.62)</f>
        <v>1.62</v>
      </c>
      <c r="C1050" s="1">
        <f>IFERROR(__xludf.DUMMYFUNCTION("""COMPUTED_VALUE"""),1.64)</f>
        <v>1.64</v>
      </c>
      <c r="D1050" s="1">
        <f>IFERROR(__xludf.DUMMYFUNCTION("""COMPUTED_VALUE"""),1.62)</f>
        <v>1.62</v>
      </c>
      <c r="E1050" s="1">
        <f>IFERROR(__xludf.DUMMYFUNCTION("""COMPUTED_VALUE"""),1.62)</f>
        <v>1.62</v>
      </c>
      <c r="F1050" s="1">
        <f>IFERROR(__xludf.DUMMYFUNCTION("""COMPUTED_VALUE"""),183498.0)</f>
        <v>183498</v>
      </c>
    </row>
    <row r="1051">
      <c r="A1051" s="2">
        <f>IFERROR(__xludf.DUMMYFUNCTION("""COMPUTED_VALUE"""),40689.666666666664)</f>
        <v>40689.66667</v>
      </c>
      <c r="B1051" s="1">
        <f>IFERROR(__xludf.DUMMYFUNCTION("""COMPUTED_VALUE"""),1.62)</f>
        <v>1.62</v>
      </c>
      <c r="C1051" s="1">
        <f>IFERROR(__xludf.DUMMYFUNCTION("""COMPUTED_VALUE"""),1.64)</f>
        <v>1.64</v>
      </c>
      <c r="D1051" s="1">
        <f>IFERROR(__xludf.DUMMYFUNCTION("""COMPUTED_VALUE"""),1.6)</f>
        <v>1.6</v>
      </c>
      <c r="E1051" s="1">
        <f>IFERROR(__xludf.DUMMYFUNCTION("""COMPUTED_VALUE"""),1.64)</f>
        <v>1.64</v>
      </c>
      <c r="F1051" s="1">
        <f>IFERROR(__xludf.DUMMYFUNCTION("""COMPUTED_VALUE"""),262271.0)</f>
        <v>262271</v>
      </c>
    </row>
    <row r="1052">
      <c r="A1052" s="2">
        <f>IFERROR(__xludf.DUMMYFUNCTION("""COMPUTED_VALUE"""),40690.666666666664)</f>
        <v>40690.66667</v>
      </c>
      <c r="B1052" s="1">
        <f>IFERROR(__xludf.DUMMYFUNCTION("""COMPUTED_VALUE"""),1.64)</f>
        <v>1.64</v>
      </c>
      <c r="C1052" s="1">
        <f>IFERROR(__xludf.DUMMYFUNCTION("""COMPUTED_VALUE"""),1.68)</f>
        <v>1.68</v>
      </c>
      <c r="D1052" s="1">
        <f>IFERROR(__xludf.DUMMYFUNCTION("""COMPUTED_VALUE"""),1.64)</f>
        <v>1.64</v>
      </c>
      <c r="E1052" s="1">
        <f>IFERROR(__xludf.DUMMYFUNCTION("""COMPUTED_VALUE"""),1.66)</f>
        <v>1.66</v>
      </c>
      <c r="F1052" s="1">
        <f>IFERROR(__xludf.DUMMYFUNCTION("""COMPUTED_VALUE"""),120042.0)</f>
        <v>120042</v>
      </c>
    </row>
    <row r="1053">
      <c r="A1053" s="2">
        <f>IFERROR(__xludf.DUMMYFUNCTION("""COMPUTED_VALUE"""),40694.666666666664)</f>
        <v>40694.66667</v>
      </c>
      <c r="B1053" s="1">
        <f>IFERROR(__xludf.DUMMYFUNCTION("""COMPUTED_VALUE"""),1.67)</f>
        <v>1.67</v>
      </c>
      <c r="C1053" s="1">
        <f>IFERROR(__xludf.DUMMYFUNCTION("""COMPUTED_VALUE"""),1.69)</f>
        <v>1.69</v>
      </c>
      <c r="D1053" s="1">
        <f>IFERROR(__xludf.DUMMYFUNCTION("""COMPUTED_VALUE"""),1.66)</f>
        <v>1.66</v>
      </c>
      <c r="E1053" s="1">
        <f>IFERROR(__xludf.DUMMYFUNCTION("""COMPUTED_VALUE"""),1.68)</f>
        <v>1.68</v>
      </c>
      <c r="F1053" s="1">
        <f>IFERROR(__xludf.DUMMYFUNCTION("""COMPUTED_VALUE"""),350466.0)</f>
        <v>350466</v>
      </c>
    </row>
    <row r="1054">
      <c r="A1054" s="2">
        <f>IFERROR(__xludf.DUMMYFUNCTION("""COMPUTED_VALUE"""),40695.666666666664)</f>
        <v>40695.66667</v>
      </c>
      <c r="B1054" s="1">
        <f>IFERROR(__xludf.DUMMYFUNCTION("""COMPUTED_VALUE"""),1.66)</f>
        <v>1.66</v>
      </c>
      <c r="C1054" s="1">
        <f>IFERROR(__xludf.DUMMYFUNCTION("""COMPUTED_VALUE"""),1.69)</f>
        <v>1.69</v>
      </c>
      <c r="D1054" s="1">
        <f>IFERROR(__xludf.DUMMYFUNCTION("""COMPUTED_VALUE"""),1.63)</f>
        <v>1.63</v>
      </c>
      <c r="E1054" s="1">
        <f>IFERROR(__xludf.DUMMYFUNCTION("""COMPUTED_VALUE"""),1.63)</f>
        <v>1.63</v>
      </c>
      <c r="F1054" s="1">
        <f>IFERROR(__xludf.DUMMYFUNCTION("""COMPUTED_VALUE"""),169323.0)</f>
        <v>169323</v>
      </c>
    </row>
    <row r="1055">
      <c r="A1055" s="2">
        <f>IFERROR(__xludf.DUMMYFUNCTION("""COMPUTED_VALUE"""),40696.666666666664)</f>
        <v>40696.66667</v>
      </c>
      <c r="B1055" s="1">
        <f>IFERROR(__xludf.DUMMYFUNCTION("""COMPUTED_VALUE"""),1.63)</f>
        <v>1.63</v>
      </c>
      <c r="C1055" s="1">
        <f>IFERROR(__xludf.DUMMYFUNCTION("""COMPUTED_VALUE"""),1.66)</f>
        <v>1.66</v>
      </c>
      <c r="D1055" s="1">
        <f>IFERROR(__xludf.DUMMYFUNCTION("""COMPUTED_VALUE"""),1.6)</f>
        <v>1.6</v>
      </c>
      <c r="E1055" s="1">
        <f>IFERROR(__xludf.DUMMYFUNCTION("""COMPUTED_VALUE"""),1.64)</f>
        <v>1.64</v>
      </c>
      <c r="F1055" s="1">
        <f>IFERROR(__xludf.DUMMYFUNCTION("""COMPUTED_VALUE"""),73108.0)</f>
        <v>73108</v>
      </c>
    </row>
    <row r="1056">
      <c r="A1056" s="2">
        <f>IFERROR(__xludf.DUMMYFUNCTION("""COMPUTED_VALUE"""),40697.666666666664)</f>
        <v>40697.66667</v>
      </c>
      <c r="B1056" s="1">
        <f>IFERROR(__xludf.DUMMYFUNCTION("""COMPUTED_VALUE"""),1.61)</f>
        <v>1.61</v>
      </c>
      <c r="C1056" s="1">
        <f>IFERROR(__xludf.DUMMYFUNCTION("""COMPUTED_VALUE"""),1.67)</f>
        <v>1.67</v>
      </c>
      <c r="D1056" s="1">
        <f>IFERROR(__xludf.DUMMYFUNCTION("""COMPUTED_VALUE"""),1.6)</f>
        <v>1.6</v>
      </c>
      <c r="E1056" s="1">
        <f>IFERROR(__xludf.DUMMYFUNCTION("""COMPUTED_VALUE"""),1.63)</f>
        <v>1.63</v>
      </c>
      <c r="F1056" s="1">
        <f>IFERROR(__xludf.DUMMYFUNCTION("""COMPUTED_VALUE"""),98536.0)</f>
        <v>98536</v>
      </c>
    </row>
    <row r="1057">
      <c r="A1057" s="2">
        <f>IFERROR(__xludf.DUMMYFUNCTION("""COMPUTED_VALUE"""),40700.666666666664)</f>
        <v>40700.66667</v>
      </c>
      <c r="B1057" s="1">
        <f>IFERROR(__xludf.DUMMYFUNCTION("""COMPUTED_VALUE"""),1.63)</f>
        <v>1.63</v>
      </c>
      <c r="C1057" s="1">
        <f>IFERROR(__xludf.DUMMYFUNCTION("""COMPUTED_VALUE"""),1.64)</f>
        <v>1.64</v>
      </c>
      <c r="D1057" s="1">
        <f>IFERROR(__xludf.DUMMYFUNCTION("""COMPUTED_VALUE"""),1.61)</f>
        <v>1.61</v>
      </c>
      <c r="E1057" s="1">
        <f>IFERROR(__xludf.DUMMYFUNCTION("""COMPUTED_VALUE"""),1.61)</f>
        <v>1.61</v>
      </c>
      <c r="F1057" s="1">
        <f>IFERROR(__xludf.DUMMYFUNCTION("""COMPUTED_VALUE"""),174090.0)</f>
        <v>174090</v>
      </c>
    </row>
    <row r="1058">
      <c r="A1058" s="2">
        <f>IFERROR(__xludf.DUMMYFUNCTION("""COMPUTED_VALUE"""),40701.666666666664)</f>
        <v>40701.66667</v>
      </c>
      <c r="B1058" s="1">
        <f>IFERROR(__xludf.DUMMYFUNCTION("""COMPUTED_VALUE"""),1.61)</f>
        <v>1.61</v>
      </c>
      <c r="C1058" s="1">
        <f>IFERROR(__xludf.DUMMYFUNCTION("""COMPUTED_VALUE"""),1.64)</f>
        <v>1.64</v>
      </c>
      <c r="D1058" s="1">
        <f>IFERROR(__xludf.DUMMYFUNCTION("""COMPUTED_VALUE"""),1.59)</f>
        <v>1.59</v>
      </c>
      <c r="E1058" s="1">
        <f>IFERROR(__xludf.DUMMYFUNCTION("""COMPUTED_VALUE"""),1.59)</f>
        <v>1.59</v>
      </c>
      <c r="F1058" s="1">
        <f>IFERROR(__xludf.DUMMYFUNCTION("""COMPUTED_VALUE"""),405005.0)</f>
        <v>405005</v>
      </c>
    </row>
    <row r="1059">
      <c r="A1059" s="2">
        <f>IFERROR(__xludf.DUMMYFUNCTION("""COMPUTED_VALUE"""),40702.666666666664)</f>
        <v>40702.66667</v>
      </c>
      <c r="B1059" s="1">
        <f>IFERROR(__xludf.DUMMYFUNCTION("""COMPUTED_VALUE"""),1.58)</f>
        <v>1.58</v>
      </c>
      <c r="C1059" s="1">
        <f>IFERROR(__xludf.DUMMYFUNCTION("""COMPUTED_VALUE"""),1.61)</f>
        <v>1.61</v>
      </c>
      <c r="D1059" s="1">
        <f>IFERROR(__xludf.DUMMYFUNCTION("""COMPUTED_VALUE"""),1.54)</f>
        <v>1.54</v>
      </c>
      <c r="E1059" s="1">
        <f>IFERROR(__xludf.DUMMYFUNCTION("""COMPUTED_VALUE"""),1.57)</f>
        <v>1.57</v>
      </c>
      <c r="F1059" s="1">
        <f>IFERROR(__xludf.DUMMYFUNCTION("""COMPUTED_VALUE"""),421273.0)</f>
        <v>421273</v>
      </c>
    </row>
    <row r="1060">
      <c r="A1060" s="2">
        <f>IFERROR(__xludf.DUMMYFUNCTION("""COMPUTED_VALUE"""),40703.666666666664)</f>
        <v>40703.66667</v>
      </c>
      <c r="B1060" s="1">
        <f>IFERROR(__xludf.DUMMYFUNCTION("""COMPUTED_VALUE"""),1.58)</f>
        <v>1.58</v>
      </c>
      <c r="C1060" s="1">
        <f>IFERROR(__xludf.DUMMYFUNCTION("""COMPUTED_VALUE"""),1.58)</f>
        <v>1.58</v>
      </c>
      <c r="D1060" s="1">
        <f>IFERROR(__xludf.DUMMYFUNCTION("""COMPUTED_VALUE"""),1.57)</f>
        <v>1.57</v>
      </c>
      <c r="E1060" s="1">
        <f>IFERROR(__xludf.DUMMYFUNCTION("""COMPUTED_VALUE"""),1.57)</f>
        <v>1.57</v>
      </c>
      <c r="F1060" s="1">
        <f>IFERROR(__xludf.DUMMYFUNCTION("""COMPUTED_VALUE"""),110827.0)</f>
        <v>110827</v>
      </c>
    </row>
    <row r="1061">
      <c r="A1061" s="2">
        <f>IFERROR(__xludf.DUMMYFUNCTION("""COMPUTED_VALUE"""),40704.666666666664)</f>
        <v>40704.66667</v>
      </c>
      <c r="B1061" s="1">
        <f>IFERROR(__xludf.DUMMYFUNCTION("""COMPUTED_VALUE"""),1.57)</f>
        <v>1.57</v>
      </c>
      <c r="C1061" s="1">
        <f>IFERROR(__xludf.DUMMYFUNCTION("""COMPUTED_VALUE"""),1.57)</f>
        <v>1.57</v>
      </c>
      <c r="D1061" s="1">
        <f>IFERROR(__xludf.DUMMYFUNCTION("""COMPUTED_VALUE"""),1.5)</f>
        <v>1.5</v>
      </c>
      <c r="E1061" s="1">
        <f>IFERROR(__xludf.DUMMYFUNCTION("""COMPUTED_VALUE"""),1.53)</f>
        <v>1.53</v>
      </c>
      <c r="F1061" s="1">
        <f>IFERROR(__xludf.DUMMYFUNCTION("""COMPUTED_VALUE"""),228818.0)</f>
        <v>228818</v>
      </c>
    </row>
    <row r="1062">
      <c r="A1062" s="2">
        <f>IFERROR(__xludf.DUMMYFUNCTION("""COMPUTED_VALUE"""),40707.666666666664)</f>
        <v>40707.66667</v>
      </c>
      <c r="B1062" s="1">
        <f>IFERROR(__xludf.DUMMYFUNCTION("""COMPUTED_VALUE"""),1.55)</f>
        <v>1.55</v>
      </c>
      <c r="C1062" s="1">
        <f>IFERROR(__xludf.DUMMYFUNCTION("""COMPUTED_VALUE"""),1.57)</f>
        <v>1.57</v>
      </c>
      <c r="D1062" s="1">
        <f>IFERROR(__xludf.DUMMYFUNCTION("""COMPUTED_VALUE"""),1.55)</f>
        <v>1.55</v>
      </c>
      <c r="E1062" s="1">
        <f>IFERROR(__xludf.DUMMYFUNCTION("""COMPUTED_VALUE"""),1.55)</f>
        <v>1.55</v>
      </c>
      <c r="F1062" s="1">
        <f>IFERROR(__xludf.DUMMYFUNCTION("""COMPUTED_VALUE"""),103502.0)</f>
        <v>103502</v>
      </c>
    </row>
    <row r="1063">
      <c r="A1063" s="2">
        <f>IFERROR(__xludf.DUMMYFUNCTION("""COMPUTED_VALUE"""),40708.666666666664)</f>
        <v>40708.66667</v>
      </c>
      <c r="B1063" s="1">
        <f>IFERROR(__xludf.DUMMYFUNCTION("""COMPUTED_VALUE"""),1.56)</f>
        <v>1.56</v>
      </c>
      <c r="C1063" s="1">
        <f>IFERROR(__xludf.DUMMYFUNCTION("""COMPUTED_VALUE"""),1.6)</f>
        <v>1.6</v>
      </c>
      <c r="D1063" s="1">
        <f>IFERROR(__xludf.DUMMYFUNCTION("""COMPUTED_VALUE"""),1.55)</f>
        <v>1.55</v>
      </c>
      <c r="E1063" s="1">
        <f>IFERROR(__xludf.DUMMYFUNCTION("""COMPUTED_VALUE"""),1.59)</f>
        <v>1.59</v>
      </c>
      <c r="F1063" s="1">
        <f>IFERROR(__xludf.DUMMYFUNCTION("""COMPUTED_VALUE"""),93038.0)</f>
        <v>93038</v>
      </c>
    </row>
    <row r="1064">
      <c r="A1064" s="2">
        <f>IFERROR(__xludf.DUMMYFUNCTION("""COMPUTED_VALUE"""),40709.666666666664)</f>
        <v>40709.66667</v>
      </c>
      <c r="B1064" s="1">
        <f>IFERROR(__xludf.DUMMYFUNCTION("""COMPUTED_VALUE"""),1.56)</f>
        <v>1.56</v>
      </c>
      <c r="C1064" s="1">
        <f>IFERROR(__xludf.DUMMYFUNCTION("""COMPUTED_VALUE"""),1.61)</f>
        <v>1.61</v>
      </c>
      <c r="D1064" s="1">
        <f>IFERROR(__xludf.DUMMYFUNCTION("""COMPUTED_VALUE"""),1.56)</f>
        <v>1.56</v>
      </c>
      <c r="E1064" s="1">
        <f>IFERROR(__xludf.DUMMYFUNCTION("""COMPUTED_VALUE"""),1.58)</f>
        <v>1.58</v>
      </c>
      <c r="F1064" s="1">
        <f>IFERROR(__xludf.DUMMYFUNCTION("""COMPUTED_VALUE"""),121939.0)</f>
        <v>121939</v>
      </c>
    </row>
    <row r="1065">
      <c r="A1065" s="2">
        <f>IFERROR(__xludf.DUMMYFUNCTION("""COMPUTED_VALUE"""),40710.666666666664)</f>
        <v>40710.66667</v>
      </c>
      <c r="B1065" s="1">
        <f>IFERROR(__xludf.DUMMYFUNCTION("""COMPUTED_VALUE"""),1.58)</f>
        <v>1.58</v>
      </c>
      <c r="C1065" s="1">
        <f>IFERROR(__xludf.DUMMYFUNCTION("""COMPUTED_VALUE"""),1.61)</f>
        <v>1.61</v>
      </c>
      <c r="D1065" s="1">
        <f>IFERROR(__xludf.DUMMYFUNCTION("""COMPUTED_VALUE"""),1.57)</f>
        <v>1.57</v>
      </c>
      <c r="E1065" s="1">
        <f>IFERROR(__xludf.DUMMYFUNCTION("""COMPUTED_VALUE"""),1.6)</f>
        <v>1.6</v>
      </c>
      <c r="F1065" s="1">
        <f>IFERROR(__xludf.DUMMYFUNCTION("""COMPUTED_VALUE"""),114025.0)</f>
        <v>114025</v>
      </c>
    </row>
    <row r="1066">
      <c r="A1066" s="2">
        <f>IFERROR(__xludf.DUMMYFUNCTION("""COMPUTED_VALUE"""),40711.666666666664)</f>
        <v>40711.66667</v>
      </c>
      <c r="B1066" s="1">
        <f>IFERROR(__xludf.DUMMYFUNCTION("""COMPUTED_VALUE"""),1.61)</f>
        <v>1.61</v>
      </c>
      <c r="C1066" s="1">
        <f>IFERROR(__xludf.DUMMYFUNCTION("""COMPUTED_VALUE"""),1.61)</f>
        <v>1.61</v>
      </c>
      <c r="D1066" s="1">
        <f>IFERROR(__xludf.DUMMYFUNCTION("""COMPUTED_VALUE"""),1.59)</f>
        <v>1.59</v>
      </c>
      <c r="E1066" s="1">
        <f>IFERROR(__xludf.DUMMYFUNCTION("""COMPUTED_VALUE"""),1.6)</f>
        <v>1.6</v>
      </c>
      <c r="F1066" s="1">
        <f>IFERROR(__xludf.DUMMYFUNCTION("""COMPUTED_VALUE"""),233548.0)</f>
        <v>233548</v>
      </c>
    </row>
    <row r="1067">
      <c r="A1067" s="2">
        <f>IFERROR(__xludf.DUMMYFUNCTION("""COMPUTED_VALUE"""),40714.666666666664)</f>
        <v>40714.66667</v>
      </c>
      <c r="B1067" s="1">
        <f>IFERROR(__xludf.DUMMYFUNCTION("""COMPUTED_VALUE"""),1.6)</f>
        <v>1.6</v>
      </c>
      <c r="C1067" s="1">
        <f>IFERROR(__xludf.DUMMYFUNCTION("""COMPUTED_VALUE"""),1.61)</f>
        <v>1.61</v>
      </c>
      <c r="D1067" s="1">
        <f>IFERROR(__xludf.DUMMYFUNCTION("""COMPUTED_VALUE"""),1.57)</f>
        <v>1.57</v>
      </c>
      <c r="E1067" s="1">
        <f>IFERROR(__xludf.DUMMYFUNCTION("""COMPUTED_VALUE"""),1.6)</f>
        <v>1.6</v>
      </c>
      <c r="F1067" s="1">
        <f>IFERROR(__xludf.DUMMYFUNCTION("""COMPUTED_VALUE"""),167766.0)</f>
        <v>167766</v>
      </c>
    </row>
    <row r="1068">
      <c r="A1068" s="2">
        <f>IFERROR(__xludf.DUMMYFUNCTION("""COMPUTED_VALUE"""),40715.666666666664)</f>
        <v>40715.66667</v>
      </c>
      <c r="B1068" s="1">
        <f>IFERROR(__xludf.DUMMYFUNCTION("""COMPUTED_VALUE"""),1.6)</f>
        <v>1.6</v>
      </c>
      <c r="C1068" s="1">
        <f>IFERROR(__xludf.DUMMYFUNCTION("""COMPUTED_VALUE"""),1.63)</f>
        <v>1.63</v>
      </c>
      <c r="D1068" s="1">
        <f>IFERROR(__xludf.DUMMYFUNCTION("""COMPUTED_VALUE"""),1.58)</f>
        <v>1.58</v>
      </c>
      <c r="E1068" s="1">
        <f>IFERROR(__xludf.DUMMYFUNCTION("""COMPUTED_VALUE"""),1.63)</f>
        <v>1.63</v>
      </c>
      <c r="F1068" s="1">
        <f>IFERROR(__xludf.DUMMYFUNCTION("""COMPUTED_VALUE"""),229944.0)</f>
        <v>229944</v>
      </c>
    </row>
    <row r="1069">
      <c r="A1069" s="2">
        <f>IFERROR(__xludf.DUMMYFUNCTION("""COMPUTED_VALUE"""),40716.666666666664)</f>
        <v>40716.66667</v>
      </c>
      <c r="B1069" s="1">
        <f>IFERROR(__xludf.DUMMYFUNCTION("""COMPUTED_VALUE"""),1.61)</f>
        <v>1.61</v>
      </c>
      <c r="C1069" s="1">
        <f>IFERROR(__xludf.DUMMYFUNCTION("""COMPUTED_VALUE"""),1.65)</f>
        <v>1.65</v>
      </c>
      <c r="D1069" s="1">
        <f>IFERROR(__xludf.DUMMYFUNCTION("""COMPUTED_VALUE"""),1.61)</f>
        <v>1.61</v>
      </c>
      <c r="E1069" s="1">
        <f>IFERROR(__xludf.DUMMYFUNCTION("""COMPUTED_VALUE"""),1.62)</f>
        <v>1.62</v>
      </c>
      <c r="F1069" s="1">
        <f>IFERROR(__xludf.DUMMYFUNCTION("""COMPUTED_VALUE"""),164159.0)</f>
        <v>164159</v>
      </c>
    </row>
    <row r="1070">
      <c r="A1070" s="2">
        <f>IFERROR(__xludf.DUMMYFUNCTION("""COMPUTED_VALUE"""),40717.666666666664)</f>
        <v>40717.66667</v>
      </c>
      <c r="B1070" s="1">
        <f>IFERROR(__xludf.DUMMYFUNCTION("""COMPUTED_VALUE"""),1.59)</f>
        <v>1.59</v>
      </c>
      <c r="C1070" s="1">
        <f>IFERROR(__xludf.DUMMYFUNCTION("""COMPUTED_VALUE"""),1.66)</f>
        <v>1.66</v>
      </c>
      <c r="D1070" s="1">
        <f>IFERROR(__xludf.DUMMYFUNCTION("""COMPUTED_VALUE"""),1.58)</f>
        <v>1.58</v>
      </c>
      <c r="E1070" s="1">
        <f>IFERROR(__xludf.DUMMYFUNCTION("""COMPUTED_VALUE"""),1.66)</f>
        <v>1.66</v>
      </c>
      <c r="F1070" s="1">
        <f>IFERROR(__xludf.DUMMYFUNCTION("""COMPUTED_VALUE"""),152444.0)</f>
        <v>152444</v>
      </c>
    </row>
    <row r="1071">
      <c r="A1071" s="2">
        <f>IFERROR(__xludf.DUMMYFUNCTION("""COMPUTED_VALUE"""),40718.666666666664)</f>
        <v>40718.66667</v>
      </c>
      <c r="B1071" s="1">
        <f>IFERROR(__xludf.DUMMYFUNCTION("""COMPUTED_VALUE"""),1.66)</f>
        <v>1.66</v>
      </c>
      <c r="C1071" s="1">
        <f>IFERROR(__xludf.DUMMYFUNCTION("""COMPUTED_VALUE"""),1.67)</f>
        <v>1.67</v>
      </c>
      <c r="D1071" s="1">
        <f>IFERROR(__xludf.DUMMYFUNCTION("""COMPUTED_VALUE"""),1.62)</f>
        <v>1.62</v>
      </c>
      <c r="E1071" s="1">
        <f>IFERROR(__xludf.DUMMYFUNCTION("""COMPUTED_VALUE"""),1.65)</f>
        <v>1.65</v>
      </c>
      <c r="F1071" s="1">
        <f>IFERROR(__xludf.DUMMYFUNCTION("""COMPUTED_VALUE"""),262556.0)</f>
        <v>262556</v>
      </c>
    </row>
    <row r="1072">
      <c r="A1072" s="2">
        <f>IFERROR(__xludf.DUMMYFUNCTION("""COMPUTED_VALUE"""),40721.666666666664)</f>
        <v>40721.66667</v>
      </c>
      <c r="B1072" s="1">
        <f>IFERROR(__xludf.DUMMYFUNCTION("""COMPUTED_VALUE"""),1.65)</f>
        <v>1.65</v>
      </c>
      <c r="C1072" s="1">
        <f>IFERROR(__xludf.DUMMYFUNCTION("""COMPUTED_VALUE"""),1.66)</f>
        <v>1.66</v>
      </c>
      <c r="D1072" s="1">
        <f>IFERROR(__xludf.DUMMYFUNCTION("""COMPUTED_VALUE"""),1.58)</f>
        <v>1.58</v>
      </c>
      <c r="E1072" s="1">
        <f>IFERROR(__xludf.DUMMYFUNCTION("""COMPUTED_VALUE"""),1.59)</f>
        <v>1.59</v>
      </c>
      <c r="F1072" s="1">
        <f>IFERROR(__xludf.DUMMYFUNCTION("""COMPUTED_VALUE"""),197208.0)</f>
        <v>197208</v>
      </c>
    </row>
    <row r="1073">
      <c r="A1073" s="2">
        <f>IFERROR(__xludf.DUMMYFUNCTION("""COMPUTED_VALUE"""),40722.666666666664)</f>
        <v>40722.66667</v>
      </c>
      <c r="B1073" s="1">
        <f>IFERROR(__xludf.DUMMYFUNCTION("""COMPUTED_VALUE"""),1.59)</f>
        <v>1.59</v>
      </c>
      <c r="C1073" s="1">
        <f>IFERROR(__xludf.DUMMYFUNCTION("""COMPUTED_VALUE"""),1.62)</f>
        <v>1.62</v>
      </c>
      <c r="D1073" s="1">
        <f>IFERROR(__xludf.DUMMYFUNCTION("""COMPUTED_VALUE"""),1.57)</f>
        <v>1.57</v>
      </c>
      <c r="E1073" s="1">
        <f>IFERROR(__xludf.DUMMYFUNCTION("""COMPUTED_VALUE"""),1.61)</f>
        <v>1.61</v>
      </c>
      <c r="F1073" s="1">
        <f>IFERROR(__xludf.DUMMYFUNCTION("""COMPUTED_VALUE"""),157026.0)</f>
        <v>157026</v>
      </c>
    </row>
    <row r="1074">
      <c r="A1074" s="2">
        <f>IFERROR(__xludf.DUMMYFUNCTION("""COMPUTED_VALUE"""),40723.666666666664)</f>
        <v>40723.66667</v>
      </c>
      <c r="B1074" s="1">
        <f>IFERROR(__xludf.DUMMYFUNCTION("""COMPUTED_VALUE"""),1.61)</f>
        <v>1.61</v>
      </c>
      <c r="C1074" s="1">
        <f>IFERROR(__xludf.DUMMYFUNCTION("""COMPUTED_VALUE"""),1.63)</f>
        <v>1.63</v>
      </c>
      <c r="D1074" s="1">
        <f>IFERROR(__xludf.DUMMYFUNCTION("""COMPUTED_VALUE"""),1.57)</f>
        <v>1.57</v>
      </c>
      <c r="E1074" s="1">
        <f>IFERROR(__xludf.DUMMYFUNCTION("""COMPUTED_VALUE"""),1.59)</f>
        <v>1.59</v>
      </c>
      <c r="F1074" s="1">
        <f>IFERROR(__xludf.DUMMYFUNCTION("""COMPUTED_VALUE"""),140681.0)</f>
        <v>140681</v>
      </c>
    </row>
    <row r="1075">
      <c r="A1075" s="2">
        <f>IFERROR(__xludf.DUMMYFUNCTION("""COMPUTED_VALUE"""),40724.666666666664)</f>
        <v>40724.66667</v>
      </c>
      <c r="B1075" s="1">
        <f>IFERROR(__xludf.DUMMYFUNCTION("""COMPUTED_VALUE"""),1.59)</f>
        <v>1.59</v>
      </c>
      <c r="C1075" s="1">
        <f>IFERROR(__xludf.DUMMYFUNCTION("""COMPUTED_VALUE"""),1.62)</f>
        <v>1.62</v>
      </c>
      <c r="D1075" s="1">
        <f>IFERROR(__xludf.DUMMYFUNCTION("""COMPUTED_VALUE"""),1.59)</f>
        <v>1.59</v>
      </c>
      <c r="E1075" s="1">
        <f>IFERROR(__xludf.DUMMYFUNCTION("""COMPUTED_VALUE"""),1.61)</f>
        <v>1.61</v>
      </c>
      <c r="F1075" s="1">
        <f>IFERROR(__xludf.DUMMYFUNCTION("""COMPUTED_VALUE"""),118767.0)</f>
        <v>118767</v>
      </c>
    </row>
    <row r="1076">
      <c r="A1076" s="2">
        <f>IFERROR(__xludf.DUMMYFUNCTION("""COMPUTED_VALUE"""),40725.666666666664)</f>
        <v>40725.66667</v>
      </c>
      <c r="B1076" s="1">
        <f>IFERROR(__xludf.DUMMYFUNCTION("""COMPUTED_VALUE"""),1.61)</f>
        <v>1.61</v>
      </c>
      <c r="C1076" s="1">
        <f>IFERROR(__xludf.DUMMYFUNCTION("""COMPUTED_VALUE"""),1.63)</f>
        <v>1.63</v>
      </c>
      <c r="D1076" s="1">
        <f>IFERROR(__xludf.DUMMYFUNCTION("""COMPUTED_VALUE"""),1.58)</f>
        <v>1.58</v>
      </c>
      <c r="E1076" s="1">
        <f>IFERROR(__xludf.DUMMYFUNCTION("""COMPUTED_VALUE"""),1.6)</f>
        <v>1.6</v>
      </c>
      <c r="F1076" s="1">
        <f>IFERROR(__xludf.DUMMYFUNCTION("""COMPUTED_VALUE"""),147218.0)</f>
        <v>147218</v>
      </c>
    </row>
    <row r="1077">
      <c r="A1077" s="2">
        <f>IFERROR(__xludf.DUMMYFUNCTION("""COMPUTED_VALUE"""),40729.666666666664)</f>
        <v>40729.66667</v>
      </c>
      <c r="B1077" s="1">
        <f>IFERROR(__xludf.DUMMYFUNCTION("""COMPUTED_VALUE"""),1.6)</f>
        <v>1.6</v>
      </c>
      <c r="C1077" s="1">
        <f>IFERROR(__xludf.DUMMYFUNCTION("""COMPUTED_VALUE"""),1.62)</f>
        <v>1.62</v>
      </c>
      <c r="D1077" s="1">
        <f>IFERROR(__xludf.DUMMYFUNCTION("""COMPUTED_VALUE"""),1.58)</f>
        <v>1.58</v>
      </c>
      <c r="E1077" s="1">
        <f>IFERROR(__xludf.DUMMYFUNCTION("""COMPUTED_VALUE"""),1.61)</f>
        <v>1.61</v>
      </c>
      <c r="F1077" s="1">
        <f>IFERROR(__xludf.DUMMYFUNCTION("""COMPUTED_VALUE"""),158919.0)</f>
        <v>158919</v>
      </c>
    </row>
    <row r="1078">
      <c r="A1078" s="2">
        <f>IFERROR(__xludf.DUMMYFUNCTION("""COMPUTED_VALUE"""),40730.666666666664)</f>
        <v>40730.66667</v>
      </c>
      <c r="B1078" s="1">
        <f>IFERROR(__xludf.DUMMYFUNCTION("""COMPUTED_VALUE"""),1.6)</f>
        <v>1.6</v>
      </c>
      <c r="C1078" s="1">
        <f>IFERROR(__xludf.DUMMYFUNCTION("""COMPUTED_VALUE"""),1.61)</f>
        <v>1.61</v>
      </c>
      <c r="D1078" s="1">
        <f>IFERROR(__xludf.DUMMYFUNCTION("""COMPUTED_VALUE"""),1.58)</f>
        <v>1.58</v>
      </c>
      <c r="E1078" s="1">
        <f>IFERROR(__xludf.DUMMYFUNCTION("""COMPUTED_VALUE"""),1.59)</f>
        <v>1.59</v>
      </c>
      <c r="F1078" s="1">
        <f>IFERROR(__xludf.DUMMYFUNCTION("""COMPUTED_VALUE"""),202009.0)</f>
        <v>202009</v>
      </c>
    </row>
    <row r="1079">
      <c r="A1079" s="2">
        <f>IFERROR(__xludf.DUMMYFUNCTION("""COMPUTED_VALUE"""),40731.666666666664)</f>
        <v>40731.66667</v>
      </c>
      <c r="B1079" s="1">
        <f>IFERROR(__xludf.DUMMYFUNCTION("""COMPUTED_VALUE"""),1.6)</f>
        <v>1.6</v>
      </c>
      <c r="C1079" s="1">
        <f>IFERROR(__xludf.DUMMYFUNCTION("""COMPUTED_VALUE"""),1.64)</f>
        <v>1.64</v>
      </c>
      <c r="D1079" s="1">
        <f>IFERROR(__xludf.DUMMYFUNCTION("""COMPUTED_VALUE"""),1.6)</f>
        <v>1.6</v>
      </c>
      <c r="E1079" s="1">
        <f>IFERROR(__xludf.DUMMYFUNCTION("""COMPUTED_VALUE"""),1.63)</f>
        <v>1.63</v>
      </c>
      <c r="F1079" s="1">
        <f>IFERROR(__xludf.DUMMYFUNCTION("""COMPUTED_VALUE"""),175961.0)</f>
        <v>175961</v>
      </c>
    </row>
    <row r="1080">
      <c r="A1080" s="2">
        <f>IFERROR(__xludf.DUMMYFUNCTION("""COMPUTED_VALUE"""),40732.666666666664)</f>
        <v>40732.66667</v>
      </c>
      <c r="B1080" s="1">
        <f>IFERROR(__xludf.DUMMYFUNCTION("""COMPUTED_VALUE"""),1.61)</f>
        <v>1.61</v>
      </c>
      <c r="C1080" s="1">
        <f>IFERROR(__xludf.DUMMYFUNCTION("""COMPUTED_VALUE"""),1.64)</f>
        <v>1.64</v>
      </c>
      <c r="D1080" s="1">
        <f>IFERROR(__xludf.DUMMYFUNCTION("""COMPUTED_VALUE"""),1.61)</f>
        <v>1.61</v>
      </c>
      <c r="E1080" s="1">
        <f>IFERROR(__xludf.DUMMYFUNCTION("""COMPUTED_VALUE"""),1.64)</f>
        <v>1.64</v>
      </c>
      <c r="F1080" s="1">
        <f>IFERROR(__xludf.DUMMYFUNCTION("""COMPUTED_VALUE"""),231808.0)</f>
        <v>231808</v>
      </c>
    </row>
    <row r="1081">
      <c r="A1081" s="2">
        <f>IFERROR(__xludf.DUMMYFUNCTION("""COMPUTED_VALUE"""),40735.666666666664)</f>
        <v>40735.66667</v>
      </c>
      <c r="B1081" s="1">
        <f>IFERROR(__xludf.DUMMYFUNCTION("""COMPUTED_VALUE"""),1.62)</f>
        <v>1.62</v>
      </c>
      <c r="C1081" s="1">
        <f>IFERROR(__xludf.DUMMYFUNCTION("""COMPUTED_VALUE"""),1.63)</f>
        <v>1.63</v>
      </c>
      <c r="D1081" s="1">
        <f>IFERROR(__xludf.DUMMYFUNCTION("""COMPUTED_VALUE"""),1.58)</f>
        <v>1.58</v>
      </c>
      <c r="E1081" s="1">
        <f>IFERROR(__xludf.DUMMYFUNCTION("""COMPUTED_VALUE"""),1.59)</f>
        <v>1.59</v>
      </c>
      <c r="F1081" s="1">
        <f>IFERROR(__xludf.DUMMYFUNCTION("""COMPUTED_VALUE"""),169758.0)</f>
        <v>169758</v>
      </c>
    </row>
    <row r="1082">
      <c r="A1082" s="2">
        <f>IFERROR(__xludf.DUMMYFUNCTION("""COMPUTED_VALUE"""),40736.666666666664)</f>
        <v>40736.66667</v>
      </c>
      <c r="B1082" s="1">
        <f>IFERROR(__xludf.DUMMYFUNCTION("""COMPUTED_VALUE"""),1.59)</f>
        <v>1.59</v>
      </c>
      <c r="C1082" s="1">
        <f>IFERROR(__xludf.DUMMYFUNCTION("""COMPUTED_VALUE"""),1.59)</f>
        <v>1.59</v>
      </c>
      <c r="D1082" s="1">
        <f>IFERROR(__xludf.DUMMYFUNCTION("""COMPUTED_VALUE"""),1.56)</f>
        <v>1.56</v>
      </c>
      <c r="E1082" s="1">
        <f>IFERROR(__xludf.DUMMYFUNCTION("""COMPUTED_VALUE"""),1.57)</f>
        <v>1.57</v>
      </c>
      <c r="F1082" s="1">
        <f>IFERROR(__xludf.DUMMYFUNCTION("""COMPUTED_VALUE"""),290723.0)</f>
        <v>290723</v>
      </c>
    </row>
    <row r="1083">
      <c r="A1083" s="2">
        <f>IFERROR(__xludf.DUMMYFUNCTION("""COMPUTED_VALUE"""),40737.666666666664)</f>
        <v>40737.66667</v>
      </c>
      <c r="B1083" s="1">
        <f>IFERROR(__xludf.DUMMYFUNCTION("""COMPUTED_VALUE"""),1.57)</f>
        <v>1.57</v>
      </c>
      <c r="C1083" s="1">
        <f>IFERROR(__xludf.DUMMYFUNCTION("""COMPUTED_VALUE"""),1.61)</f>
        <v>1.61</v>
      </c>
      <c r="D1083" s="1">
        <f>IFERROR(__xludf.DUMMYFUNCTION("""COMPUTED_VALUE"""),1.57)</f>
        <v>1.57</v>
      </c>
      <c r="E1083" s="1">
        <f>IFERROR(__xludf.DUMMYFUNCTION("""COMPUTED_VALUE"""),1.6)</f>
        <v>1.6</v>
      </c>
      <c r="F1083" s="1">
        <f>IFERROR(__xludf.DUMMYFUNCTION("""COMPUTED_VALUE"""),234913.0)</f>
        <v>234913</v>
      </c>
    </row>
    <row r="1084">
      <c r="A1084" s="2">
        <f>IFERROR(__xludf.DUMMYFUNCTION("""COMPUTED_VALUE"""),40738.666666666664)</f>
        <v>40738.66667</v>
      </c>
      <c r="B1084" s="1">
        <f>IFERROR(__xludf.DUMMYFUNCTION("""COMPUTED_VALUE"""),1.6)</f>
        <v>1.6</v>
      </c>
      <c r="C1084" s="1">
        <f>IFERROR(__xludf.DUMMYFUNCTION("""COMPUTED_VALUE"""),1.62)</f>
        <v>1.62</v>
      </c>
      <c r="D1084" s="1">
        <f>IFERROR(__xludf.DUMMYFUNCTION("""COMPUTED_VALUE"""),1.6)</f>
        <v>1.6</v>
      </c>
      <c r="E1084" s="1">
        <f>IFERROR(__xludf.DUMMYFUNCTION("""COMPUTED_VALUE"""),1.6)</f>
        <v>1.6</v>
      </c>
      <c r="F1084" s="1">
        <f>IFERROR(__xludf.DUMMYFUNCTION("""COMPUTED_VALUE"""),126444.0)</f>
        <v>126444</v>
      </c>
    </row>
    <row r="1085">
      <c r="A1085" s="2">
        <f>IFERROR(__xludf.DUMMYFUNCTION("""COMPUTED_VALUE"""),40739.666666666664)</f>
        <v>40739.66667</v>
      </c>
      <c r="B1085" s="1">
        <f>IFERROR(__xludf.DUMMYFUNCTION("""COMPUTED_VALUE"""),1.6)</f>
        <v>1.6</v>
      </c>
      <c r="C1085" s="1">
        <f>IFERROR(__xludf.DUMMYFUNCTION("""COMPUTED_VALUE"""),1.63)</f>
        <v>1.63</v>
      </c>
      <c r="D1085" s="1">
        <f>IFERROR(__xludf.DUMMYFUNCTION("""COMPUTED_VALUE"""),1.6)</f>
        <v>1.6</v>
      </c>
      <c r="E1085" s="1">
        <f>IFERROR(__xludf.DUMMYFUNCTION("""COMPUTED_VALUE"""),1.63)</f>
        <v>1.63</v>
      </c>
      <c r="F1085" s="1">
        <f>IFERROR(__xludf.DUMMYFUNCTION("""COMPUTED_VALUE"""),167734.0)</f>
        <v>167734</v>
      </c>
    </row>
    <row r="1086">
      <c r="A1086" s="2">
        <f>IFERROR(__xludf.DUMMYFUNCTION("""COMPUTED_VALUE"""),40742.666666666664)</f>
        <v>40742.66667</v>
      </c>
      <c r="B1086" s="1">
        <f>IFERROR(__xludf.DUMMYFUNCTION("""COMPUTED_VALUE"""),1.58)</f>
        <v>1.58</v>
      </c>
      <c r="C1086" s="1">
        <f>IFERROR(__xludf.DUMMYFUNCTION("""COMPUTED_VALUE"""),1.61)</f>
        <v>1.61</v>
      </c>
      <c r="D1086" s="1">
        <f>IFERROR(__xludf.DUMMYFUNCTION("""COMPUTED_VALUE"""),1.53)</f>
        <v>1.53</v>
      </c>
      <c r="E1086" s="1">
        <f>IFERROR(__xludf.DUMMYFUNCTION("""COMPUTED_VALUE"""),1.54)</f>
        <v>1.54</v>
      </c>
      <c r="F1086" s="1">
        <f>IFERROR(__xludf.DUMMYFUNCTION("""COMPUTED_VALUE"""),374643.0)</f>
        <v>374643</v>
      </c>
    </row>
    <row r="1087">
      <c r="A1087" s="2">
        <f>IFERROR(__xludf.DUMMYFUNCTION("""COMPUTED_VALUE"""),40743.666666666664)</f>
        <v>40743.66667</v>
      </c>
      <c r="B1087" s="1">
        <f>IFERROR(__xludf.DUMMYFUNCTION("""COMPUTED_VALUE"""),1.55)</f>
        <v>1.55</v>
      </c>
      <c r="C1087" s="1">
        <f>IFERROR(__xludf.DUMMYFUNCTION("""COMPUTED_VALUE"""),1.58)</f>
        <v>1.58</v>
      </c>
      <c r="D1087" s="1">
        <f>IFERROR(__xludf.DUMMYFUNCTION("""COMPUTED_VALUE"""),1.52)</f>
        <v>1.52</v>
      </c>
      <c r="E1087" s="1">
        <f>IFERROR(__xludf.DUMMYFUNCTION("""COMPUTED_VALUE"""),1.52)</f>
        <v>1.52</v>
      </c>
      <c r="F1087" s="1">
        <f>IFERROR(__xludf.DUMMYFUNCTION("""COMPUTED_VALUE"""),250071.0)</f>
        <v>250071</v>
      </c>
    </row>
    <row r="1088">
      <c r="A1088" s="2">
        <f>IFERROR(__xludf.DUMMYFUNCTION("""COMPUTED_VALUE"""),40744.666666666664)</f>
        <v>40744.66667</v>
      </c>
      <c r="B1088" s="1">
        <f>IFERROR(__xludf.DUMMYFUNCTION("""COMPUTED_VALUE"""),1.53)</f>
        <v>1.53</v>
      </c>
      <c r="C1088" s="1">
        <f>IFERROR(__xludf.DUMMYFUNCTION("""COMPUTED_VALUE"""),1.53)</f>
        <v>1.53</v>
      </c>
      <c r="D1088" s="1">
        <f>IFERROR(__xludf.DUMMYFUNCTION("""COMPUTED_VALUE"""),1.47)</f>
        <v>1.47</v>
      </c>
      <c r="E1088" s="1">
        <f>IFERROR(__xludf.DUMMYFUNCTION("""COMPUTED_VALUE"""),1.48)</f>
        <v>1.48</v>
      </c>
      <c r="F1088" s="1">
        <f>IFERROR(__xludf.DUMMYFUNCTION("""COMPUTED_VALUE"""),245156.0)</f>
        <v>245156</v>
      </c>
    </row>
    <row r="1089">
      <c r="A1089" s="2">
        <f>IFERROR(__xludf.DUMMYFUNCTION("""COMPUTED_VALUE"""),40745.666666666664)</f>
        <v>40745.66667</v>
      </c>
      <c r="B1089" s="1">
        <f>IFERROR(__xludf.DUMMYFUNCTION("""COMPUTED_VALUE"""),1.48)</f>
        <v>1.48</v>
      </c>
      <c r="C1089" s="1">
        <f>IFERROR(__xludf.DUMMYFUNCTION("""COMPUTED_VALUE"""),1.5)</f>
        <v>1.5</v>
      </c>
      <c r="D1089" s="1">
        <f>IFERROR(__xludf.DUMMYFUNCTION("""COMPUTED_VALUE"""),1.48)</f>
        <v>1.48</v>
      </c>
      <c r="E1089" s="1">
        <f>IFERROR(__xludf.DUMMYFUNCTION("""COMPUTED_VALUE"""),1.5)</f>
        <v>1.5</v>
      </c>
      <c r="F1089" s="1">
        <f>IFERROR(__xludf.DUMMYFUNCTION("""COMPUTED_VALUE"""),163878.0)</f>
        <v>163878</v>
      </c>
    </row>
    <row r="1090">
      <c r="A1090" s="2">
        <f>IFERROR(__xludf.DUMMYFUNCTION("""COMPUTED_VALUE"""),40746.666666666664)</f>
        <v>40746.66667</v>
      </c>
      <c r="B1090" s="1">
        <f>IFERROR(__xludf.DUMMYFUNCTION("""COMPUTED_VALUE"""),1.5)</f>
        <v>1.5</v>
      </c>
      <c r="C1090" s="1">
        <f>IFERROR(__xludf.DUMMYFUNCTION("""COMPUTED_VALUE"""),1.52)</f>
        <v>1.52</v>
      </c>
      <c r="D1090" s="1">
        <f>IFERROR(__xludf.DUMMYFUNCTION("""COMPUTED_VALUE"""),1.5)</f>
        <v>1.5</v>
      </c>
      <c r="E1090" s="1">
        <f>IFERROR(__xludf.DUMMYFUNCTION("""COMPUTED_VALUE"""),1.5)</f>
        <v>1.5</v>
      </c>
      <c r="F1090" s="1">
        <f>IFERROR(__xludf.DUMMYFUNCTION("""COMPUTED_VALUE"""),177345.0)</f>
        <v>177345</v>
      </c>
    </row>
    <row r="1091">
      <c r="A1091" s="2">
        <f>IFERROR(__xludf.DUMMYFUNCTION("""COMPUTED_VALUE"""),40749.666666666664)</f>
        <v>40749.66667</v>
      </c>
      <c r="B1091" s="1">
        <f>IFERROR(__xludf.DUMMYFUNCTION("""COMPUTED_VALUE"""),1.51)</f>
        <v>1.51</v>
      </c>
      <c r="C1091" s="1">
        <f>IFERROR(__xludf.DUMMYFUNCTION("""COMPUTED_VALUE"""),1.52)</f>
        <v>1.52</v>
      </c>
      <c r="D1091" s="1">
        <f>IFERROR(__xludf.DUMMYFUNCTION("""COMPUTED_VALUE"""),1.48)</f>
        <v>1.48</v>
      </c>
      <c r="E1091" s="1">
        <f>IFERROR(__xludf.DUMMYFUNCTION("""COMPUTED_VALUE"""),1.5)</f>
        <v>1.5</v>
      </c>
      <c r="F1091" s="1">
        <f>IFERROR(__xludf.DUMMYFUNCTION("""COMPUTED_VALUE"""),115750.0)</f>
        <v>115750</v>
      </c>
    </row>
    <row r="1092">
      <c r="A1092" s="2">
        <f>IFERROR(__xludf.DUMMYFUNCTION("""COMPUTED_VALUE"""),40750.666666666664)</f>
        <v>40750.66667</v>
      </c>
      <c r="B1092" s="1">
        <f>IFERROR(__xludf.DUMMYFUNCTION("""COMPUTED_VALUE"""),1.5)</f>
        <v>1.5</v>
      </c>
      <c r="C1092" s="1">
        <f>IFERROR(__xludf.DUMMYFUNCTION("""COMPUTED_VALUE"""),1.51)</f>
        <v>1.51</v>
      </c>
      <c r="D1092" s="1">
        <f>IFERROR(__xludf.DUMMYFUNCTION("""COMPUTED_VALUE"""),1.48)</f>
        <v>1.48</v>
      </c>
      <c r="E1092" s="1">
        <f>IFERROR(__xludf.DUMMYFUNCTION("""COMPUTED_VALUE"""),1.48)</f>
        <v>1.48</v>
      </c>
      <c r="F1092" s="1">
        <f>IFERROR(__xludf.DUMMYFUNCTION("""COMPUTED_VALUE"""),127335.0)</f>
        <v>127335</v>
      </c>
    </row>
    <row r="1093">
      <c r="A1093" s="2">
        <f>IFERROR(__xludf.DUMMYFUNCTION("""COMPUTED_VALUE"""),40751.666666666664)</f>
        <v>40751.66667</v>
      </c>
      <c r="B1093" s="1">
        <f>IFERROR(__xludf.DUMMYFUNCTION("""COMPUTED_VALUE"""),1.48)</f>
        <v>1.48</v>
      </c>
      <c r="C1093" s="1">
        <f>IFERROR(__xludf.DUMMYFUNCTION("""COMPUTED_VALUE"""),1.49)</f>
        <v>1.49</v>
      </c>
      <c r="D1093" s="1">
        <f>IFERROR(__xludf.DUMMYFUNCTION("""COMPUTED_VALUE"""),1.43)</f>
        <v>1.43</v>
      </c>
      <c r="E1093" s="1">
        <f>IFERROR(__xludf.DUMMYFUNCTION("""COMPUTED_VALUE"""),1.44)</f>
        <v>1.44</v>
      </c>
      <c r="F1093" s="1">
        <f>IFERROR(__xludf.DUMMYFUNCTION("""COMPUTED_VALUE"""),206809.0)</f>
        <v>206809</v>
      </c>
    </row>
    <row r="1094">
      <c r="A1094" s="2">
        <f>IFERROR(__xludf.DUMMYFUNCTION("""COMPUTED_VALUE"""),40752.666666666664)</f>
        <v>40752.66667</v>
      </c>
      <c r="B1094" s="1">
        <f>IFERROR(__xludf.DUMMYFUNCTION("""COMPUTED_VALUE"""),1.45)</f>
        <v>1.45</v>
      </c>
      <c r="C1094" s="1">
        <f>IFERROR(__xludf.DUMMYFUNCTION("""COMPUTED_VALUE"""),1.45)</f>
        <v>1.45</v>
      </c>
      <c r="D1094" s="1">
        <f>IFERROR(__xludf.DUMMYFUNCTION("""COMPUTED_VALUE"""),1.41)</f>
        <v>1.41</v>
      </c>
      <c r="E1094" s="1">
        <f>IFERROR(__xludf.DUMMYFUNCTION("""COMPUTED_VALUE"""),1.42)</f>
        <v>1.42</v>
      </c>
      <c r="F1094" s="1">
        <f>IFERROR(__xludf.DUMMYFUNCTION("""COMPUTED_VALUE"""),203067.0)</f>
        <v>203067</v>
      </c>
    </row>
    <row r="1095">
      <c r="A1095" s="2">
        <f>IFERROR(__xludf.DUMMYFUNCTION("""COMPUTED_VALUE"""),40753.666666666664)</f>
        <v>40753.66667</v>
      </c>
      <c r="B1095" s="1">
        <f>IFERROR(__xludf.DUMMYFUNCTION("""COMPUTED_VALUE"""),1.4)</f>
        <v>1.4</v>
      </c>
      <c r="C1095" s="1">
        <f>IFERROR(__xludf.DUMMYFUNCTION("""COMPUTED_VALUE"""),1.43)</f>
        <v>1.43</v>
      </c>
      <c r="D1095" s="1">
        <f>IFERROR(__xludf.DUMMYFUNCTION("""COMPUTED_VALUE"""),1.38)</f>
        <v>1.38</v>
      </c>
      <c r="E1095" s="1">
        <f>IFERROR(__xludf.DUMMYFUNCTION("""COMPUTED_VALUE"""),1.41)</f>
        <v>1.41</v>
      </c>
      <c r="F1095" s="1">
        <f>IFERROR(__xludf.DUMMYFUNCTION("""COMPUTED_VALUE"""),213473.0)</f>
        <v>213473</v>
      </c>
    </row>
    <row r="1096">
      <c r="A1096" s="2">
        <f>IFERROR(__xludf.DUMMYFUNCTION("""COMPUTED_VALUE"""),40756.666666666664)</f>
        <v>40756.66667</v>
      </c>
      <c r="B1096" s="1">
        <f>IFERROR(__xludf.DUMMYFUNCTION("""COMPUTED_VALUE"""),1.42)</f>
        <v>1.42</v>
      </c>
      <c r="C1096" s="1">
        <f>IFERROR(__xludf.DUMMYFUNCTION("""COMPUTED_VALUE"""),1.45)</f>
        <v>1.45</v>
      </c>
      <c r="D1096" s="1">
        <f>IFERROR(__xludf.DUMMYFUNCTION("""COMPUTED_VALUE"""),1.36)</f>
        <v>1.36</v>
      </c>
      <c r="E1096" s="1">
        <f>IFERROR(__xludf.DUMMYFUNCTION("""COMPUTED_VALUE"""),1.37)</f>
        <v>1.37</v>
      </c>
      <c r="F1096" s="1">
        <f>IFERROR(__xludf.DUMMYFUNCTION("""COMPUTED_VALUE"""),349236.0)</f>
        <v>349236</v>
      </c>
    </row>
    <row r="1097">
      <c r="A1097" s="2">
        <f>IFERROR(__xludf.DUMMYFUNCTION("""COMPUTED_VALUE"""),40757.666666666664)</f>
        <v>40757.66667</v>
      </c>
      <c r="B1097" s="1">
        <f>IFERROR(__xludf.DUMMYFUNCTION("""COMPUTED_VALUE"""),1.36)</f>
        <v>1.36</v>
      </c>
      <c r="C1097" s="1">
        <f>IFERROR(__xludf.DUMMYFUNCTION("""COMPUTED_VALUE"""),1.38)</f>
        <v>1.38</v>
      </c>
      <c r="D1097" s="1">
        <f>IFERROR(__xludf.DUMMYFUNCTION("""COMPUTED_VALUE"""),1.27)</f>
        <v>1.27</v>
      </c>
      <c r="E1097" s="1">
        <f>IFERROR(__xludf.DUMMYFUNCTION("""COMPUTED_VALUE"""),1.27)</f>
        <v>1.27</v>
      </c>
      <c r="F1097" s="1">
        <f>IFERROR(__xludf.DUMMYFUNCTION("""COMPUTED_VALUE"""),632856.0)</f>
        <v>632856</v>
      </c>
    </row>
    <row r="1098">
      <c r="A1098" s="2">
        <f>IFERROR(__xludf.DUMMYFUNCTION("""COMPUTED_VALUE"""),40758.666666666664)</f>
        <v>40758.66667</v>
      </c>
      <c r="B1098" s="1">
        <f>IFERROR(__xludf.DUMMYFUNCTION("""COMPUTED_VALUE"""),1.3)</f>
        <v>1.3</v>
      </c>
      <c r="C1098" s="1">
        <f>IFERROR(__xludf.DUMMYFUNCTION("""COMPUTED_VALUE"""),1.45)</f>
        <v>1.45</v>
      </c>
      <c r="D1098" s="1">
        <f>IFERROR(__xludf.DUMMYFUNCTION("""COMPUTED_VALUE"""),1.26)</f>
        <v>1.26</v>
      </c>
      <c r="E1098" s="1">
        <f>IFERROR(__xludf.DUMMYFUNCTION("""COMPUTED_VALUE"""),1.45)</f>
        <v>1.45</v>
      </c>
      <c r="F1098" s="1">
        <f>IFERROR(__xludf.DUMMYFUNCTION("""COMPUTED_VALUE"""),456361.0)</f>
        <v>456361</v>
      </c>
    </row>
    <row r="1099">
      <c r="A1099" s="2">
        <f>IFERROR(__xludf.DUMMYFUNCTION("""COMPUTED_VALUE"""),40759.666666666664)</f>
        <v>40759.66667</v>
      </c>
      <c r="B1099" s="1">
        <f>IFERROR(__xludf.DUMMYFUNCTION("""COMPUTED_VALUE"""),1.44)</f>
        <v>1.44</v>
      </c>
      <c r="C1099" s="1">
        <f>IFERROR(__xludf.DUMMYFUNCTION("""COMPUTED_VALUE"""),1.47)</f>
        <v>1.47</v>
      </c>
      <c r="D1099" s="1">
        <f>IFERROR(__xludf.DUMMYFUNCTION("""COMPUTED_VALUE"""),1.38)</f>
        <v>1.38</v>
      </c>
      <c r="E1099" s="1">
        <f>IFERROR(__xludf.DUMMYFUNCTION("""COMPUTED_VALUE"""),1.39)</f>
        <v>1.39</v>
      </c>
      <c r="F1099" s="1">
        <f>IFERROR(__xludf.DUMMYFUNCTION("""COMPUTED_VALUE"""),376672.0)</f>
        <v>376672</v>
      </c>
    </row>
    <row r="1100">
      <c r="A1100" s="2">
        <f>IFERROR(__xludf.DUMMYFUNCTION("""COMPUTED_VALUE"""),40760.666666666664)</f>
        <v>40760.66667</v>
      </c>
      <c r="B1100" s="1">
        <f>IFERROR(__xludf.DUMMYFUNCTION("""COMPUTED_VALUE"""),1.41)</f>
        <v>1.41</v>
      </c>
      <c r="C1100" s="1">
        <f>IFERROR(__xludf.DUMMYFUNCTION("""COMPUTED_VALUE"""),1.44)</f>
        <v>1.44</v>
      </c>
      <c r="D1100" s="1">
        <f>IFERROR(__xludf.DUMMYFUNCTION("""COMPUTED_VALUE"""),1.28)</f>
        <v>1.28</v>
      </c>
      <c r="E1100" s="1">
        <f>IFERROR(__xludf.DUMMYFUNCTION("""COMPUTED_VALUE"""),1.36)</f>
        <v>1.36</v>
      </c>
      <c r="F1100" s="1">
        <f>IFERROR(__xludf.DUMMYFUNCTION("""COMPUTED_VALUE"""),303611.0)</f>
        <v>303611</v>
      </c>
    </row>
    <row r="1101">
      <c r="A1101" s="2">
        <f>IFERROR(__xludf.DUMMYFUNCTION("""COMPUTED_VALUE"""),40763.666666666664)</f>
        <v>40763.66667</v>
      </c>
      <c r="B1101" s="1">
        <f>IFERROR(__xludf.DUMMYFUNCTION("""COMPUTED_VALUE"""),1.32)</f>
        <v>1.32</v>
      </c>
      <c r="C1101" s="1">
        <f>IFERROR(__xludf.DUMMYFUNCTION("""COMPUTED_VALUE"""),1.36)</f>
        <v>1.36</v>
      </c>
      <c r="D1101" s="1">
        <f>IFERROR(__xludf.DUMMYFUNCTION("""COMPUTED_VALUE"""),1.24)</f>
        <v>1.24</v>
      </c>
      <c r="E1101" s="1">
        <f>IFERROR(__xludf.DUMMYFUNCTION("""COMPUTED_VALUE"""),1.24)</f>
        <v>1.24</v>
      </c>
      <c r="F1101" s="1">
        <f>IFERROR(__xludf.DUMMYFUNCTION("""COMPUTED_VALUE"""),424834.0)</f>
        <v>424834</v>
      </c>
    </row>
    <row r="1102">
      <c r="A1102" s="2">
        <f>IFERROR(__xludf.DUMMYFUNCTION("""COMPUTED_VALUE"""),40764.666666666664)</f>
        <v>40764.66667</v>
      </c>
      <c r="B1102" s="1">
        <f>IFERROR(__xludf.DUMMYFUNCTION("""COMPUTED_VALUE"""),1.26)</f>
        <v>1.26</v>
      </c>
      <c r="C1102" s="1">
        <f>IFERROR(__xludf.DUMMYFUNCTION("""COMPUTED_VALUE"""),1.39)</f>
        <v>1.39</v>
      </c>
      <c r="D1102" s="1">
        <f>IFERROR(__xludf.DUMMYFUNCTION("""COMPUTED_VALUE"""),1.22)</f>
        <v>1.22</v>
      </c>
      <c r="E1102" s="1">
        <f>IFERROR(__xludf.DUMMYFUNCTION("""COMPUTED_VALUE"""),1.32)</f>
        <v>1.32</v>
      </c>
      <c r="F1102" s="1">
        <f>IFERROR(__xludf.DUMMYFUNCTION("""COMPUTED_VALUE"""),367104.0)</f>
        <v>367104</v>
      </c>
    </row>
    <row r="1103">
      <c r="A1103" s="2">
        <f>IFERROR(__xludf.DUMMYFUNCTION("""COMPUTED_VALUE"""),40765.666666666664)</f>
        <v>40765.66667</v>
      </c>
      <c r="B1103" s="1">
        <f>IFERROR(__xludf.DUMMYFUNCTION("""COMPUTED_VALUE"""),1.28)</f>
        <v>1.28</v>
      </c>
      <c r="C1103" s="1">
        <f>IFERROR(__xludf.DUMMYFUNCTION("""COMPUTED_VALUE"""),1.32)</f>
        <v>1.32</v>
      </c>
      <c r="D1103" s="1">
        <f>IFERROR(__xludf.DUMMYFUNCTION("""COMPUTED_VALUE"""),1.24)</f>
        <v>1.24</v>
      </c>
      <c r="E1103" s="1">
        <f>IFERROR(__xludf.DUMMYFUNCTION("""COMPUTED_VALUE"""),1.26)</f>
        <v>1.26</v>
      </c>
      <c r="F1103" s="1">
        <f>IFERROR(__xludf.DUMMYFUNCTION("""COMPUTED_VALUE"""),227694.0)</f>
        <v>227694</v>
      </c>
    </row>
    <row r="1104">
      <c r="A1104" s="2">
        <f>IFERROR(__xludf.DUMMYFUNCTION("""COMPUTED_VALUE"""),40766.666666666664)</f>
        <v>40766.66667</v>
      </c>
      <c r="B1104" s="1">
        <f>IFERROR(__xludf.DUMMYFUNCTION("""COMPUTED_VALUE"""),1.27)</f>
        <v>1.27</v>
      </c>
      <c r="C1104" s="1">
        <f>IFERROR(__xludf.DUMMYFUNCTION("""COMPUTED_VALUE"""),1.39)</f>
        <v>1.39</v>
      </c>
      <c r="D1104" s="1">
        <f>IFERROR(__xludf.DUMMYFUNCTION("""COMPUTED_VALUE"""),1.26)</f>
        <v>1.26</v>
      </c>
      <c r="E1104" s="1">
        <f>IFERROR(__xludf.DUMMYFUNCTION("""COMPUTED_VALUE"""),1.36)</f>
        <v>1.36</v>
      </c>
      <c r="F1104" s="1">
        <f>IFERROR(__xludf.DUMMYFUNCTION("""COMPUTED_VALUE"""),282220.0)</f>
        <v>282220</v>
      </c>
    </row>
    <row r="1105">
      <c r="A1105" s="2">
        <f>IFERROR(__xludf.DUMMYFUNCTION("""COMPUTED_VALUE"""),40767.666666666664)</f>
        <v>40767.66667</v>
      </c>
      <c r="B1105" s="1">
        <f>IFERROR(__xludf.DUMMYFUNCTION("""COMPUTED_VALUE"""),1.38)</f>
        <v>1.38</v>
      </c>
      <c r="C1105" s="1">
        <f>IFERROR(__xludf.DUMMYFUNCTION("""COMPUTED_VALUE"""),1.39)</f>
        <v>1.39</v>
      </c>
      <c r="D1105" s="1">
        <f>IFERROR(__xludf.DUMMYFUNCTION("""COMPUTED_VALUE"""),1.34)</f>
        <v>1.34</v>
      </c>
      <c r="E1105" s="1">
        <f>IFERROR(__xludf.DUMMYFUNCTION("""COMPUTED_VALUE"""),1.36)</f>
        <v>1.36</v>
      </c>
      <c r="F1105" s="1">
        <f>IFERROR(__xludf.DUMMYFUNCTION("""COMPUTED_VALUE"""),128133.0)</f>
        <v>128133</v>
      </c>
    </row>
    <row r="1106">
      <c r="A1106" s="2">
        <f>IFERROR(__xludf.DUMMYFUNCTION("""COMPUTED_VALUE"""),40770.666666666664)</f>
        <v>40770.66667</v>
      </c>
      <c r="B1106" s="1">
        <f>IFERROR(__xludf.DUMMYFUNCTION("""COMPUTED_VALUE"""),1.37)</f>
        <v>1.37</v>
      </c>
      <c r="C1106" s="1">
        <f>IFERROR(__xludf.DUMMYFUNCTION("""COMPUTED_VALUE"""),1.42)</f>
        <v>1.42</v>
      </c>
      <c r="D1106" s="1">
        <f>IFERROR(__xludf.DUMMYFUNCTION("""COMPUTED_VALUE"""),1.37)</f>
        <v>1.37</v>
      </c>
      <c r="E1106" s="1">
        <f>IFERROR(__xludf.DUMMYFUNCTION("""COMPUTED_VALUE"""),1.42)</f>
        <v>1.42</v>
      </c>
      <c r="F1106" s="1">
        <f>IFERROR(__xludf.DUMMYFUNCTION("""COMPUTED_VALUE"""),146979.0)</f>
        <v>146979</v>
      </c>
    </row>
    <row r="1107">
      <c r="A1107" s="2">
        <f>IFERROR(__xludf.DUMMYFUNCTION("""COMPUTED_VALUE"""),40771.666666666664)</f>
        <v>40771.66667</v>
      </c>
      <c r="B1107" s="1">
        <f>IFERROR(__xludf.DUMMYFUNCTION("""COMPUTED_VALUE"""),1.41)</f>
        <v>1.41</v>
      </c>
      <c r="C1107" s="1">
        <f>IFERROR(__xludf.DUMMYFUNCTION("""COMPUTED_VALUE"""),1.41)</f>
        <v>1.41</v>
      </c>
      <c r="D1107" s="1">
        <f>IFERROR(__xludf.DUMMYFUNCTION("""COMPUTED_VALUE"""),1.37)</f>
        <v>1.37</v>
      </c>
      <c r="E1107" s="1">
        <f>IFERROR(__xludf.DUMMYFUNCTION("""COMPUTED_VALUE"""),1.39)</f>
        <v>1.39</v>
      </c>
      <c r="F1107" s="1">
        <f>IFERROR(__xludf.DUMMYFUNCTION("""COMPUTED_VALUE"""),212222.0)</f>
        <v>212222</v>
      </c>
    </row>
    <row r="1108">
      <c r="A1108" s="2">
        <f>IFERROR(__xludf.DUMMYFUNCTION("""COMPUTED_VALUE"""),40772.666666666664)</f>
        <v>40772.66667</v>
      </c>
      <c r="B1108" s="1">
        <f>IFERROR(__xludf.DUMMYFUNCTION("""COMPUTED_VALUE"""),1.39)</f>
        <v>1.39</v>
      </c>
      <c r="C1108" s="1">
        <f>IFERROR(__xludf.DUMMYFUNCTION("""COMPUTED_VALUE"""),1.42)</f>
        <v>1.42</v>
      </c>
      <c r="D1108" s="1">
        <f>IFERROR(__xludf.DUMMYFUNCTION("""COMPUTED_VALUE"""),1.37)</f>
        <v>1.37</v>
      </c>
      <c r="E1108" s="1">
        <f>IFERROR(__xludf.DUMMYFUNCTION("""COMPUTED_VALUE"""),1.4)</f>
        <v>1.4</v>
      </c>
      <c r="F1108" s="1">
        <f>IFERROR(__xludf.DUMMYFUNCTION("""COMPUTED_VALUE"""),160156.0)</f>
        <v>160156</v>
      </c>
    </row>
    <row r="1109">
      <c r="A1109" s="2">
        <f>IFERROR(__xludf.DUMMYFUNCTION("""COMPUTED_VALUE"""),40773.666666666664)</f>
        <v>40773.66667</v>
      </c>
      <c r="B1109" s="1">
        <f>IFERROR(__xludf.DUMMYFUNCTION("""COMPUTED_VALUE"""),1.35)</f>
        <v>1.35</v>
      </c>
      <c r="C1109" s="1">
        <f>IFERROR(__xludf.DUMMYFUNCTION("""COMPUTED_VALUE"""),1.35)</f>
        <v>1.35</v>
      </c>
      <c r="D1109" s="1">
        <f>IFERROR(__xludf.DUMMYFUNCTION("""COMPUTED_VALUE"""),1.27)</f>
        <v>1.27</v>
      </c>
      <c r="E1109" s="1">
        <f>IFERROR(__xludf.DUMMYFUNCTION("""COMPUTED_VALUE"""),1.3)</f>
        <v>1.3</v>
      </c>
      <c r="F1109" s="1">
        <f>IFERROR(__xludf.DUMMYFUNCTION("""COMPUTED_VALUE"""),332024.0)</f>
        <v>332024</v>
      </c>
    </row>
    <row r="1110">
      <c r="A1110" s="2">
        <f>IFERROR(__xludf.DUMMYFUNCTION("""COMPUTED_VALUE"""),40774.666666666664)</f>
        <v>40774.66667</v>
      </c>
      <c r="B1110" s="1">
        <f>IFERROR(__xludf.DUMMYFUNCTION("""COMPUTED_VALUE"""),1.27)</f>
        <v>1.27</v>
      </c>
      <c r="C1110" s="1">
        <f>IFERROR(__xludf.DUMMYFUNCTION("""COMPUTED_VALUE"""),1.42)</f>
        <v>1.42</v>
      </c>
      <c r="D1110" s="1">
        <f>IFERROR(__xludf.DUMMYFUNCTION("""COMPUTED_VALUE"""),1.27)</f>
        <v>1.27</v>
      </c>
      <c r="E1110" s="1">
        <f>IFERROR(__xludf.DUMMYFUNCTION("""COMPUTED_VALUE"""),1.33)</f>
        <v>1.33</v>
      </c>
      <c r="F1110" s="1">
        <f>IFERROR(__xludf.DUMMYFUNCTION("""COMPUTED_VALUE"""),265998.0)</f>
        <v>265998</v>
      </c>
    </row>
    <row r="1111">
      <c r="A1111" s="2">
        <f>IFERROR(__xludf.DUMMYFUNCTION("""COMPUTED_VALUE"""),40777.666666666664)</f>
        <v>40777.66667</v>
      </c>
      <c r="B1111" s="1">
        <f>IFERROR(__xludf.DUMMYFUNCTION("""COMPUTED_VALUE"""),1.36)</f>
        <v>1.36</v>
      </c>
      <c r="C1111" s="1">
        <f>IFERROR(__xludf.DUMMYFUNCTION("""COMPUTED_VALUE"""),1.36)</f>
        <v>1.36</v>
      </c>
      <c r="D1111" s="1">
        <f>IFERROR(__xludf.DUMMYFUNCTION("""COMPUTED_VALUE"""),1.3)</f>
        <v>1.3</v>
      </c>
      <c r="E1111" s="1">
        <f>IFERROR(__xludf.DUMMYFUNCTION("""COMPUTED_VALUE"""),1.31)</f>
        <v>1.31</v>
      </c>
      <c r="F1111" s="1">
        <f>IFERROR(__xludf.DUMMYFUNCTION("""COMPUTED_VALUE"""),89277.0)</f>
        <v>89277</v>
      </c>
    </row>
    <row r="1112">
      <c r="A1112" s="2">
        <f>IFERROR(__xludf.DUMMYFUNCTION("""COMPUTED_VALUE"""),40778.666666666664)</f>
        <v>40778.66667</v>
      </c>
      <c r="B1112" s="1">
        <f>IFERROR(__xludf.DUMMYFUNCTION("""COMPUTED_VALUE"""),1.32)</f>
        <v>1.32</v>
      </c>
      <c r="C1112" s="1">
        <f>IFERROR(__xludf.DUMMYFUNCTION("""COMPUTED_VALUE"""),1.4)</f>
        <v>1.4</v>
      </c>
      <c r="D1112" s="1">
        <f>IFERROR(__xludf.DUMMYFUNCTION("""COMPUTED_VALUE"""),1.32)</f>
        <v>1.32</v>
      </c>
      <c r="E1112" s="1">
        <f>IFERROR(__xludf.DUMMYFUNCTION("""COMPUTED_VALUE"""),1.39)</f>
        <v>1.39</v>
      </c>
      <c r="F1112" s="1">
        <f>IFERROR(__xludf.DUMMYFUNCTION("""COMPUTED_VALUE"""),156201.0)</f>
        <v>156201</v>
      </c>
    </row>
    <row r="1113">
      <c r="A1113" s="2">
        <f>IFERROR(__xludf.DUMMYFUNCTION("""COMPUTED_VALUE"""),40779.666666666664)</f>
        <v>40779.66667</v>
      </c>
      <c r="B1113" s="1">
        <f>IFERROR(__xludf.DUMMYFUNCTION("""COMPUTED_VALUE"""),1.39)</f>
        <v>1.39</v>
      </c>
      <c r="C1113" s="1">
        <f>IFERROR(__xludf.DUMMYFUNCTION("""COMPUTED_VALUE"""),1.39)</f>
        <v>1.39</v>
      </c>
      <c r="D1113" s="1">
        <f>IFERROR(__xludf.DUMMYFUNCTION("""COMPUTED_VALUE"""),1.29)</f>
        <v>1.29</v>
      </c>
      <c r="E1113" s="1">
        <f>IFERROR(__xludf.DUMMYFUNCTION("""COMPUTED_VALUE"""),1.33)</f>
        <v>1.33</v>
      </c>
      <c r="F1113" s="1">
        <f>IFERROR(__xludf.DUMMYFUNCTION("""COMPUTED_VALUE"""),706325.0)</f>
        <v>706325</v>
      </c>
    </row>
    <row r="1114">
      <c r="A1114" s="2">
        <f>IFERROR(__xludf.DUMMYFUNCTION("""COMPUTED_VALUE"""),40780.666666666664)</f>
        <v>40780.66667</v>
      </c>
      <c r="B1114" s="1">
        <f>IFERROR(__xludf.DUMMYFUNCTION("""COMPUTED_VALUE"""),1.35)</f>
        <v>1.35</v>
      </c>
      <c r="C1114" s="1">
        <f>IFERROR(__xludf.DUMMYFUNCTION("""COMPUTED_VALUE"""),1.36)</f>
        <v>1.36</v>
      </c>
      <c r="D1114" s="1">
        <f>IFERROR(__xludf.DUMMYFUNCTION("""COMPUTED_VALUE"""),1.29)</f>
        <v>1.29</v>
      </c>
      <c r="E1114" s="1">
        <f>IFERROR(__xludf.DUMMYFUNCTION("""COMPUTED_VALUE"""),1.29)</f>
        <v>1.29</v>
      </c>
      <c r="F1114" s="1">
        <f>IFERROR(__xludf.DUMMYFUNCTION("""COMPUTED_VALUE"""),186519.0)</f>
        <v>186519</v>
      </c>
    </row>
    <row r="1115">
      <c r="A1115" s="2">
        <f>IFERROR(__xludf.DUMMYFUNCTION("""COMPUTED_VALUE"""),40781.666666666664)</f>
        <v>40781.66667</v>
      </c>
      <c r="B1115" s="1">
        <f>IFERROR(__xludf.DUMMYFUNCTION("""COMPUTED_VALUE"""),1.29)</f>
        <v>1.29</v>
      </c>
      <c r="C1115" s="1">
        <f>IFERROR(__xludf.DUMMYFUNCTION("""COMPUTED_VALUE"""),1.32)</f>
        <v>1.32</v>
      </c>
      <c r="D1115" s="1">
        <f>IFERROR(__xludf.DUMMYFUNCTION("""COMPUTED_VALUE"""),1.27)</f>
        <v>1.27</v>
      </c>
      <c r="E1115" s="1">
        <f>IFERROR(__xludf.DUMMYFUNCTION("""COMPUTED_VALUE"""),1.32)</f>
        <v>1.32</v>
      </c>
      <c r="F1115" s="1">
        <f>IFERROR(__xludf.DUMMYFUNCTION("""COMPUTED_VALUE"""),286857.0)</f>
        <v>286857</v>
      </c>
    </row>
    <row r="1116">
      <c r="A1116" s="2">
        <f>IFERROR(__xludf.DUMMYFUNCTION("""COMPUTED_VALUE"""),40784.666666666664)</f>
        <v>40784.66667</v>
      </c>
      <c r="B1116" s="1">
        <f>IFERROR(__xludf.DUMMYFUNCTION("""COMPUTED_VALUE"""),1.34)</f>
        <v>1.34</v>
      </c>
      <c r="C1116" s="1">
        <f>IFERROR(__xludf.DUMMYFUNCTION("""COMPUTED_VALUE"""),1.4)</f>
        <v>1.4</v>
      </c>
      <c r="D1116" s="1">
        <f>IFERROR(__xludf.DUMMYFUNCTION("""COMPUTED_VALUE"""),1.34)</f>
        <v>1.34</v>
      </c>
      <c r="E1116" s="1">
        <f>IFERROR(__xludf.DUMMYFUNCTION("""COMPUTED_VALUE"""),1.39)</f>
        <v>1.39</v>
      </c>
      <c r="F1116" s="1">
        <f>IFERROR(__xludf.DUMMYFUNCTION("""COMPUTED_VALUE"""),295876.0)</f>
        <v>295876</v>
      </c>
    </row>
    <row r="1117">
      <c r="A1117" s="2">
        <f>IFERROR(__xludf.DUMMYFUNCTION("""COMPUTED_VALUE"""),40785.666666666664)</f>
        <v>40785.66667</v>
      </c>
      <c r="B1117" s="1">
        <f>IFERROR(__xludf.DUMMYFUNCTION("""COMPUTED_VALUE"""),1.39)</f>
        <v>1.39</v>
      </c>
      <c r="C1117" s="1">
        <f>IFERROR(__xludf.DUMMYFUNCTION("""COMPUTED_VALUE"""),1.4)</f>
        <v>1.4</v>
      </c>
      <c r="D1117" s="1">
        <f>IFERROR(__xludf.DUMMYFUNCTION("""COMPUTED_VALUE"""),1.37)</f>
        <v>1.37</v>
      </c>
      <c r="E1117" s="1">
        <f>IFERROR(__xludf.DUMMYFUNCTION("""COMPUTED_VALUE"""),1.39)</f>
        <v>1.39</v>
      </c>
      <c r="F1117" s="1">
        <f>IFERROR(__xludf.DUMMYFUNCTION("""COMPUTED_VALUE"""),152613.0)</f>
        <v>152613</v>
      </c>
    </row>
    <row r="1118">
      <c r="A1118" s="2">
        <f>IFERROR(__xludf.DUMMYFUNCTION("""COMPUTED_VALUE"""),40786.666666666664)</f>
        <v>40786.66667</v>
      </c>
      <c r="B1118" s="1">
        <f>IFERROR(__xludf.DUMMYFUNCTION("""COMPUTED_VALUE"""),1.41)</f>
        <v>1.41</v>
      </c>
      <c r="C1118" s="1">
        <f>IFERROR(__xludf.DUMMYFUNCTION("""COMPUTED_VALUE"""),1.41)</f>
        <v>1.41</v>
      </c>
      <c r="D1118" s="1">
        <f>IFERROR(__xludf.DUMMYFUNCTION("""COMPUTED_VALUE"""),1.35)</f>
        <v>1.35</v>
      </c>
      <c r="E1118" s="1">
        <f>IFERROR(__xludf.DUMMYFUNCTION("""COMPUTED_VALUE"""),1.37)</f>
        <v>1.37</v>
      </c>
      <c r="F1118" s="1">
        <f>IFERROR(__xludf.DUMMYFUNCTION("""COMPUTED_VALUE"""),189270.0)</f>
        <v>189270</v>
      </c>
    </row>
    <row r="1119">
      <c r="A1119" s="2">
        <f>IFERROR(__xludf.DUMMYFUNCTION("""COMPUTED_VALUE"""),40787.666666666664)</f>
        <v>40787.66667</v>
      </c>
      <c r="B1119" s="1">
        <f>IFERROR(__xludf.DUMMYFUNCTION("""COMPUTED_VALUE"""),1.38)</f>
        <v>1.38</v>
      </c>
      <c r="C1119" s="1">
        <f>IFERROR(__xludf.DUMMYFUNCTION("""COMPUTED_VALUE"""),1.43)</f>
        <v>1.43</v>
      </c>
      <c r="D1119" s="1">
        <f>IFERROR(__xludf.DUMMYFUNCTION("""COMPUTED_VALUE"""),1.31)</f>
        <v>1.31</v>
      </c>
      <c r="E1119" s="1">
        <f>IFERROR(__xludf.DUMMYFUNCTION("""COMPUTED_VALUE"""),1.32)</f>
        <v>1.32</v>
      </c>
      <c r="F1119" s="1">
        <f>IFERROR(__xludf.DUMMYFUNCTION("""COMPUTED_VALUE"""),180004.0)</f>
        <v>180004</v>
      </c>
    </row>
    <row r="1120">
      <c r="A1120" s="2">
        <f>IFERROR(__xludf.DUMMYFUNCTION("""COMPUTED_VALUE"""),40788.666666666664)</f>
        <v>40788.66667</v>
      </c>
      <c r="B1120" s="1">
        <f>IFERROR(__xludf.DUMMYFUNCTION("""COMPUTED_VALUE"""),1.3)</f>
        <v>1.3</v>
      </c>
      <c r="C1120" s="1">
        <f>IFERROR(__xludf.DUMMYFUNCTION("""COMPUTED_VALUE"""),1.32)</f>
        <v>1.32</v>
      </c>
      <c r="D1120" s="1">
        <f>IFERROR(__xludf.DUMMYFUNCTION("""COMPUTED_VALUE"""),1.26)</f>
        <v>1.26</v>
      </c>
      <c r="E1120" s="1">
        <f>IFERROR(__xludf.DUMMYFUNCTION("""COMPUTED_VALUE"""),1.27)</f>
        <v>1.27</v>
      </c>
      <c r="F1120" s="1">
        <f>IFERROR(__xludf.DUMMYFUNCTION("""COMPUTED_VALUE"""),158649.0)</f>
        <v>158649</v>
      </c>
    </row>
    <row r="1121">
      <c r="A1121" s="2">
        <f>IFERROR(__xludf.DUMMYFUNCTION("""COMPUTED_VALUE"""),40792.666666666664)</f>
        <v>40792.66667</v>
      </c>
      <c r="B1121" s="1">
        <f>IFERROR(__xludf.DUMMYFUNCTION("""COMPUTED_VALUE"""),1.22)</f>
        <v>1.22</v>
      </c>
      <c r="C1121" s="1">
        <f>IFERROR(__xludf.DUMMYFUNCTION("""COMPUTED_VALUE"""),1.26)</f>
        <v>1.26</v>
      </c>
      <c r="D1121" s="1">
        <f>IFERROR(__xludf.DUMMYFUNCTION("""COMPUTED_VALUE"""),1.22)</f>
        <v>1.22</v>
      </c>
      <c r="E1121" s="1">
        <f>IFERROR(__xludf.DUMMYFUNCTION("""COMPUTED_VALUE"""),1.26)</f>
        <v>1.26</v>
      </c>
      <c r="F1121" s="1">
        <f>IFERROR(__xludf.DUMMYFUNCTION("""COMPUTED_VALUE"""),193358.0)</f>
        <v>193358</v>
      </c>
    </row>
    <row r="1122">
      <c r="A1122" s="2">
        <f>IFERROR(__xludf.DUMMYFUNCTION("""COMPUTED_VALUE"""),40793.666666666664)</f>
        <v>40793.66667</v>
      </c>
      <c r="B1122" s="1">
        <f>IFERROR(__xludf.DUMMYFUNCTION("""COMPUTED_VALUE"""),1.28)</f>
        <v>1.28</v>
      </c>
      <c r="C1122" s="1">
        <f>IFERROR(__xludf.DUMMYFUNCTION("""COMPUTED_VALUE"""),1.34)</f>
        <v>1.34</v>
      </c>
      <c r="D1122" s="1">
        <f>IFERROR(__xludf.DUMMYFUNCTION("""COMPUTED_VALUE"""),1.28)</f>
        <v>1.28</v>
      </c>
      <c r="E1122" s="1">
        <f>IFERROR(__xludf.DUMMYFUNCTION("""COMPUTED_VALUE"""),1.34)</f>
        <v>1.34</v>
      </c>
      <c r="F1122" s="1">
        <f>IFERROR(__xludf.DUMMYFUNCTION("""COMPUTED_VALUE"""),170889.0)</f>
        <v>170889</v>
      </c>
    </row>
    <row r="1123">
      <c r="A1123" s="2">
        <f>IFERROR(__xludf.DUMMYFUNCTION("""COMPUTED_VALUE"""),40794.666666666664)</f>
        <v>40794.66667</v>
      </c>
      <c r="B1123" s="1">
        <f>IFERROR(__xludf.DUMMYFUNCTION("""COMPUTED_VALUE"""),1.33)</f>
        <v>1.33</v>
      </c>
      <c r="C1123" s="1">
        <f>IFERROR(__xludf.DUMMYFUNCTION("""COMPUTED_VALUE"""),1.35)</f>
        <v>1.35</v>
      </c>
      <c r="D1123" s="1">
        <f>IFERROR(__xludf.DUMMYFUNCTION("""COMPUTED_VALUE"""),1.29)</f>
        <v>1.29</v>
      </c>
      <c r="E1123" s="1">
        <f>IFERROR(__xludf.DUMMYFUNCTION("""COMPUTED_VALUE"""),1.29)</f>
        <v>1.29</v>
      </c>
      <c r="F1123" s="1">
        <f>IFERROR(__xludf.DUMMYFUNCTION("""COMPUTED_VALUE"""),119117.0)</f>
        <v>119117</v>
      </c>
    </row>
    <row r="1124">
      <c r="A1124" s="2">
        <f>IFERROR(__xludf.DUMMYFUNCTION("""COMPUTED_VALUE"""),40795.666666666664)</f>
        <v>40795.66667</v>
      </c>
      <c r="B1124" s="1">
        <f>IFERROR(__xludf.DUMMYFUNCTION("""COMPUTED_VALUE"""),1.28)</f>
        <v>1.28</v>
      </c>
      <c r="C1124" s="1">
        <f>IFERROR(__xludf.DUMMYFUNCTION("""COMPUTED_VALUE"""),1.3)</f>
        <v>1.3</v>
      </c>
      <c r="D1124" s="1">
        <f>IFERROR(__xludf.DUMMYFUNCTION("""COMPUTED_VALUE"""),1.2)</f>
        <v>1.2</v>
      </c>
      <c r="E1124" s="1">
        <f>IFERROR(__xludf.DUMMYFUNCTION("""COMPUTED_VALUE"""),1.24)</f>
        <v>1.24</v>
      </c>
      <c r="F1124" s="1">
        <f>IFERROR(__xludf.DUMMYFUNCTION("""COMPUTED_VALUE"""),152826.0)</f>
        <v>152826</v>
      </c>
    </row>
    <row r="1125">
      <c r="A1125" s="2">
        <f>IFERROR(__xludf.DUMMYFUNCTION("""COMPUTED_VALUE"""),40798.666666666664)</f>
        <v>40798.66667</v>
      </c>
      <c r="B1125" s="1">
        <f>IFERROR(__xludf.DUMMYFUNCTION("""COMPUTED_VALUE"""),1.22)</f>
        <v>1.22</v>
      </c>
      <c r="C1125" s="1">
        <f>IFERROR(__xludf.DUMMYFUNCTION("""COMPUTED_VALUE"""),1.26)</f>
        <v>1.26</v>
      </c>
      <c r="D1125" s="1">
        <f>IFERROR(__xludf.DUMMYFUNCTION("""COMPUTED_VALUE"""),1.22)</f>
        <v>1.22</v>
      </c>
      <c r="E1125" s="1">
        <f>IFERROR(__xludf.DUMMYFUNCTION("""COMPUTED_VALUE"""),1.26)</f>
        <v>1.26</v>
      </c>
      <c r="F1125" s="1">
        <f>IFERROR(__xludf.DUMMYFUNCTION("""COMPUTED_VALUE"""),117578.0)</f>
        <v>117578</v>
      </c>
    </row>
    <row r="1126">
      <c r="A1126" s="2">
        <f>IFERROR(__xludf.DUMMYFUNCTION("""COMPUTED_VALUE"""),40799.666666666664)</f>
        <v>40799.66667</v>
      </c>
      <c r="B1126" s="1">
        <f>IFERROR(__xludf.DUMMYFUNCTION("""COMPUTED_VALUE"""),1.27)</f>
        <v>1.27</v>
      </c>
      <c r="C1126" s="1">
        <f>IFERROR(__xludf.DUMMYFUNCTION("""COMPUTED_VALUE"""),1.31)</f>
        <v>1.31</v>
      </c>
      <c r="D1126" s="1">
        <f>IFERROR(__xludf.DUMMYFUNCTION("""COMPUTED_VALUE"""),1.26)</f>
        <v>1.26</v>
      </c>
      <c r="E1126" s="1">
        <f>IFERROR(__xludf.DUMMYFUNCTION("""COMPUTED_VALUE"""),1.29)</f>
        <v>1.29</v>
      </c>
      <c r="F1126" s="1">
        <f>IFERROR(__xludf.DUMMYFUNCTION("""COMPUTED_VALUE"""),224787.0)</f>
        <v>224787</v>
      </c>
    </row>
    <row r="1127">
      <c r="A1127" s="2">
        <f>IFERROR(__xludf.DUMMYFUNCTION("""COMPUTED_VALUE"""),40800.666666666664)</f>
        <v>40800.66667</v>
      </c>
      <c r="B1127" s="1">
        <f>IFERROR(__xludf.DUMMYFUNCTION("""COMPUTED_VALUE"""),1.31)</f>
        <v>1.31</v>
      </c>
      <c r="C1127" s="1">
        <f>IFERROR(__xludf.DUMMYFUNCTION("""COMPUTED_VALUE"""),1.36)</f>
        <v>1.36</v>
      </c>
      <c r="D1127" s="1">
        <f>IFERROR(__xludf.DUMMYFUNCTION("""COMPUTED_VALUE"""),1.29)</f>
        <v>1.29</v>
      </c>
      <c r="E1127" s="1">
        <f>IFERROR(__xludf.DUMMYFUNCTION("""COMPUTED_VALUE"""),1.33)</f>
        <v>1.33</v>
      </c>
      <c r="F1127" s="1">
        <f>IFERROR(__xludf.DUMMYFUNCTION("""COMPUTED_VALUE"""),185735.0)</f>
        <v>185735</v>
      </c>
    </row>
    <row r="1128">
      <c r="A1128" s="2">
        <f>IFERROR(__xludf.DUMMYFUNCTION("""COMPUTED_VALUE"""),40801.666666666664)</f>
        <v>40801.66667</v>
      </c>
      <c r="B1128" s="1">
        <f>IFERROR(__xludf.DUMMYFUNCTION("""COMPUTED_VALUE"""),1.36)</f>
        <v>1.36</v>
      </c>
      <c r="C1128" s="1">
        <f>IFERROR(__xludf.DUMMYFUNCTION("""COMPUTED_VALUE"""),1.36)</f>
        <v>1.36</v>
      </c>
      <c r="D1128" s="1">
        <f>IFERROR(__xludf.DUMMYFUNCTION("""COMPUTED_VALUE"""),1.32)</f>
        <v>1.32</v>
      </c>
      <c r="E1128" s="1">
        <f>IFERROR(__xludf.DUMMYFUNCTION("""COMPUTED_VALUE"""),1.36)</f>
        <v>1.36</v>
      </c>
      <c r="F1128" s="1">
        <f>IFERROR(__xludf.DUMMYFUNCTION("""COMPUTED_VALUE"""),106485.0)</f>
        <v>106485</v>
      </c>
    </row>
    <row r="1129">
      <c r="A1129" s="2">
        <f>IFERROR(__xludf.DUMMYFUNCTION("""COMPUTED_VALUE"""),40802.666666666664)</f>
        <v>40802.66667</v>
      </c>
      <c r="B1129" s="1">
        <f>IFERROR(__xludf.DUMMYFUNCTION("""COMPUTED_VALUE"""),1.37)</f>
        <v>1.37</v>
      </c>
      <c r="C1129" s="1">
        <f>IFERROR(__xludf.DUMMYFUNCTION("""COMPUTED_VALUE"""),1.37)</f>
        <v>1.37</v>
      </c>
      <c r="D1129" s="1">
        <f>IFERROR(__xludf.DUMMYFUNCTION("""COMPUTED_VALUE"""),1.34)</f>
        <v>1.34</v>
      </c>
      <c r="E1129" s="1">
        <f>IFERROR(__xludf.DUMMYFUNCTION("""COMPUTED_VALUE"""),1.36)</f>
        <v>1.36</v>
      </c>
      <c r="F1129" s="1">
        <f>IFERROR(__xludf.DUMMYFUNCTION("""COMPUTED_VALUE"""),225652.0)</f>
        <v>225652</v>
      </c>
    </row>
    <row r="1130">
      <c r="A1130" s="2">
        <f>IFERROR(__xludf.DUMMYFUNCTION("""COMPUTED_VALUE"""),40805.666666666664)</f>
        <v>40805.66667</v>
      </c>
      <c r="B1130" s="1">
        <f>IFERROR(__xludf.DUMMYFUNCTION("""COMPUTED_VALUE"""),1.33)</f>
        <v>1.33</v>
      </c>
      <c r="C1130" s="1">
        <f>IFERROR(__xludf.DUMMYFUNCTION("""COMPUTED_VALUE"""),1.37)</f>
        <v>1.37</v>
      </c>
      <c r="D1130" s="1">
        <f>IFERROR(__xludf.DUMMYFUNCTION("""COMPUTED_VALUE"""),1.33)</f>
        <v>1.33</v>
      </c>
      <c r="E1130" s="1">
        <f>IFERROR(__xludf.DUMMYFUNCTION("""COMPUTED_VALUE"""),1.34)</f>
        <v>1.34</v>
      </c>
      <c r="F1130" s="1">
        <f>IFERROR(__xludf.DUMMYFUNCTION("""COMPUTED_VALUE"""),70275.0)</f>
        <v>70275</v>
      </c>
    </row>
    <row r="1131">
      <c r="A1131" s="2">
        <f>IFERROR(__xludf.DUMMYFUNCTION("""COMPUTED_VALUE"""),40806.666666666664)</f>
        <v>40806.66667</v>
      </c>
      <c r="B1131" s="1">
        <f>IFERROR(__xludf.DUMMYFUNCTION("""COMPUTED_VALUE"""),1.35)</f>
        <v>1.35</v>
      </c>
      <c r="C1131" s="1">
        <f>IFERROR(__xludf.DUMMYFUNCTION("""COMPUTED_VALUE"""),1.36)</f>
        <v>1.36</v>
      </c>
      <c r="D1131" s="1">
        <f>IFERROR(__xludf.DUMMYFUNCTION("""COMPUTED_VALUE"""),1.28)</f>
        <v>1.28</v>
      </c>
      <c r="E1131" s="1">
        <f>IFERROR(__xludf.DUMMYFUNCTION("""COMPUTED_VALUE"""),1.28)</f>
        <v>1.28</v>
      </c>
      <c r="F1131" s="1">
        <f>IFERROR(__xludf.DUMMYFUNCTION("""COMPUTED_VALUE"""),174239.0)</f>
        <v>174239</v>
      </c>
    </row>
    <row r="1132">
      <c r="A1132" s="2">
        <f>IFERROR(__xludf.DUMMYFUNCTION("""COMPUTED_VALUE"""),40807.666666666664)</f>
        <v>40807.66667</v>
      </c>
      <c r="B1132" s="1">
        <f>IFERROR(__xludf.DUMMYFUNCTION("""COMPUTED_VALUE"""),1.29)</f>
        <v>1.29</v>
      </c>
      <c r="C1132" s="1">
        <f>IFERROR(__xludf.DUMMYFUNCTION("""COMPUTED_VALUE"""),1.33)</f>
        <v>1.33</v>
      </c>
      <c r="D1132" s="1">
        <f>IFERROR(__xludf.DUMMYFUNCTION("""COMPUTED_VALUE"""),1.26)</f>
        <v>1.26</v>
      </c>
      <c r="E1132" s="1">
        <f>IFERROR(__xludf.DUMMYFUNCTION("""COMPUTED_VALUE"""),1.26)</f>
        <v>1.26</v>
      </c>
      <c r="F1132" s="1">
        <f>IFERROR(__xludf.DUMMYFUNCTION("""COMPUTED_VALUE"""),144678.0)</f>
        <v>144678</v>
      </c>
    </row>
    <row r="1133">
      <c r="A1133" s="2">
        <f>IFERROR(__xludf.DUMMYFUNCTION("""COMPUTED_VALUE"""),40808.666666666664)</f>
        <v>40808.66667</v>
      </c>
      <c r="B1133" s="1">
        <f>IFERROR(__xludf.DUMMYFUNCTION("""COMPUTED_VALUE"""),1.24)</f>
        <v>1.24</v>
      </c>
      <c r="C1133" s="1">
        <f>IFERROR(__xludf.DUMMYFUNCTION("""COMPUTED_VALUE"""),1.29)</f>
        <v>1.29</v>
      </c>
      <c r="D1133" s="1">
        <f>IFERROR(__xludf.DUMMYFUNCTION("""COMPUTED_VALUE"""),1.22)</f>
        <v>1.22</v>
      </c>
      <c r="E1133" s="1">
        <f>IFERROR(__xludf.DUMMYFUNCTION("""COMPUTED_VALUE"""),1.24)</f>
        <v>1.24</v>
      </c>
      <c r="F1133" s="1">
        <f>IFERROR(__xludf.DUMMYFUNCTION("""COMPUTED_VALUE"""),179487.0)</f>
        <v>179487</v>
      </c>
    </row>
    <row r="1134">
      <c r="A1134" s="2">
        <f>IFERROR(__xludf.DUMMYFUNCTION("""COMPUTED_VALUE"""),40809.666666666664)</f>
        <v>40809.66667</v>
      </c>
      <c r="B1134" s="1">
        <f>IFERROR(__xludf.DUMMYFUNCTION("""COMPUTED_VALUE"""),1.24)</f>
        <v>1.24</v>
      </c>
      <c r="C1134" s="1">
        <f>IFERROR(__xludf.DUMMYFUNCTION("""COMPUTED_VALUE"""),1.3)</f>
        <v>1.3</v>
      </c>
      <c r="D1134" s="1">
        <f>IFERROR(__xludf.DUMMYFUNCTION("""COMPUTED_VALUE"""),1.22)</f>
        <v>1.22</v>
      </c>
      <c r="E1134" s="1">
        <f>IFERROR(__xludf.DUMMYFUNCTION("""COMPUTED_VALUE"""),1.29)</f>
        <v>1.29</v>
      </c>
      <c r="F1134" s="1">
        <f>IFERROR(__xludf.DUMMYFUNCTION("""COMPUTED_VALUE"""),177692.0)</f>
        <v>177692</v>
      </c>
    </row>
    <row r="1135">
      <c r="A1135" s="2">
        <f>IFERROR(__xludf.DUMMYFUNCTION("""COMPUTED_VALUE"""),40812.666666666664)</f>
        <v>40812.66667</v>
      </c>
      <c r="B1135" s="1">
        <f>IFERROR(__xludf.DUMMYFUNCTION("""COMPUTED_VALUE"""),1.3)</f>
        <v>1.3</v>
      </c>
      <c r="C1135" s="1">
        <f>IFERROR(__xludf.DUMMYFUNCTION("""COMPUTED_VALUE"""),1.34)</f>
        <v>1.34</v>
      </c>
      <c r="D1135" s="1">
        <f>IFERROR(__xludf.DUMMYFUNCTION("""COMPUTED_VALUE"""),1.28)</f>
        <v>1.28</v>
      </c>
      <c r="E1135" s="1">
        <f>IFERROR(__xludf.DUMMYFUNCTION("""COMPUTED_VALUE"""),1.32)</f>
        <v>1.32</v>
      </c>
      <c r="F1135" s="1">
        <f>IFERROR(__xludf.DUMMYFUNCTION("""COMPUTED_VALUE"""),107033.0)</f>
        <v>107033</v>
      </c>
    </row>
    <row r="1136">
      <c r="A1136" s="2">
        <f>IFERROR(__xludf.DUMMYFUNCTION("""COMPUTED_VALUE"""),40813.666666666664)</f>
        <v>40813.66667</v>
      </c>
      <c r="B1136" s="1">
        <f>IFERROR(__xludf.DUMMYFUNCTION("""COMPUTED_VALUE"""),1.35)</f>
        <v>1.35</v>
      </c>
      <c r="C1136" s="1">
        <f>IFERROR(__xludf.DUMMYFUNCTION("""COMPUTED_VALUE"""),1.37)</f>
        <v>1.37</v>
      </c>
      <c r="D1136" s="1">
        <f>IFERROR(__xludf.DUMMYFUNCTION("""COMPUTED_VALUE"""),1.32)</f>
        <v>1.32</v>
      </c>
      <c r="E1136" s="1">
        <f>IFERROR(__xludf.DUMMYFUNCTION("""COMPUTED_VALUE"""),1.34)</f>
        <v>1.34</v>
      </c>
      <c r="F1136" s="1">
        <f>IFERROR(__xludf.DUMMYFUNCTION("""COMPUTED_VALUE"""),178404.0)</f>
        <v>178404</v>
      </c>
    </row>
    <row r="1137">
      <c r="A1137" s="2">
        <f>IFERROR(__xludf.DUMMYFUNCTION("""COMPUTED_VALUE"""),40814.666666666664)</f>
        <v>40814.66667</v>
      </c>
      <c r="B1137" s="1">
        <f>IFERROR(__xludf.DUMMYFUNCTION("""COMPUTED_VALUE"""),1.34)</f>
        <v>1.34</v>
      </c>
      <c r="C1137" s="1">
        <f>IFERROR(__xludf.DUMMYFUNCTION("""COMPUTED_VALUE"""),1.35)</f>
        <v>1.35</v>
      </c>
      <c r="D1137" s="1">
        <f>IFERROR(__xludf.DUMMYFUNCTION("""COMPUTED_VALUE"""),1.27)</f>
        <v>1.27</v>
      </c>
      <c r="E1137" s="1">
        <f>IFERROR(__xludf.DUMMYFUNCTION("""COMPUTED_VALUE"""),1.27)</f>
        <v>1.27</v>
      </c>
      <c r="F1137" s="1">
        <f>IFERROR(__xludf.DUMMYFUNCTION("""COMPUTED_VALUE"""),87915.0)</f>
        <v>87915</v>
      </c>
    </row>
    <row r="1138">
      <c r="A1138" s="2">
        <f>IFERROR(__xludf.DUMMYFUNCTION("""COMPUTED_VALUE"""),40815.666666666664)</f>
        <v>40815.66667</v>
      </c>
      <c r="B1138" s="1">
        <f>IFERROR(__xludf.DUMMYFUNCTION("""COMPUTED_VALUE"""),1.31)</f>
        <v>1.31</v>
      </c>
      <c r="C1138" s="1">
        <f>IFERROR(__xludf.DUMMYFUNCTION("""COMPUTED_VALUE"""),1.32)</f>
        <v>1.32</v>
      </c>
      <c r="D1138" s="1">
        <f>IFERROR(__xludf.DUMMYFUNCTION("""COMPUTED_VALUE"""),1.24)</f>
        <v>1.24</v>
      </c>
      <c r="E1138" s="1">
        <f>IFERROR(__xludf.DUMMYFUNCTION("""COMPUTED_VALUE"""),1.28)</f>
        <v>1.28</v>
      </c>
      <c r="F1138" s="1">
        <f>IFERROR(__xludf.DUMMYFUNCTION("""COMPUTED_VALUE"""),67771.0)</f>
        <v>67771</v>
      </c>
    </row>
    <row r="1139">
      <c r="A1139" s="2">
        <f>IFERROR(__xludf.DUMMYFUNCTION("""COMPUTED_VALUE"""),40816.666666666664)</f>
        <v>40816.66667</v>
      </c>
      <c r="B1139" s="1">
        <f>IFERROR(__xludf.DUMMYFUNCTION("""COMPUTED_VALUE"""),1.26)</f>
        <v>1.26</v>
      </c>
      <c r="C1139" s="1">
        <f>IFERROR(__xludf.DUMMYFUNCTION("""COMPUTED_VALUE"""),1.32)</f>
        <v>1.32</v>
      </c>
      <c r="D1139" s="1">
        <f>IFERROR(__xludf.DUMMYFUNCTION("""COMPUTED_VALUE"""),1.25)</f>
        <v>1.25</v>
      </c>
      <c r="E1139" s="1">
        <f>IFERROR(__xludf.DUMMYFUNCTION("""COMPUTED_VALUE"""),1.25)</f>
        <v>1.25</v>
      </c>
      <c r="F1139" s="1">
        <f>IFERROR(__xludf.DUMMYFUNCTION("""COMPUTED_VALUE"""),131747.0)</f>
        <v>131747</v>
      </c>
    </row>
    <row r="1140">
      <c r="A1140" s="2">
        <f>IFERROR(__xludf.DUMMYFUNCTION("""COMPUTED_VALUE"""),40819.666666666664)</f>
        <v>40819.66667</v>
      </c>
      <c r="B1140" s="1">
        <f>IFERROR(__xludf.DUMMYFUNCTION("""COMPUTED_VALUE"""),1.24)</f>
        <v>1.24</v>
      </c>
      <c r="C1140" s="1">
        <f>IFERROR(__xludf.DUMMYFUNCTION("""COMPUTED_VALUE"""),1.26)</f>
        <v>1.26</v>
      </c>
      <c r="D1140" s="1">
        <f>IFERROR(__xludf.DUMMYFUNCTION("""COMPUTED_VALUE"""),1.16)</f>
        <v>1.16</v>
      </c>
      <c r="E1140" s="1">
        <f>IFERROR(__xludf.DUMMYFUNCTION("""COMPUTED_VALUE"""),1.16)</f>
        <v>1.16</v>
      </c>
      <c r="F1140" s="1">
        <f>IFERROR(__xludf.DUMMYFUNCTION("""COMPUTED_VALUE"""),228542.0)</f>
        <v>228542</v>
      </c>
    </row>
    <row r="1141">
      <c r="A1141" s="2">
        <f>IFERROR(__xludf.DUMMYFUNCTION("""COMPUTED_VALUE"""),40820.666666666664)</f>
        <v>40820.66667</v>
      </c>
      <c r="B1141" s="1">
        <f>IFERROR(__xludf.DUMMYFUNCTION("""COMPUTED_VALUE"""),1.14)</f>
        <v>1.14</v>
      </c>
      <c r="C1141" s="1">
        <f>IFERROR(__xludf.DUMMYFUNCTION("""COMPUTED_VALUE"""),1.3)</f>
        <v>1.3</v>
      </c>
      <c r="D1141" s="1">
        <f>IFERROR(__xludf.DUMMYFUNCTION("""COMPUTED_VALUE"""),1.14)</f>
        <v>1.14</v>
      </c>
      <c r="E1141" s="1">
        <f>IFERROR(__xludf.DUMMYFUNCTION("""COMPUTED_VALUE"""),1.3)</f>
        <v>1.3</v>
      </c>
      <c r="F1141" s="1">
        <f>IFERROR(__xludf.DUMMYFUNCTION("""COMPUTED_VALUE"""),192806.0)</f>
        <v>192806</v>
      </c>
    </row>
    <row r="1142">
      <c r="A1142" s="2">
        <f>IFERROR(__xludf.DUMMYFUNCTION("""COMPUTED_VALUE"""),40821.666666666664)</f>
        <v>40821.66667</v>
      </c>
      <c r="B1142" s="1">
        <f>IFERROR(__xludf.DUMMYFUNCTION("""COMPUTED_VALUE"""),1.3)</f>
        <v>1.3</v>
      </c>
      <c r="C1142" s="1">
        <f>IFERROR(__xludf.DUMMYFUNCTION("""COMPUTED_VALUE"""),1.38)</f>
        <v>1.38</v>
      </c>
      <c r="D1142" s="1">
        <f>IFERROR(__xludf.DUMMYFUNCTION("""COMPUTED_VALUE"""),1.26)</f>
        <v>1.26</v>
      </c>
      <c r="E1142" s="1">
        <f>IFERROR(__xludf.DUMMYFUNCTION("""COMPUTED_VALUE"""),1.37)</f>
        <v>1.37</v>
      </c>
      <c r="F1142" s="1">
        <f>IFERROR(__xludf.DUMMYFUNCTION("""COMPUTED_VALUE"""),158147.0)</f>
        <v>158147</v>
      </c>
    </row>
    <row r="1143">
      <c r="A1143" s="2">
        <f>IFERROR(__xludf.DUMMYFUNCTION("""COMPUTED_VALUE"""),40822.666666666664)</f>
        <v>40822.66667</v>
      </c>
      <c r="B1143" s="1">
        <f>IFERROR(__xludf.DUMMYFUNCTION("""COMPUTED_VALUE"""),1.37)</f>
        <v>1.37</v>
      </c>
      <c r="C1143" s="1">
        <f>IFERROR(__xludf.DUMMYFUNCTION("""COMPUTED_VALUE"""),1.4)</f>
        <v>1.4</v>
      </c>
      <c r="D1143" s="1">
        <f>IFERROR(__xludf.DUMMYFUNCTION("""COMPUTED_VALUE"""),1.36)</f>
        <v>1.36</v>
      </c>
      <c r="E1143" s="1">
        <f>IFERROR(__xludf.DUMMYFUNCTION("""COMPUTED_VALUE"""),1.4)</f>
        <v>1.4</v>
      </c>
      <c r="F1143" s="1">
        <f>IFERROR(__xludf.DUMMYFUNCTION("""COMPUTED_VALUE"""),190168.0)</f>
        <v>190168</v>
      </c>
    </row>
    <row r="1144">
      <c r="A1144" s="2">
        <f>IFERROR(__xludf.DUMMYFUNCTION("""COMPUTED_VALUE"""),40823.666666666664)</f>
        <v>40823.66667</v>
      </c>
      <c r="B1144" s="1">
        <f>IFERROR(__xludf.DUMMYFUNCTION("""COMPUTED_VALUE"""),1.4)</f>
        <v>1.4</v>
      </c>
      <c r="C1144" s="1">
        <f>IFERROR(__xludf.DUMMYFUNCTION("""COMPUTED_VALUE"""),1.42)</f>
        <v>1.42</v>
      </c>
      <c r="D1144" s="1">
        <f>IFERROR(__xludf.DUMMYFUNCTION("""COMPUTED_VALUE"""),1.35)</f>
        <v>1.35</v>
      </c>
      <c r="E1144" s="1">
        <f>IFERROR(__xludf.DUMMYFUNCTION("""COMPUTED_VALUE"""),1.37)</f>
        <v>1.37</v>
      </c>
      <c r="F1144" s="1">
        <f>IFERROR(__xludf.DUMMYFUNCTION("""COMPUTED_VALUE"""),195325.0)</f>
        <v>195325</v>
      </c>
    </row>
    <row r="1145">
      <c r="A1145" s="2">
        <f>IFERROR(__xludf.DUMMYFUNCTION("""COMPUTED_VALUE"""),40826.666666666664)</f>
        <v>40826.66667</v>
      </c>
      <c r="B1145" s="1">
        <f>IFERROR(__xludf.DUMMYFUNCTION("""COMPUTED_VALUE"""),1.39)</f>
        <v>1.39</v>
      </c>
      <c r="C1145" s="1">
        <f>IFERROR(__xludf.DUMMYFUNCTION("""COMPUTED_VALUE"""),1.43)</f>
        <v>1.43</v>
      </c>
      <c r="D1145" s="1">
        <f>IFERROR(__xludf.DUMMYFUNCTION("""COMPUTED_VALUE"""),1.39)</f>
        <v>1.39</v>
      </c>
      <c r="E1145" s="1">
        <f>IFERROR(__xludf.DUMMYFUNCTION("""COMPUTED_VALUE"""),1.43)</f>
        <v>1.43</v>
      </c>
      <c r="F1145" s="1">
        <f>IFERROR(__xludf.DUMMYFUNCTION("""COMPUTED_VALUE"""),104055.0)</f>
        <v>104055</v>
      </c>
    </row>
    <row r="1146">
      <c r="A1146" s="2">
        <f>IFERROR(__xludf.DUMMYFUNCTION("""COMPUTED_VALUE"""),40827.666666666664)</f>
        <v>40827.66667</v>
      </c>
      <c r="B1146" s="1">
        <f>IFERROR(__xludf.DUMMYFUNCTION("""COMPUTED_VALUE"""),1.41)</f>
        <v>1.41</v>
      </c>
      <c r="C1146" s="1">
        <f>IFERROR(__xludf.DUMMYFUNCTION("""COMPUTED_VALUE"""),1.45)</f>
        <v>1.45</v>
      </c>
      <c r="D1146" s="1">
        <f>IFERROR(__xludf.DUMMYFUNCTION("""COMPUTED_VALUE"""),1.41)</f>
        <v>1.41</v>
      </c>
      <c r="E1146" s="1">
        <f>IFERROR(__xludf.DUMMYFUNCTION("""COMPUTED_VALUE"""),1.44)</f>
        <v>1.44</v>
      </c>
      <c r="F1146" s="1">
        <f>IFERROR(__xludf.DUMMYFUNCTION("""COMPUTED_VALUE"""),81661.0)</f>
        <v>81661</v>
      </c>
    </row>
    <row r="1147">
      <c r="A1147" s="2">
        <f>IFERROR(__xludf.DUMMYFUNCTION("""COMPUTED_VALUE"""),40828.666666666664)</f>
        <v>40828.66667</v>
      </c>
      <c r="B1147" s="1">
        <f>IFERROR(__xludf.DUMMYFUNCTION("""COMPUTED_VALUE"""),1.46)</f>
        <v>1.46</v>
      </c>
      <c r="C1147" s="1">
        <f>IFERROR(__xludf.DUMMYFUNCTION("""COMPUTED_VALUE"""),1.48)</f>
        <v>1.48</v>
      </c>
      <c r="D1147" s="1">
        <f>IFERROR(__xludf.DUMMYFUNCTION("""COMPUTED_VALUE"""),1.44)</f>
        <v>1.44</v>
      </c>
      <c r="E1147" s="1">
        <f>IFERROR(__xludf.DUMMYFUNCTION("""COMPUTED_VALUE"""),1.46)</f>
        <v>1.46</v>
      </c>
      <c r="F1147" s="1">
        <f>IFERROR(__xludf.DUMMYFUNCTION("""COMPUTED_VALUE"""),100520.0)</f>
        <v>100520</v>
      </c>
    </row>
    <row r="1148">
      <c r="A1148" s="2">
        <f>IFERROR(__xludf.DUMMYFUNCTION("""COMPUTED_VALUE"""),40829.666666666664)</f>
        <v>40829.66667</v>
      </c>
      <c r="B1148" s="1">
        <f>IFERROR(__xludf.DUMMYFUNCTION("""COMPUTED_VALUE"""),1.45)</f>
        <v>1.45</v>
      </c>
      <c r="C1148" s="1">
        <f>IFERROR(__xludf.DUMMYFUNCTION("""COMPUTED_VALUE"""),1.49)</f>
        <v>1.49</v>
      </c>
      <c r="D1148" s="1">
        <f>IFERROR(__xludf.DUMMYFUNCTION("""COMPUTED_VALUE"""),1.45)</f>
        <v>1.45</v>
      </c>
      <c r="E1148" s="1">
        <f>IFERROR(__xludf.DUMMYFUNCTION("""COMPUTED_VALUE"""),1.49)</f>
        <v>1.49</v>
      </c>
      <c r="F1148" s="1">
        <f>IFERROR(__xludf.DUMMYFUNCTION("""COMPUTED_VALUE"""),87192.0)</f>
        <v>87192</v>
      </c>
    </row>
    <row r="1149">
      <c r="A1149" s="2">
        <f>IFERROR(__xludf.DUMMYFUNCTION("""COMPUTED_VALUE"""),40830.666666666664)</f>
        <v>40830.66667</v>
      </c>
      <c r="B1149" s="1">
        <f>IFERROR(__xludf.DUMMYFUNCTION("""COMPUTED_VALUE"""),1.5)</f>
        <v>1.5</v>
      </c>
      <c r="C1149" s="1">
        <f>IFERROR(__xludf.DUMMYFUNCTION("""COMPUTED_VALUE"""),1.53)</f>
        <v>1.53</v>
      </c>
      <c r="D1149" s="1">
        <f>IFERROR(__xludf.DUMMYFUNCTION("""COMPUTED_VALUE"""),1.48)</f>
        <v>1.48</v>
      </c>
      <c r="E1149" s="1">
        <f>IFERROR(__xludf.DUMMYFUNCTION("""COMPUTED_VALUE"""),1.52)</f>
        <v>1.52</v>
      </c>
      <c r="F1149" s="1">
        <f>IFERROR(__xludf.DUMMYFUNCTION("""COMPUTED_VALUE"""),183099.0)</f>
        <v>183099</v>
      </c>
    </row>
    <row r="1150">
      <c r="A1150" s="2">
        <f>IFERROR(__xludf.DUMMYFUNCTION("""COMPUTED_VALUE"""),40833.666666666664)</f>
        <v>40833.66667</v>
      </c>
      <c r="B1150" s="1">
        <f>IFERROR(__xludf.DUMMYFUNCTION("""COMPUTED_VALUE"""),1.51)</f>
        <v>1.51</v>
      </c>
      <c r="C1150" s="1">
        <f>IFERROR(__xludf.DUMMYFUNCTION("""COMPUTED_VALUE"""),1.53)</f>
        <v>1.53</v>
      </c>
      <c r="D1150" s="1">
        <f>IFERROR(__xludf.DUMMYFUNCTION("""COMPUTED_VALUE"""),1.48)</f>
        <v>1.48</v>
      </c>
      <c r="E1150" s="1">
        <f>IFERROR(__xludf.DUMMYFUNCTION("""COMPUTED_VALUE"""),1.5)</f>
        <v>1.5</v>
      </c>
      <c r="F1150" s="1">
        <f>IFERROR(__xludf.DUMMYFUNCTION("""COMPUTED_VALUE"""),187112.0)</f>
        <v>187112</v>
      </c>
    </row>
    <row r="1151">
      <c r="A1151" s="2">
        <f>IFERROR(__xludf.DUMMYFUNCTION("""COMPUTED_VALUE"""),40834.666666666664)</f>
        <v>40834.66667</v>
      </c>
      <c r="B1151" s="1">
        <f>IFERROR(__xludf.DUMMYFUNCTION("""COMPUTED_VALUE"""),1.5)</f>
        <v>1.5</v>
      </c>
      <c r="C1151" s="1">
        <f>IFERROR(__xludf.DUMMYFUNCTION("""COMPUTED_VALUE"""),1.55)</f>
        <v>1.55</v>
      </c>
      <c r="D1151" s="1">
        <f>IFERROR(__xludf.DUMMYFUNCTION("""COMPUTED_VALUE"""),1.46)</f>
        <v>1.46</v>
      </c>
      <c r="E1151" s="1">
        <f>IFERROR(__xludf.DUMMYFUNCTION("""COMPUTED_VALUE"""),1.54)</f>
        <v>1.54</v>
      </c>
      <c r="F1151" s="1">
        <f>IFERROR(__xludf.DUMMYFUNCTION("""COMPUTED_VALUE"""),163902.0)</f>
        <v>163902</v>
      </c>
    </row>
    <row r="1152">
      <c r="A1152" s="2">
        <f>IFERROR(__xludf.DUMMYFUNCTION("""COMPUTED_VALUE"""),40835.666666666664)</f>
        <v>40835.66667</v>
      </c>
      <c r="B1152" s="1">
        <f>IFERROR(__xludf.DUMMYFUNCTION("""COMPUTED_VALUE"""),1.54)</f>
        <v>1.54</v>
      </c>
      <c r="C1152" s="1">
        <f>IFERROR(__xludf.DUMMYFUNCTION("""COMPUTED_VALUE"""),1.55)</f>
        <v>1.55</v>
      </c>
      <c r="D1152" s="1">
        <f>IFERROR(__xludf.DUMMYFUNCTION("""COMPUTED_VALUE"""),1.47)</f>
        <v>1.47</v>
      </c>
      <c r="E1152" s="1">
        <f>IFERROR(__xludf.DUMMYFUNCTION("""COMPUTED_VALUE"""),1.48)</f>
        <v>1.48</v>
      </c>
      <c r="F1152" s="1">
        <f>IFERROR(__xludf.DUMMYFUNCTION("""COMPUTED_VALUE"""),133429.0)</f>
        <v>133429</v>
      </c>
    </row>
    <row r="1153">
      <c r="A1153" s="2">
        <f>IFERROR(__xludf.DUMMYFUNCTION("""COMPUTED_VALUE"""),40836.666666666664)</f>
        <v>40836.66667</v>
      </c>
      <c r="B1153" s="1">
        <f>IFERROR(__xludf.DUMMYFUNCTION("""COMPUTED_VALUE"""),1.48)</f>
        <v>1.48</v>
      </c>
      <c r="C1153" s="1">
        <f>IFERROR(__xludf.DUMMYFUNCTION("""COMPUTED_VALUE"""),1.48)</f>
        <v>1.48</v>
      </c>
      <c r="D1153" s="1">
        <f>IFERROR(__xludf.DUMMYFUNCTION("""COMPUTED_VALUE"""),1.39)</f>
        <v>1.39</v>
      </c>
      <c r="E1153" s="1">
        <f>IFERROR(__xludf.DUMMYFUNCTION("""COMPUTED_VALUE"""),1.44)</f>
        <v>1.44</v>
      </c>
      <c r="F1153" s="1">
        <f>IFERROR(__xludf.DUMMYFUNCTION("""COMPUTED_VALUE"""),218319.0)</f>
        <v>218319</v>
      </c>
    </row>
    <row r="1154">
      <c r="A1154" s="2">
        <f>IFERROR(__xludf.DUMMYFUNCTION("""COMPUTED_VALUE"""),40837.666666666664)</f>
        <v>40837.66667</v>
      </c>
      <c r="B1154" s="1">
        <f>IFERROR(__xludf.DUMMYFUNCTION("""COMPUTED_VALUE"""),1.47)</f>
        <v>1.47</v>
      </c>
      <c r="C1154" s="1">
        <f>IFERROR(__xludf.DUMMYFUNCTION("""COMPUTED_VALUE"""),1.48)</f>
        <v>1.48</v>
      </c>
      <c r="D1154" s="1">
        <f>IFERROR(__xludf.DUMMYFUNCTION("""COMPUTED_VALUE"""),1.44)</f>
        <v>1.44</v>
      </c>
      <c r="E1154" s="1">
        <f>IFERROR(__xludf.DUMMYFUNCTION("""COMPUTED_VALUE"""),1.46)</f>
        <v>1.46</v>
      </c>
      <c r="F1154" s="1">
        <f>IFERROR(__xludf.DUMMYFUNCTION("""COMPUTED_VALUE"""),92669.0)</f>
        <v>92669</v>
      </c>
    </row>
    <row r="1155">
      <c r="A1155" s="2">
        <f>IFERROR(__xludf.DUMMYFUNCTION("""COMPUTED_VALUE"""),40840.666666666664)</f>
        <v>40840.66667</v>
      </c>
      <c r="B1155" s="1">
        <f>IFERROR(__xludf.DUMMYFUNCTION("""COMPUTED_VALUE"""),1.47)</f>
        <v>1.47</v>
      </c>
      <c r="C1155" s="1">
        <f>IFERROR(__xludf.DUMMYFUNCTION("""COMPUTED_VALUE"""),1.55)</f>
        <v>1.55</v>
      </c>
      <c r="D1155" s="1">
        <f>IFERROR(__xludf.DUMMYFUNCTION("""COMPUTED_VALUE"""),1.47)</f>
        <v>1.47</v>
      </c>
      <c r="E1155" s="1">
        <f>IFERROR(__xludf.DUMMYFUNCTION("""COMPUTED_VALUE"""),1.52)</f>
        <v>1.52</v>
      </c>
      <c r="F1155" s="1">
        <f>IFERROR(__xludf.DUMMYFUNCTION("""COMPUTED_VALUE"""),172853.0)</f>
        <v>172853</v>
      </c>
    </row>
    <row r="1156">
      <c r="A1156" s="2">
        <f>IFERROR(__xludf.DUMMYFUNCTION("""COMPUTED_VALUE"""),40841.666666666664)</f>
        <v>40841.66667</v>
      </c>
      <c r="B1156" s="1">
        <f>IFERROR(__xludf.DUMMYFUNCTION("""COMPUTED_VALUE"""),1.51)</f>
        <v>1.51</v>
      </c>
      <c r="C1156" s="1">
        <f>IFERROR(__xludf.DUMMYFUNCTION("""COMPUTED_VALUE"""),1.55)</f>
        <v>1.55</v>
      </c>
      <c r="D1156" s="1">
        <f>IFERROR(__xludf.DUMMYFUNCTION("""COMPUTED_VALUE"""),1.44)</f>
        <v>1.44</v>
      </c>
      <c r="E1156" s="1">
        <f>IFERROR(__xludf.DUMMYFUNCTION("""COMPUTED_VALUE"""),1.44)</f>
        <v>1.44</v>
      </c>
      <c r="F1156" s="1">
        <f>IFERROR(__xludf.DUMMYFUNCTION("""COMPUTED_VALUE"""),307314.0)</f>
        <v>307314</v>
      </c>
    </row>
    <row r="1157">
      <c r="A1157" s="2">
        <f>IFERROR(__xludf.DUMMYFUNCTION("""COMPUTED_VALUE"""),40842.666666666664)</f>
        <v>40842.66667</v>
      </c>
      <c r="B1157" s="1">
        <f>IFERROR(__xludf.DUMMYFUNCTION("""COMPUTED_VALUE"""),1.5)</f>
        <v>1.5</v>
      </c>
      <c r="C1157" s="1">
        <f>IFERROR(__xludf.DUMMYFUNCTION("""COMPUTED_VALUE"""),1.67)</f>
        <v>1.67</v>
      </c>
      <c r="D1157" s="1">
        <f>IFERROR(__xludf.DUMMYFUNCTION("""COMPUTED_VALUE"""),1.5)</f>
        <v>1.5</v>
      </c>
      <c r="E1157" s="1">
        <f>IFERROR(__xludf.DUMMYFUNCTION("""COMPUTED_VALUE"""),1.59)</f>
        <v>1.59</v>
      </c>
      <c r="F1157" s="1">
        <f>IFERROR(__xludf.DUMMYFUNCTION("""COMPUTED_VALUE"""),563554.0)</f>
        <v>563554</v>
      </c>
    </row>
    <row r="1158">
      <c r="A1158" s="2">
        <f>IFERROR(__xludf.DUMMYFUNCTION("""COMPUTED_VALUE"""),40843.666666666664)</f>
        <v>40843.66667</v>
      </c>
      <c r="B1158" s="1">
        <f>IFERROR(__xludf.DUMMYFUNCTION("""COMPUTED_VALUE"""),1.65)</f>
        <v>1.65</v>
      </c>
      <c r="C1158" s="1">
        <f>IFERROR(__xludf.DUMMYFUNCTION("""COMPUTED_VALUE"""),1.68)</f>
        <v>1.68</v>
      </c>
      <c r="D1158" s="1">
        <f>IFERROR(__xludf.DUMMYFUNCTION("""COMPUTED_VALUE"""),1.59)</f>
        <v>1.59</v>
      </c>
      <c r="E1158" s="1">
        <f>IFERROR(__xludf.DUMMYFUNCTION("""COMPUTED_VALUE"""),1.65)</f>
        <v>1.65</v>
      </c>
      <c r="F1158" s="1">
        <f>IFERROR(__xludf.DUMMYFUNCTION("""COMPUTED_VALUE"""),237867.0)</f>
        <v>237867</v>
      </c>
    </row>
    <row r="1159">
      <c r="A1159" s="2">
        <f>IFERROR(__xludf.DUMMYFUNCTION("""COMPUTED_VALUE"""),40844.666666666664)</f>
        <v>40844.66667</v>
      </c>
      <c r="B1159" s="1">
        <f>IFERROR(__xludf.DUMMYFUNCTION("""COMPUTED_VALUE"""),1.64)</f>
        <v>1.64</v>
      </c>
      <c r="C1159" s="1">
        <f>IFERROR(__xludf.DUMMYFUNCTION("""COMPUTED_VALUE"""),1.67)</f>
        <v>1.67</v>
      </c>
      <c r="D1159" s="1">
        <f>IFERROR(__xludf.DUMMYFUNCTION("""COMPUTED_VALUE"""),1.61)</f>
        <v>1.61</v>
      </c>
      <c r="E1159" s="1">
        <f>IFERROR(__xludf.DUMMYFUNCTION("""COMPUTED_VALUE"""),1.63)</f>
        <v>1.63</v>
      </c>
      <c r="F1159" s="1">
        <f>IFERROR(__xludf.DUMMYFUNCTION("""COMPUTED_VALUE"""),171456.0)</f>
        <v>171456</v>
      </c>
    </row>
    <row r="1160">
      <c r="A1160" s="2">
        <f>IFERROR(__xludf.DUMMYFUNCTION("""COMPUTED_VALUE"""),40847.666666666664)</f>
        <v>40847.66667</v>
      </c>
      <c r="B1160" s="1">
        <f>IFERROR(__xludf.DUMMYFUNCTION("""COMPUTED_VALUE"""),1.6)</f>
        <v>1.6</v>
      </c>
      <c r="C1160" s="1">
        <f>IFERROR(__xludf.DUMMYFUNCTION("""COMPUTED_VALUE"""),1.63)</f>
        <v>1.63</v>
      </c>
      <c r="D1160" s="1">
        <f>IFERROR(__xludf.DUMMYFUNCTION("""COMPUTED_VALUE"""),1.59)</f>
        <v>1.59</v>
      </c>
      <c r="E1160" s="1">
        <f>IFERROR(__xludf.DUMMYFUNCTION("""COMPUTED_VALUE"""),1.6)</f>
        <v>1.6</v>
      </c>
      <c r="F1160" s="1">
        <f>IFERROR(__xludf.DUMMYFUNCTION("""COMPUTED_VALUE"""),130653.0)</f>
        <v>130653</v>
      </c>
    </row>
    <row r="1161">
      <c r="A1161" s="2">
        <f>IFERROR(__xludf.DUMMYFUNCTION("""COMPUTED_VALUE"""),40848.666666666664)</f>
        <v>40848.66667</v>
      </c>
      <c r="B1161" s="1">
        <f>IFERROR(__xludf.DUMMYFUNCTION("""COMPUTED_VALUE"""),1.53)</f>
        <v>1.53</v>
      </c>
      <c r="C1161" s="1">
        <f>IFERROR(__xludf.DUMMYFUNCTION("""COMPUTED_VALUE"""),1.57)</f>
        <v>1.57</v>
      </c>
      <c r="D1161" s="1">
        <f>IFERROR(__xludf.DUMMYFUNCTION("""COMPUTED_VALUE"""),1.52)</f>
        <v>1.52</v>
      </c>
      <c r="E1161" s="1">
        <f>IFERROR(__xludf.DUMMYFUNCTION("""COMPUTED_VALUE"""),1.54)</f>
        <v>1.54</v>
      </c>
      <c r="F1161" s="1">
        <f>IFERROR(__xludf.DUMMYFUNCTION("""COMPUTED_VALUE"""),176618.0)</f>
        <v>176618</v>
      </c>
    </row>
    <row r="1162">
      <c r="A1162" s="2">
        <f>IFERROR(__xludf.DUMMYFUNCTION("""COMPUTED_VALUE"""),40849.666666666664)</f>
        <v>40849.66667</v>
      </c>
      <c r="B1162" s="1">
        <f>IFERROR(__xludf.DUMMYFUNCTION("""COMPUTED_VALUE"""),1.57)</f>
        <v>1.57</v>
      </c>
      <c r="C1162" s="1">
        <f>IFERROR(__xludf.DUMMYFUNCTION("""COMPUTED_VALUE"""),1.57)</f>
        <v>1.57</v>
      </c>
      <c r="D1162" s="1">
        <f>IFERROR(__xludf.DUMMYFUNCTION("""COMPUTED_VALUE"""),1.53)</f>
        <v>1.53</v>
      </c>
      <c r="E1162" s="1">
        <f>IFERROR(__xludf.DUMMYFUNCTION("""COMPUTED_VALUE"""),1.56)</f>
        <v>1.56</v>
      </c>
      <c r="F1162" s="1">
        <f>IFERROR(__xludf.DUMMYFUNCTION("""COMPUTED_VALUE"""),109053.0)</f>
        <v>109053</v>
      </c>
    </row>
    <row r="1163">
      <c r="A1163" s="2">
        <f>IFERROR(__xludf.DUMMYFUNCTION("""COMPUTED_VALUE"""),40850.666666666664)</f>
        <v>40850.66667</v>
      </c>
      <c r="B1163" s="1">
        <f>IFERROR(__xludf.DUMMYFUNCTION("""COMPUTED_VALUE"""),1.58)</f>
        <v>1.58</v>
      </c>
      <c r="C1163" s="1">
        <f>IFERROR(__xludf.DUMMYFUNCTION("""COMPUTED_VALUE"""),1.61)</f>
        <v>1.61</v>
      </c>
      <c r="D1163" s="1">
        <f>IFERROR(__xludf.DUMMYFUNCTION("""COMPUTED_VALUE"""),1.54)</f>
        <v>1.54</v>
      </c>
      <c r="E1163" s="1">
        <f>IFERROR(__xludf.DUMMYFUNCTION("""COMPUTED_VALUE"""),1.61)</f>
        <v>1.61</v>
      </c>
      <c r="F1163" s="1">
        <f>IFERROR(__xludf.DUMMYFUNCTION("""COMPUTED_VALUE"""),147621.0)</f>
        <v>147621</v>
      </c>
    </row>
    <row r="1164">
      <c r="A1164" s="2">
        <f>IFERROR(__xludf.DUMMYFUNCTION("""COMPUTED_VALUE"""),40851.666666666664)</f>
        <v>40851.66667</v>
      </c>
      <c r="B1164" s="1">
        <f>IFERROR(__xludf.DUMMYFUNCTION("""COMPUTED_VALUE"""),1.59)</f>
        <v>1.59</v>
      </c>
      <c r="C1164" s="1">
        <f>IFERROR(__xludf.DUMMYFUNCTION("""COMPUTED_VALUE"""),1.61)</f>
        <v>1.61</v>
      </c>
      <c r="D1164" s="1">
        <f>IFERROR(__xludf.DUMMYFUNCTION("""COMPUTED_VALUE"""),1.57)</f>
        <v>1.57</v>
      </c>
      <c r="E1164" s="1">
        <f>IFERROR(__xludf.DUMMYFUNCTION("""COMPUTED_VALUE"""),1.59)</f>
        <v>1.59</v>
      </c>
      <c r="F1164" s="1">
        <f>IFERROR(__xludf.DUMMYFUNCTION("""COMPUTED_VALUE"""),66514.0)</f>
        <v>66514</v>
      </c>
    </row>
    <row r="1165">
      <c r="A1165" s="2">
        <f>IFERROR(__xludf.DUMMYFUNCTION("""COMPUTED_VALUE"""),40854.666666666664)</f>
        <v>40854.66667</v>
      </c>
      <c r="B1165" s="1">
        <f>IFERROR(__xludf.DUMMYFUNCTION("""COMPUTED_VALUE"""),1.59)</f>
        <v>1.59</v>
      </c>
      <c r="C1165" s="1">
        <f>IFERROR(__xludf.DUMMYFUNCTION("""COMPUTED_VALUE"""),1.59)</f>
        <v>1.59</v>
      </c>
      <c r="D1165" s="1">
        <f>IFERROR(__xludf.DUMMYFUNCTION("""COMPUTED_VALUE"""),1.53)</f>
        <v>1.53</v>
      </c>
      <c r="E1165" s="1">
        <f>IFERROR(__xludf.DUMMYFUNCTION("""COMPUTED_VALUE"""),1.57)</f>
        <v>1.57</v>
      </c>
      <c r="F1165" s="1">
        <f>IFERROR(__xludf.DUMMYFUNCTION("""COMPUTED_VALUE"""),49997.0)</f>
        <v>49997</v>
      </c>
    </row>
    <row r="1166">
      <c r="A1166" s="2">
        <f>IFERROR(__xludf.DUMMYFUNCTION("""COMPUTED_VALUE"""),40855.666666666664)</f>
        <v>40855.66667</v>
      </c>
      <c r="B1166" s="1">
        <f>IFERROR(__xludf.DUMMYFUNCTION("""COMPUTED_VALUE"""),1.59)</f>
        <v>1.59</v>
      </c>
      <c r="C1166" s="1">
        <f>IFERROR(__xludf.DUMMYFUNCTION("""COMPUTED_VALUE"""),1.6)</f>
        <v>1.6</v>
      </c>
      <c r="D1166" s="1">
        <f>IFERROR(__xludf.DUMMYFUNCTION("""COMPUTED_VALUE"""),1.54)</f>
        <v>1.54</v>
      </c>
      <c r="E1166" s="1">
        <f>IFERROR(__xludf.DUMMYFUNCTION("""COMPUTED_VALUE"""),1.6)</f>
        <v>1.6</v>
      </c>
      <c r="F1166" s="1">
        <f>IFERROR(__xludf.DUMMYFUNCTION("""COMPUTED_VALUE"""),112856.0)</f>
        <v>112856</v>
      </c>
    </row>
    <row r="1167">
      <c r="A1167" s="2">
        <f>IFERROR(__xludf.DUMMYFUNCTION("""COMPUTED_VALUE"""),40856.666666666664)</f>
        <v>40856.66667</v>
      </c>
      <c r="B1167" s="1">
        <f>IFERROR(__xludf.DUMMYFUNCTION("""COMPUTED_VALUE"""),1.55)</f>
        <v>1.55</v>
      </c>
      <c r="C1167" s="1">
        <f>IFERROR(__xludf.DUMMYFUNCTION("""COMPUTED_VALUE"""),1.56)</f>
        <v>1.56</v>
      </c>
      <c r="D1167" s="1">
        <f>IFERROR(__xludf.DUMMYFUNCTION("""COMPUTED_VALUE"""),1.5)</f>
        <v>1.5</v>
      </c>
      <c r="E1167" s="1">
        <f>IFERROR(__xludf.DUMMYFUNCTION("""COMPUTED_VALUE"""),1.5)</f>
        <v>1.5</v>
      </c>
      <c r="F1167" s="1">
        <f>IFERROR(__xludf.DUMMYFUNCTION("""COMPUTED_VALUE"""),167577.0)</f>
        <v>167577</v>
      </c>
    </row>
    <row r="1168">
      <c r="A1168" s="2">
        <f>IFERROR(__xludf.DUMMYFUNCTION("""COMPUTED_VALUE"""),40857.666666666664)</f>
        <v>40857.66667</v>
      </c>
      <c r="B1168" s="1">
        <f>IFERROR(__xludf.DUMMYFUNCTION("""COMPUTED_VALUE"""),1.53)</f>
        <v>1.53</v>
      </c>
      <c r="C1168" s="1">
        <f>IFERROR(__xludf.DUMMYFUNCTION("""COMPUTED_VALUE"""),1.54)</f>
        <v>1.54</v>
      </c>
      <c r="D1168" s="1">
        <f>IFERROR(__xludf.DUMMYFUNCTION("""COMPUTED_VALUE"""),1.5)</f>
        <v>1.5</v>
      </c>
      <c r="E1168" s="1">
        <f>IFERROR(__xludf.DUMMYFUNCTION("""COMPUTED_VALUE"""),1.52)</f>
        <v>1.52</v>
      </c>
      <c r="F1168" s="1">
        <f>IFERROR(__xludf.DUMMYFUNCTION("""COMPUTED_VALUE"""),106449.0)</f>
        <v>106449</v>
      </c>
    </row>
    <row r="1169">
      <c r="A1169" s="2">
        <f>IFERROR(__xludf.DUMMYFUNCTION("""COMPUTED_VALUE"""),40858.666666666664)</f>
        <v>40858.66667</v>
      </c>
      <c r="B1169" s="1">
        <f>IFERROR(__xludf.DUMMYFUNCTION("""COMPUTED_VALUE"""),1.54)</f>
        <v>1.54</v>
      </c>
      <c r="C1169" s="1">
        <f>IFERROR(__xludf.DUMMYFUNCTION("""COMPUTED_VALUE"""),1.57)</f>
        <v>1.57</v>
      </c>
      <c r="D1169" s="1">
        <f>IFERROR(__xludf.DUMMYFUNCTION("""COMPUTED_VALUE"""),1.54)</f>
        <v>1.54</v>
      </c>
      <c r="E1169" s="1">
        <f>IFERROR(__xludf.DUMMYFUNCTION("""COMPUTED_VALUE"""),1.56)</f>
        <v>1.56</v>
      </c>
      <c r="F1169" s="1">
        <f>IFERROR(__xludf.DUMMYFUNCTION("""COMPUTED_VALUE"""),123414.0)</f>
        <v>123414</v>
      </c>
    </row>
    <row r="1170">
      <c r="A1170" s="2">
        <f>IFERROR(__xludf.DUMMYFUNCTION("""COMPUTED_VALUE"""),40861.666666666664)</f>
        <v>40861.66667</v>
      </c>
      <c r="B1170" s="1">
        <f>IFERROR(__xludf.DUMMYFUNCTION("""COMPUTED_VALUE"""),1.56)</f>
        <v>1.56</v>
      </c>
      <c r="C1170" s="1">
        <f>IFERROR(__xludf.DUMMYFUNCTION("""COMPUTED_VALUE"""),1.56)</f>
        <v>1.56</v>
      </c>
      <c r="D1170" s="1">
        <f>IFERROR(__xludf.DUMMYFUNCTION("""COMPUTED_VALUE"""),1.52)</f>
        <v>1.52</v>
      </c>
      <c r="E1170" s="1">
        <f>IFERROR(__xludf.DUMMYFUNCTION("""COMPUTED_VALUE"""),1.53)</f>
        <v>1.53</v>
      </c>
      <c r="F1170" s="1">
        <f>IFERROR(__xludf.DUMMYFUNCTION("""COMPUTED_VALUE"""),167443.0)</f>
        <v>167443</v>
      </c>
    </row>
    <row r="1171">
      <c r="A1171" s="2">
        <f>IFERROR(__xludf.DUMMYFUNCTION("""COMPUTED_VALUE"""),40862.666666666664)</f>
        <v>40862.66667</v>
      </c>
      <c r="B1171" s="1">
        <f>IFERROR(__xludf.DUMMYFUNCTION("""COMPUTED_VALUE"""),1.52)</f>
        <v>1.52</v>
      </c>
      <c r="C1171" s="1">
        <f>IFERROR(__xludf.DUMMYFUNCTION("""COMPUTED_VALUE"""),1.59)</f>
        <v>1.59</v>
      </c>
      <c r="D1171" s="1">
        <f>IFERROR(__xludf.DUMMYFUNCTION("""COMPUTED_VALUE"""),1.51)</f>
        <v>1.51</v>
      </c>
      <c r="E1171" s="1">
        <f>IFERROR(__xludf.DUMMYFUNCTION("""COMPUTED_VALUE"""),1.57)</f>
        <v>1.57</v>
      </c>
      <c r="F1171" s="1">
        <f>IFERROR(__xludf.DUMMYFUNCTION("""COMPUTED_VALUE"""),155723.0)</f>
        <v>155723</v>
      </c>
    </row>
    <row r="1172">
      <c r="A1172" s="2">
        <f>IFERROR(__xludf.DUMMYFUNCTION("""COMPUTED_VALUE"""),40863.666666666664)</f>
        <v>40863.66667</v>
      </c>
      <c r="B1172" s="1">
        <f>IFERROR(__xludf.DUMMYFUNCTION("""COMPUTED_VALUE"""),1.55)</f>
        <v>1.55</v>
      </c>
      <c r="C1172" s="1">
        <f>IFERROR(__xludf.DUMMYFUNCTION("""COMPUTED_VALUE"""),1.57)</f>
        <v>1.57</v>
      </c>
      <c r="D1172" s="1">
        <f>IFERROR(__xludf.DUMMYFUNCTION("""COMPUTED_VALUE"""),1.52)</f>
        <v>1.52</v>
      </c>
      <c r="E1172" s="1">
        <f>IFERROR(__xludf.DUMMYFUNCTION("""COMPUTED_VALUE"""),1.52)</f>
        <v>1.52</v>
      </c>
      <c r="F1172" s="1">
        <f>IFERROR(__xludf.DUMMYFUNCTION("""COMPUTED_VALUE"""),97223.0)</f>
        <v>97223</v>
      </c>
    </row>
    <row r="1173">
      <c r="A1173" s="2">
        <f>IFERROR(__xludf.DUMMYFUNCTION("""COMPUTED_VALUE"""),40864.666666666664)</f>
        <v>40864.66667</v>
      </c>
      <c r="B1173" s="1">
        <f>IFERROR(__xludf.DUMMYFUNCTION("""COMPUTED_VALUE"""),1.51)</f>
        <v>1.51</v>
      </c>
      <c r="C1173" s="1">
        <f>IFERROR(__xludf.DUMMYFUNCTION("""COMPUTED_VALUE"""),1.51)</f>
        <v>1.51</v>
      </c>
      <c r="D1173" s="1">
        <f>IFERROR(__xludf.DUMMYFUNCTION("""COMPUTED_VALUE"""),1.45)</f>
        <v>1.45</v>
      </c>
      <c r="E1173" s="1">
        <f>IFERROR(__xludf.DUMMYFUNCTION("""COMPUTED_VALUE"""),1.48)</f>
        <v>1.48</v>
      </c>
      <c r="F1173" s="1">
        <f>IFERROR(__xludf.DUMMYFUNCTION("""COMPUTED_VALUE"""),136250.0)</f>
        <v>136250</v>
      </c>
    </row>
    <row r="1174">
      <c r="A1174" s="2">
        <f>IFERROR(__xludf.DUMMYFUNCTION("""COMPUTED_VALUE"""),40865.666666666664)</f>
        <v>40865.66667</v>
      </c>
      <c r="B1174" s="1">
        <f>IFERROR(__xludf.DUMMYFUNCTION("""COMPUTED_VALUE"""),1.49)</f>
        <v>1.49</v>
      </c>
      <c r="C1174" s="1">
        <f>IFERROR(__xludf.DUMMYFUNCTION("""COMPUTED_VALUE"""),1.5)</f>
        <v>1.5</v>
      </c>
      <c r="D1174" s="1">
        <f>IFERROR(__xludf.DUMMYFUNCTION("""COMPUTED_VALUE"""),1.43)</f>
        <v>1.43</v>
      </c>
      <c r="E1174" s="1">
        <f>IFERROR(__xludf.DUMMYFUNCTION("""COMPUTED_VALUE"""),1.48)</f>
        <v>1.48</v>
      </c>
      <c r="F1174" s="1">
        <f>IFERROR(__xludf.DUMMYFUNCTION("""COMPUTED_VALUE"""),109807.0)</f>
        <v>109807</v>
      </c>
    </row>
    <row r="1175">
      <c r="A1175" s="2">
        <f>IFERROR(__xludf.DUMMYFUNCTION("""COMPUTED_VALUE"""),40868.666666666664)</f>
        <v>40868.66667</v>
      </c>
      <c r="B1175" s="1">
        <f>IFERROR(__xludf.DUMMYFUNCTION("""COMPUTED_VALUE"""),1.45)</f>
        <v>1.45</v>
      </c>
      <c r="C1175" s="1">
        <f>IFERROR(__xludf.DUMMYFUNCTION("""COMPUTED_VALUE"""),1.48)</f>
        <v>1.48</v>
      </c>
      <c r="D1175" s="1">
        <f>IFERROR(__xludf.DUMMYFUNCTION("""COMPUTED_VALUE"""),1.45)</f>
        <v>1.45</v>
      </c>
      <c r="E1175" s="1">
        <f>IFERROR(__xludf.DUMMYFUNCTION("""COMPUTED_VALUE"""),1.47)</f>
        <v>1.47</v>
      </c>
      <c r="F1175" s="1">
        <f>IFERROR(__xludf.DUMMYFUNCTION("""COMPUTED_VALUE"""),127555.0)</f>
        <v>127555</v>
      </c>
    </row>
    <row r="1176">
      <c r="A1176" s="2">
        <f>IFERROR(__xludf.DUMMYFUNCTION("""COMPUTED_VALUE"""),40869.666666666664)</f>
        <v>40869.66667</v>
      </c>
      <c r="B1176" s="1">
        <f>IFERROR(__xludf.DUMMYFUNCTION("""COMPUTED_VALUE"""),1.46)</f>
        <v>1.46</v>
      </c>
      <c r="C1176" s="1">
        <f>IFERROR(__xludf.DUMMYFUNCTION("""COMPUTED_VALUE"""),1.47)</f>
        <v>1.47</v>
      </c>
      <c r="D1176" s="1">
        <f>IFERROR(__xludf.DUMMYFUNCTION("""COMPUTED_VALUE"""),1.42)</f>
        <v>1.42</v>
      </c>
      <c r="E1176" s="1">
        <f>IFERROR(__xludf.DUMMYFUNCTION("""COMPUTED_VALUE"""),1.42)</f>
        <v>1.42</v>
      </c>
      <c r="F1176" s="1">
        <f>IFERROR(__xludf.DUMMYFUNCTION("""COMPUTED_VALUE"""),109258.0)</f>
        <v>109258</v>
      </c>
    </row>
    <row r="1177">
      <c r="A1177" s="2">
        <f>IFERROR(__xludf.DUMMYFUNCTION("""COMPUTED_VALUE"""),40870.666666666664)</f>
        <v>40870.66667</v>
      </c>
      <c r="B1177" s="1">
        <f>IFERROR(__xludf.DUMMYFUNCTION("""COMPUTED_VALUE"""),1.41)</f>
        <v>1.41</v>
      </c>
      <c r="C1177" s="1">
        <f>IFERROR(__xludf.DUMMYFUNCTION("""COMPUTED_VALUE"""),1.41)</f>
        <v>1.41</v>
      </c>
      <c r="D1177" s="1">
        <f>IFERROR(__xludf.DUMMYFUNCTION("""COMPUTED_VALUE"""),1.31)</f>
        <v>1.31</v>
      </c>
      <c r="E1177" s="1">
        <f>IFERROR(__xludf.DUMMYFUNCTION("""COMPUTED_VALUE"""),1.31)</f>
        <v>1.31</v>
      </c>
      <c r="F1177" s="1">
        <f>IFERROR(__xludf.DUMMYFUNCTION("""COMPUTED_VALUE"""),198500.0)</f>
        <v>198500</v>
      </c>
    </row>
    <row r="1178">
      <c r="A1178" s="2">
        <f>IFERROR(__xludf.DUMMYFUNCTION("""COMPUTED_VALUE"""),40872.666666666664)</f>
        <v>40872.66667</v>
      </c>
      <c r="B1178" s="1">
        <f>IFERROR(__xludf.DUMMYFUNCTION("""COMPUTED_VALUE"""),1.31)</f>
        <v>1.31</v>
      </c>
      <c r="C1178" s="1">
        <f>IFERROR(__xludf.DUMMYFUNCTION("""COMPUTED_VALUE"""),1.33)</f>
        <v>1.33</v>
      </c>
      <c r="D1178" s="1">
        <f>IFERROR(__xludf.DUMMYFUNCTION("""COMPUTED_VALUE"""),1.29)</f>
        <v>1.29</v>
      </c>
      <c r="E1178" s="1">
        <f>IFERROR(__xludf.DUMMYFUNCTION("""COMPUTED_VALUE"""),1.29)</f>
        <v>1.29</v>
      </c>
      <c r="F1178" s="1">
        <f>IFERROR(__xludf.DUMMYFUNCTION("""COMPUTED_VALUE"""),80038.0)</f>
        <v>80038</v>
      </c>
    </row>
    <row r="1179">
      <c r="A1179" s="2">
        <f>IFERROR(__xludf.DUMMYFUNCTION("""COMPUTED_VALUE"""),40875.666666666664)</f>
        <v>40875.66667</v>
      </c>
      <c r="B1179" s="1">
        <f>IFERROR(__xludf.DUMMYFUNCTION("""COMPUTED_VALUE"""),1.33)</f>
        <v>1.33</v>
      </c>
      <c r="C1179" s="1">
        <f>IFERROR(__xludf.DUMMYFUNCTION("""COMPUTED_VALUE"""),1.35)</f>
        <v>1.35</v>
      </c>
      <c r="D1179" s="1">
        <f>IFERROR(__xludf.DUMMYFUNCTION("""COMPUTED_VALUE"""),1.31)</f>
        <v>1.31</v>
      </c>
      <c r="E1179" s="1">
        <f>IFERROR(__xludf.DUMMYFUNCTION("""COMPUTED_VALUE"""),1.32)</f>
        <v>1.32</v>
      </c>
      <c r="F1179" s="1">
        <f>IFERROR(__xludf.DUMMYFUNCTION("""COMPUTED_VALUE"""),211285.0)</f>
        <v>211285</v>
      </c>
    </row>
    <row r="1180">
      <c r="A1180" s="2">
        <f>IFERROR(__xludf.DUMMYFUNCTION("""COMPUTED_VALUE"""),40876.666666666664)</f>
        <v>40876.66667</v>
      </c>
      <c r="B1180" s="1">
        <f>IFERROR(__xludf.DUMMYFUNCTION("""COMPUTED_VALUE"""),1.33)</f>
        <v>1.33</v>
      </c>
      <c r="C1180" s="1">
        <f>IFERROR(__xludf.DUMMYFUNCTION("""COMPUTED_VALUE"""),1.34)</f>
        <v>1.34</v>
      </c>
      <c r="D1180" s="1">
        <f>IFERROR(__xludf.DUMMYFUNCTION("""COMPUTED_VALUE"""),1.3)</f>
        <v>1.3</v>
      </c>
      <c r="E1180" s="1">
        <f>IFERROR(__xludf.DUMMYFUNCTION("""COMPUTED_VALUE"""),1.32)</f>
        <v>1.32</v>
      </c>
      <c r="F1180" s="1">
        <f>IFERROR(__xludf.DUMMYFUNCTION("""COMPUTED_VALUE"""),309309.0)</f>
        <v>309309</v>
      </c>
    </row>
    <row r="1181">
      <c r="A1181" s="2">
        <f>IFERROR(__xludf.DUMMYFUNCTION("""COMPUTED_VALUE"""),40877.666666666664)</f>
        <v>40877.66667</v>
      </c>
      <c r="B1181" s="1">
        <f>IFERROR(__xludf.DUMMYFUNCTION("""COMPUTED_VALUE"""),1.38)</f>
        <v>1.38</v>
      </c>
      <c r="C1181" s="1">
        <f>IFERROR(__xludf.DUMMYFUNCTION("""COMPUTED_VALUE"""),1.38)</f>
        <v>1.38</v>
      </c>
      <c r="D1181" s="1">
        <f>IFERROR(__xludf.DUMMYFUNCTION("""COMPUTED_VALUE"""),1.35)</f>
        <v>1.35</v>
      </c>
      <c r="E1181" s="1">
        <f>IFERROR(__xludf.DUMMYFUNCTION("""COMPUTED_VALUE"""),1.36)</f>
        <v>1.36</v>
      </c>
      <c r="F1181" s="1">
        <f>IFERROR(__xludf.DUMMYFUNCTION("""COMPUTED_VALUE"""),243723.0)</f>
        <v>243723</v>
      </c>
    </row>
    <row r="1182">
      <c r="A1182" s="2">
        <f>IFERROR(__xludf.DUMMYFUNCTION("""COMPUTED_VALUE"""),40878.666666666664)</f>
        <v>40878.66667</v>
      </c>
      <c r="B1182" s="1">
        <f>IFERROR(__xludf.DUMMYFUNCTION("""COMPUTED_VALUE"""),1.36)</f>
        <v>1.36</v>
      </c>
      <c r="C1182" s="1">
        <f>IFERROR(__xludf.DUMMYFUNCTION("""COMPUTED_VALUE"""),1.39)</f>
        <v>1.39</v>
      </c>
      <c r="D1182" s="1">
        <f>IFERROR(__xludf.DUMMYFUNCTION("""COMPUTED_VALUE"""),1.35)</f>
        <v>1.35</v>
      </c>
      <c r="E1182" s="1">
        <f>IFERROR(__xludf.DUMMYFUNCTION("""COMPUTED_VALUE"""),1.36)</f>
        <v>1.36</v>
      </c>
      <c r="F1182" s="1">
        <f>IFERROR(__xludf.DUMMYFUNCTION("""COMPUTED_VALUE"""),104220.0)</f>
        <v>104220</v>
      </c>
    </row>
    <row r="1183">
      <c r="A1183" s="2">
        <f>IFERROR(__xludf.DUMMYFUNCTION("""COMPUTED_VALUE"""),40879.666666666664)</f>
        <v>40879.66667</v>
      </c>
      <c r="B1183" s="1">
        <f>IFERROR(__xludf.DUMMYFUNCTION("""COMPUTED_VALUE"""),1.38)</f>
        <v>1.38</v>
      </c>
      <c r="C1183" s="1">
        <f>IFERROR(__xludf.DUMMYFUNCTION("""COMPUTED_VALUE"""),1.4)</f>
        <v>1.4</v>
      </c>
      <c r="D1183" s="1">
        <f>IFERROR(__xludf.DUMMYFUNCTION("""COMPUTED_VALUE"""),1.36)</f>
        <v>1.36</v>
      </c>
      <c r="E1183" s="1">
        <f>IFERROR(__xludf.DUMMYFUNCTION("""COMPUTED_VALUE"""),1.37)</f>
        <v>1.37</v>
      </c>
      <c r="F1183" s="1">
        <f>IFERROR(__xludf.DUMMYFUNCTION("""COMPUTED_VALUE"""),145684.0)</f>
        <v>145684</v>
      </c>
    </row>
    <row r="1184">
      <c r="A1184" s="2">
        <f>IFERROR(__xludf.DUMMYFUNCTION("""COMPUTED_VALUE"""),40882.666666666664)</f>
        <v>40882.66667</v>
      </c>
      <c r="B1184" s="1">
        <f>IFERROR(__xludf.DUMMYFUNCTION("""COMPUTED_VALUE"""),1.41)</f>
        <v>1.41</v>
      </c>
      <c r="C1184" s="1">
        <f>IFERROR(__xludf.DUMMYFUNCTION("""COMPUTED_VALUE"""),1.43)</f>
        <v>1.43</v>
      </c>
      <c r="D1184" s="1">
        <f>IFERROR(__xludf.DUMMYFUNCTION("""COMPUTED_VALUE"""),1.39)</f>
        <v>1.39</v>
      </c>
      <c r="E1184" s="1">
        <f>IFERROR(__xludf.DUMMYFUNCTION("""COMPUTED_VALUE"""),1.42)</f>
        <v>1.42</v>
      </c>
      <c r="F1184" s="1">
        <f>IFERROR(__xludf.DUMMYFUNCTION("""COMPUTED_VALUE"""),135640.0)</f>
        <v>135640</v>
      </c>
    </row>
    <row r="1185">
      <c r="A1185" s="2">
        <f>IFERROR(__xludf.DUMMYFUNCTION("""COMPUTED_VALUE"""),40883.666666666664)</f>
        <v>40883.66667</v>
      </c>
      <c r="B1185" s="1">
        <f>IFERROR(__xludf.DUMMYFUNCTION("""COMPUTED_VALUE"""),1.43)</f>
        <v>1.43</v>
      </c>
      <c r="C1185" s="1">
        <f>IFERROR(__xludf.DUMMYFUNCTION("""COMPUTED_VALUE"""),1.43)</f>
        <v>1.43</v>
      </c>
      <c r="D1185" s="1">
        <f>IFERROR(__xludf.DUMMYFUNCTION("""COMPUTED_VALUE"""),1.4)</f>
        <v>1.4</v>
      </c>
      <c r="E1185" s="1">
        <f>IFERROR(__xludf.DUMMYFUNCTION("""COMPUTED_VALUE"""),1.42)</f>
        <v>1.42</v>
      </c>
      <c r="F1185" s="1">
        <f>IFERROR(__xludf.DUMMYFUNCTION("""COMPUTED_VALUE"""),95351.0)</f>
        <v>95351</v>
      </c>
    </row>
    <row r="1186">
      <c r="A1186" s="2">
        <f>IFERROR(__xludf.DUMMYFUNCTION("""COMPUTED_VALUE"""),40884.666666666664)</f>
        <v>40884.66667</v>
      </c>
      <c r="B1186" s="1">
        <f>IFERROR(__xludf.DUMMYFUNCTION("""COMPUTED_VALUE"""),1.41)</f>
        <v>1.41</v>
      </c>
      <c r="C1186" s="1">
        <f>IFERROR(__xludf.DUMMYFUNCTION("""COMPUTED_VALUE"""),1.46)</f>
        <v>1.46</v>
      </c>
      <c r="D1186" s="1">
        <f>IFERROR(__xludf.DUMMYFUNCTION("""COMPUTED_VALUE"""),1.39)</f>
        <v>1.39</v>
      </c>
      <c r="E1186" s="1">
        <f>IFERROR(__xludf.DUMMYFUNCTION("""COMPUTED_VALUE"""),1.45)</f>
        <v>1.45</v>
      </c>
      <c r="F1186" s="1">
        <f>IFERROR(__xludf.DUMMYFUNCTION("""COMPUTED_VALUE"""),187279.0)</f>
        <v>187279</v>
      </c>
    </row>
    <row r="1187">
      <c r="A1187" s="2">
        <f>IFERROR(__xludf.DUMMYFUNCTION("""COMPUTED_VALUE"""),40885.666666666664)</f>
        <v>40885.66667</v>
      </c>
      <c r="B1187" s="1">
        <f>IFERROR(__xludf.DUMMYFUNCTION("""COMPUTED_VALUE"""),1.44)</f>
        <v>1.44</v>
      </c>
      <c r="C1187" s="1">
        <f>IFERROR(__xludf.DUMMYFUNCTION("""COMPUTED_VALUE"""),1.45)</f>
        <v>1.45</v>
      </c>
      <c r="D1187" s="1">
        <f>IFERROR(__xludf.DUMMYFUNCTION("""COMPUTED_VALUE"""),1.39)</f>
        <v>1.39</v>
      </c>
      <c r="E1187" s="1">
        <f>IFERROR(__xludf.DUMMYFUNCTION("""COMPUTED_VALUE"""),1.4)</f>
        <v>1.4</v>
      </c>
      <c r="F1187" s="1">
        <f>IFERROR(__xludf.DUMMYFUNCTION("""COMPUTED_VALUE"""),100675.0)</f>
        <v>100675</v>
      </c>
    </row>
    <row r="1188">
      <c r="A1188" s="2">
        <f>IFERROR(__xludf.DUMMYFUNCTION("""COMPUTED_VALUE"""),40886.666666666664)</f>
        <v>40886.66667</v>
      </c>
      <c r="B1188" s="1">
        <f>IFERROR(__xludf.DUMMYFUNCTION("""COMPUTED_VALUE"""),1.4)</f>
        <v>1.4</v>
      </c>
      <c r="C1188" s="1">
        <f>IFERROR(__xludf.DUMMYFUNCTION("""COMPUTED_VALUE"""),1.52)</f>
        <v>1.52</v>
      </c>
      <c r="D1188" s="1">
        <f>IFERROR(__xludf.DUMMYFUNCTION("""COMPUTED_VALUE"""),1.38)</f>
        <v>1.38</v>
      </c>
      <c r="E1188" s="1">
        <f>IFERROR(__xludf.DUMMYFUNCTION("""COMPUTED_VALUE"""),1.51)</f>
        <v>1.51</v>
      </c>
      <c r="F1188" s="1">
        <f>IFERROR(__xludf.DUMMYFUNCTION("""COMPUTED_VALUE"""),175119.0)</f>
        <v>175119</v>
      </c>
    </row>
    <row r="1189">
      <c r="A1189" s="2">
        <f>IFERROR(__xludf.DUMMYFUNCTION("""COMPUTED_VALUE"""),40889.666666666664)</f>
        <v>40889.66667</v>
      </c>
      <c r="B1189" s="1">
        <f>IFERROR(__xludf.DUMMYFUNCTION("""COMPUTED_VALUE"""),1.48)</f>
        <v>1.48</v>
      </c>
      <c r="C1189" s="1">
        <f>IFERROR(__xludf.DUMMYFUNCTION("""COMPUTED_VALUE"""),1.53)</f>
        <v>1.53</v>
      </c>
      <c r="D1189" s="1">
        <f>IFERROR(__xludf.DUMMYFUNCTION("""COMPUTED_VALUE"""),1.46)</f>
        <v>1.46</v>
      </c>
      <c r="E1189" s="1">
        <f>IFERROR(__xludf.DUMMYFUNCTION("""COMPUTED_VALUE"""),1.52)</f>
        <v>1.52</v>
      </c>
      <c r="F1189" s="1">
        <f>IFERROR(__xludf.DUMMYFUNCTION("""COMPUTED_VALUE"""),139920.0)</f>
        <v>139920</v>
      </c>
    </row>
    <row r="1190">
      <c r="A1190" s="2">
        <f>IFERROR(__xludf.DUMMYFUNCTION("""COMPUTED_VALUE"""),40890.666666666664)</f>
        <v>40890.66667</v>
      </c>
      <c r="B1190" s="1">
        <f>IFERROR(__xludf.DUMMYFUNCTION("""COMPUTED_VALUE"""),1.53)</f>
        <v>1.53</v>
      </c>
      <c r="C1190" s="1">
        <f>IFERROR(__xludf.DUMMYFUNCTION("""COMPUTED_VALUE"""),1.54)</f>
        <v>1.54</v>
      </c>
      <c r="D1190" s="1">
        <f>IFERROR(__xludf.DUMMYFUNCTION("""COMPUTED_VALUE"""),1.46)</f>
        <v>1.46</v>
      </c>
      <c r="E1190" s="1">
        <f>IFERROR(__xludf.DUMMYFUNCTION("""COMPUTED_VALUE"""),1.47)</f>
        <v>1.47</v>
      </c>
      <c r="F1190" s="1">
        <f>IFERROR(__xludf.DUMMYFUNCTION("""COMPUTED_VALUE"""),164496.0)</f>
        <v>164496</v>
      </c>
    </row>
    <row r="1191">
      <c r="A1191" s="2">
        <f>IFERROR(__xludf.DUMMYFUNCTION("""COMPUTED_VALUE"""),40891.666666666664)</f>
        <v>40891.66667</v>
      </c>
      <c r="B1191" s="1">
        <f>IFERROR(__xludf.DUMMYFUNCTION("""COMPUTED_VALUE"""),1.46)</f>
        <v>1.46</v>
      </c>
      <c r="C1191" s="1">
        <f>IFERROR(__xludf.DUMMYFUNCTION("""COMPUTED_VALUE"""),1.48)</f>
        <v>1.48</v>
      </c>
      <c r="D1191" s="1">
        <f>IFERROR(__xludf.DUMMYFUNCTION("""COMPUTED_VALUE"""),1.42)</f>
        <v>1.42</v>
      </c>
      <c r="E1191" s="1">
        <f>IFERROR(__xludf.DUMMYFUNCTION("""COMPUTED_VALUE"""),1.46)</f>
        <v>1.46</v>
      </c>
      <c r="F1191" s="1">
        <f>IFERROR(__xludf.DUMMYFUNCTION("""COMPUTED_VALUE"""),176893.0)</f>
        <v>176893</v>
      </c>
    </row>
    <row r="1192">
      <c r="A1192" s="2">
        <f>IFERROR(__xludf.DUMMYFUNCTION("""COMPUTED_VALUE"""),40892.666666666664)</f>
        <v>40892.66667</v>
      </c>
      <c r="B1192" s="1">
        <f>IFERROR(__xludf.DUMMYFUNCTION("""COMPUTED_VALUE"""),1.48)</f>
        <v>1.48</v>
      </c>
      <c r="C1192" s="1">
        <f>IFERROR(__xludf.DUMMYFUNCTION("""COMPUTED_VALUE"""),1.49)</f>
        <v>1.49</v>
      </c>
      <c r="D1192" s="1">
        <f>IFERROR(__xludf.DUMMYFUNCTION("""COMPUTED_VALUE"""),1.43)</f>
        <v>1.43</v>
      </c>
      <c r="E1192" s="1">
        <f>IFERROR(__xludf.DUMMYFUNCTION("""COMPUTED_VALUE"""),1.48)</f>
        <v>1.48</v>
      </c>
      <c r="F1192" s="1">
        <f>IFERROR(__xludf.DUMMYFUNCTION("""COMPUTED_VALUE"""),148573.0)</f>
        <v>148573</v>
      </c>
    </row>
    <row r="1193">
      <c r="A1193" s="2">
        <f>IFERROR(__xludf.DUMMYFUNCTION("""COMPUTED_VALUE"""),40893.666666666664)</f>
        <v>40893.66667</v>
      </c>
      <c r="B1193" s="1">
        <f>IFERROR(__xludf.DUMMYFUNCTION("""COMPUTED_VALUE"""),1.49)</f>
        <v>1.49</v>
      </c>
      <c r="C1193" s="1">
        <f>IFERROR(__xludf.DUMMYFUNCTION("""COMPUTED_VALUE"""),1.52)</f>
        <v>1.52</v>
      </c>
      <c r="D1193" s="1">
        <f>IFERROR(__xludf.DUMMYFUNCTION("""COMPUTED_VALUE"""),1.46)</f>
        <v>1.46</v>
      </c>
      <c r="E1193" s="1">
        <f>IFERROR(__xludf.DUMMYFUNCTION("""COMPUTED_VALUE"""),1.49)</f>
        <v>1.49</v>
      </c>
      <c r="F1193" s="1">
        <f>IFERROR(__xludf.DUMMYFUNCTION("""COMPUTED_VALUE"""),533216.0)</f>
        <v>533216</v>
      </c>
    </row>
    <row r="1194">
      <c r="A1194" s="2">
        <f>IFERROR(__xludf.DUMMYFUNCTION("""COMPUTED_VALUE"""),40896.666666666664)</f>
        <v>40896.66667</v>
      </c>
      <c r="B1194" s="1">
        <f>IFERROR(__xludf.DUMMYFUNCTION("""COMPUTED_VALUE"""),1.5)</f>
        <v>1.5</v>
      </c>
      <c r="C1194" s="1">
        <f>IFERROR(__xludf.DUMMYFUNCTION("""COMPUTED_VALUE"""),1.52)</f>
        <v>1.52</v>
      </c>
      <c r="D1194" s="1">
        <f>IFERROR(__xludf.DUMMYFUNCTION("""COMPUTED_VALUE"""),1.45)</f>
        <v>1.45</v>
      </c>
      <c r="E1194" s="1">
        <f>IFERROR(__xludf.DUMMYFUNCTION("""COMPUTED_VALUE"""),1.46)</f>
        <v>1.46</v>
      </c>
      <c r="F1194" s="1">
        <f>IFERROR(__xludf.DUMMYFUNCTION("""COMPUTED_VALUE"""),148017.0)</f>
        <v>148017</v>
      </c>
    </row>
    <row r="1195">
      <c r="A1195" s="2">
        <f>IFERROR(__xludf.DUMMYFUNCTION("""COMPUTED_VALUE"""),40897.666666666664)</f>
        <v>40897.66667</v>
      </c>
      <c r="B1195" s="1">
        <f>IFERROR(__xludf.DUMMYFUNCTION("""COMPUTED_VALUE"""),1.48)</f>
        <v>1.48</v>
      </c>
      <c r="C1195" s="1">
        <f>IFERROR(__xludf.DUMMYFUNCTION("""COMPUTED_VALUE"""),1.57)</f>
        <v>1.57</v>
      </c>
      <c r="D1195" s="1">
        <f>IFERROR(__xludf.DUMMYFUNCTION("""COMPUTED_VALUE"""),1.48)</f>
        <v>1.48</v>
      </c>
      <c r="E1195" s="1">
        <f>IFERROR(__xludf.DUMMYFUNCTION("""COMPUTED_VALUE"""),1.56)</f>
        <v>1.56</v>
      </c>
      <c r="F1195" s="1">
        <f>IFERROR(__xludf.DUMMYFUNCTION("""COMPUTED_VALUE"""),163234.0)</f>
        <v>163234</v>
      </c>
    </row>
    <row r="1196">
      <c r="A1196" s="2">
        <f>IFERROR(__xludf.DUMMYFUNCTION("""COMPUTED_VALUE"""),40898.666666666664)</f>
        <v>40898.66667</v>
      </c>
      <c r="B1196" s="1">
        <f>IFERROR(__xludf.DUMMYFUNCTION("""COMPUTED_VALUE"""),1.56)</f>
        <v>1.56</v>
      </c>
      <c r="C1196" s="1">
        <f>IFERROR(__xludf.DUMMYFUNCTION("""COMPUTED_VALUE"""),1.59)</f>
        <v>1.59</v>
      </c>
      <c r="D1196" s="1">
        <f>IFERROR(__xludf.DUMMYFUNCTION("""COMPUTED_VALUE"""),1.52)</f>
        <v>1.52</v>
      </c>
      <c r="E1196" s="1">
        <f>IFERROR(__xludf.DUMMYFUNCTION("""COMPUTED_VALUE"""),1.58)</f>
        <v>1.58</v>
      </c>
      <c r="F1196" s="1">
        <f>IFERROR(__xludf.DUMMYFUNCTION("""COMPUTED_VALUE"""),241291.0)</f>
        <v>241291</v>
      </c>
    </row>
    <row r="1197">
      <c r="A1197" s="2">
        <f>IFERROR(__xludf.DUMMYFUNCTION("""COMPUTED_VALUE"""),40899.666666666664)</f>
        <v>40899.66667</v>
      </c>
      <c r="B1197" s="1">
        <f>IFERROR(__xludf.DUMMYFUNCTION("""COMPUTED_VALUE"""),1.59)</f>
        <v>1.59</v>
      </c>
      <c r="C1197" s="1">
        <f>IFERROR(__xludf.DUMMYFUNCTION("""COMPUTED_VALUE"""),1.6)</f>
        <v>1.6</v>
      </c>
      <c r="D1197" s="1">
        <f>IFERROR(__xludf.DUMMYFUNCTION("""COMPUTED_VALUE"""),1.57)</f>
        <v>1.57</v>
      </c>
      <c r="E1197" s="1">
        <f>IFERROR(__xludf.DUMMYFUNCTION("""COMPUTED_VALUE"""),1.58)</f>
        <v>1.58</v>
      </c>
      <c r="F1197" s="1">
        <f>IFERROR(__xludf.DUMMYFUNCTION("""COMPUTED_VALUE"""),108423.0)</f>
        <v>108423</v>
      </c>
    </row>
    <row r="1198">
      <c r="A1198" s="2">
        <f>IFERROR(__xludf.DUMMYFUNCTION("""COMPUTED_VALUE"""),40900.666666666664)</f>
        <v>40900.66667</v>
      </c>
      <c r="B1198" s="1">
        <f>IFERROR(__xludf.DUMMYFUNCTION("""COMPUTED_VALUE"""),1.58)</f>
        <v>1.58</v>
      </c>
      <c r="C1198" s="1">
        <f>IFERROR(__xludf.DUMMYFUNCTION("""COMPUTED_VALUE"""),1.59)</f>
        <v>1.59</v>
      </c>
      <c r="D1198" s="1">
        <f>IFERROR(__xludf.DUMMYFUNCTION("""COMPUTED_VALUE"""),1.56)</f>
        <v>1.56</v>
      </c>
      <c r="E1198" s="1">
        <f>IFERROR(__xludf.DUMMYFUNCTION("""COMPUTED_VALUE"""),1.58)</f>
        <v>1.58</v>
      </c>
      <c r="F1198" s="1">
        <f>IFERROR(__xludf.DUMMYFUNCTION("""COMPUTED_VALUE"""),76953.0)</f>
        <v>76953</v>
      </c>
    </row>
    <row r="1199">
      <c r="A1199" s="2">
        <f>IFERROR(__xludf.DUMMYFUNCTION("""COMPUTED_VALUE"""),40904.666666666664)</f>
        <v>40904.66667</v>
      </c>
      <c r="B1199" s="1">
        <f>IFERROR(__xludf.DUMMYFUNCTION("""COMPUTED_VALUE"""),1.58)</f>
        <v>1.58</v>
      </c>
      <c r="C1199" s="1">
        <f>IFERROR(__xludf.DUMMYFUNCTION("""COMPUTED_VALUE"""),1.61)</f>
        <v>1.61</v>
      </c>
      <c r="D1199" s="1">
        <f>IFERROR(__xludf.DUMMYFUNCTION("""COMPUTED_VALUE"""),1.56)</f>
        <v>1.56</v>
      </c>
      <c r="E1199" s="1">
        <f>IFERROR(__xludf.DUMMYFUNCTION("""COMPUTED_VALUE"""),1.6)</f>
        <v>1.6</v>
      </c>
      <c r="F1199" s="1">
        <f>IFERROR(__xludf.DUMMYFUNCTION("""COMPUTED_VALUE"""),117334.0)</f>
        <v>117334</v>
      </c>
    </row>
    <row r="1200">
      <c r="A1200" s="2">
        <f>IFERROR(__xludf.DUMMYFUNCTION("""COMPUTED_VALUE"""),40905.666666666664)</f>
        <v>40905.66667</v>
      </c>
      <c r="B1200" s="1">
        <f>IFERROR(__xludf.DUMMYFUNCTION("""COMPUTED_VALUE"""),1.6)</f>
        <v>1.6</v>
      </c>
      <c r="C1200" s="1">
        <f>IFERROR(__xludf.DUMMYFUNCTION("""COMPUTED_VALUE"""),1.6)</f>
        <v>1.6</v>
      </c>
      <c r="D1200" s="1">
        <f>IFERROR(__xludf.DUMMYFUNCTION("""COMPUTED_VALUE"""),1.55)</f>
        <v>1.55</v>
      </c>
      <c r="E1200" s="1">
        <f>IFERROR(__xludf.DUMMYFUNCTION("""COMPUTED_VALUE"""),1.56)</f>
        <v>1.56</v>
      </c>
      <c r="F1200" s="1">
        <f>IFERROR(__xludf.DUMMYFUNCTION("""COMPUTED_VALUE"""),78510.0)</f>
        <v>78510</v>
      </c>
    </row>
    <row r="1201">
      <c r="A1201" s="2">
        <f>IFERROR(__xludf.DUMMYFUNCTION("""COMPUTED_VALUE"""),40906.666666666664)</f>
        <v>40906.66667</v>
      </c>
      <c r="B1201" s="1">
        <f>IFERROR(__xludf.DUMMYFUNCTION("""COMPUTED_VALUE"""),1.56)</f>
        <v>1.56</v>
      </c>
      <c r="C1201" s="1">
        <f>IFERROR(__xludf.DUMMYFUNCTION("""COMPUTED_VALUE"""),1.61)</f>
        <v>1.61</v>
      </c>
      <c r="D1201" s="1">
        <f>IFERROR(__xludf.DUMMYFUNCTION("""COMPUTED_VALUE"""),1.55)</f>
        <v>1.55</v>
      </c>
      <c r="E1201" s="1">
        <f>IFERROR(__xludf.DUMMYFUNCTION("""COMPUTED_VALUE"""),1.61)</f>
        <v>1.61</v>
      </c>
      <c r="F1201" s="1">
        <f>IFERROR(__xludf.DUMMYFUNCTION("""COMPUTED_VALUE"""),118973.0)</f>
        <v>118973</v>
      </c>
    </row>
    <row r="1202">
      <c r="A1202" s="2">
        <f>IFERROR(__xludf.DUMMYFUNCTION("""COMPUTED_VALUE"""),40907.666666666664)</f>
        <v>40907.66667</v>
      </c>
      <c r="B1202" s="1">
        <f>IFERROR(__xludf.DUMMYFUNCTION("""COMPUTED_VALUE"""),1.6)</f>
        <v>1.6</v>
      </c>
      <c r="C1202" s="1">
        <f>IFERROR(__xludf.DUMMYFUNCTION("""COMPUTED_VALUE"""),1.62)</f>
        <v>1.62</v>
      </c>
      <c r="D1202" s="1">
        <f>IFERROR(__xludf.DUMMYFUNCTION("""COMPUTED_VALUE"""),1.56)</f>
        <v>1.56</v>
      </c>
      <c r="E1202" s="1">
        <f>IFERROR(__xludf.DUMMYFUNCTION("""COMPUTED_VALUE"""),1.57)</f>
        <v>1.57</v>
      </c>
      <c r="F1202" s="1">
        <f>IFERROR(__xludf.DUMMYFUNCTION("""COMPUTED_VALUE"""),156732.0)</f>
        <v>156732</v>
      </c>
    </row>
    <row r="1203">
      <c r="A1203" s="2">
        <f>IFERROR(__xludf.DUMMYFUNCTION("""COMPUTED_VALUE"""),40911.666666666664)</f>
        <v>40911.66667</v>
      </c>
      <c r="B1203" s="1">
        <f>IFERROR(__xludf.DUMMYFUNCTION("""COMPUTED_VALUE"""),1.61)</f>
        <v>1.61</v>
      </c>
      <c r="C1203" s="1">
        <f>IFERROR(__xludf.DUMMYFUNCTION("""COMPUTED_VALUE"""),1.63)</f>
        <v>1.63</v>
      </c>
      <c r="D1203" s="1">
        <f>IFERROR(__xludf.DUMMYFUNCTION("""COMPUTED_VALUE"""),1.57)</f>
        <v>1.57</v>
      </c>
      <c r="E1203" s="1">
        <f>IFERROR(__xludf.DUMMYFUNCTION("""COMPUTED_VALUE"""),1.58)</f>
        <v>1.58</v>
      </c>
      <c r="F1203" s="1">
        <f>IFERROR(__xludf.DUMMYFUNCTION("""COMPUTED_VALUE"""),146426.0)</f>
        <v>146426</v>
      </c>
    </row>
    <row r="1204">
      <c r="A1204" s="2">
        <f>IFERROR(__xludf.DUMMYFUNCTION("""COMPUTED_VALUE"""),40912.666666666664)</f>
        <v>40912.66667</v>
      </c>
      <c r="B1204" s="1">
        <f>IFERROR(__xludf.DUMMYFUNCTION("""COMPUTED_VALUE"""),1.57)</f>
        <v>1.57</v>
      </c>
      <c r="C1204" s="1">
        <f>IFERROR(__xludf.DUMMYFUNCTION("""COMPUTED_VALUE"""),1.6)</f>
        <v>1.6</v>
      </c>
      <c r="D1204" s="1">
        <f>IFERROR(__xludf.DUMMYFUNCTION("""COMPUTED_VALUE"""),1.54)</f>
        <v>1.54</v>
      </c>
      <c r="E1204" s="1">
        <f>IFERROR(__xludf.DUMMYFUNCTION("""COMPUTED_VALUE"""),1.57)</f>
        <v>1.57</v>
      </c>
      <c r="F1204" s="1">
        <f>IFERROR(__xludf.DUMMYFUNCTION("""COMPUTED_VALUE"""),140986.0)</f>
        <v>140986</v>
      </c>
    </row>
    <row r="1205">
      <c r="A1205" s="2">
        <f>IFERROR(__xludf.DUMMYFUNCTION("""COMPUTED_VALUE"""),40913.666666666664)</f>
        <v>40913.66667</v>
      </c>
      <c r="B1205" s="1">
        <f>IFERROR(__xludf.DUMMYFUNCTION("""COMPUTED_VALUE"""),1.57)</f>
        <v>1.57</v>
      </c>
      <c r="C1205" s="1">
        <f>IFERROR(__xludf.DUMMYFUNCTION("""COMPUTED_VALUE"""),1.6)</f>
        <v>1.6</v>
      </c>
      <c r="D1205" s="1">
        <f>IFERROR(__xludf.DUMMYFUNCTION("""COMPUTED_VALUE"""),1.56)</f>
        <v>1.56</v>
      </c>
      <c r="E1205" s="1">
        <f>IFERROR(__xludf.DUMMYFUNCTION("""COMPUTED_VALUE"""),1.6)</f>
        <v>1.6</v>
      </c>
      <c r="F1205" s="1">
        <f>IFERROR(__xludf.DUMMYFUNCTION("""COMPUTED_VALUE"""),84169.0)</f>
        <v>84169</v>
      </c>
    </row>
    <row r="1206">
      <c r="A1206" s="2">
        <f>IFERROR(__xludf.DUMMYFUNCTION("""COMPUTED_VALUE"""),40914.666666666664)</f>
        <v>40914.66667</v>
      </c>
      <c r="B1206" s="1">
        <f>IFERROR(__xludf.DUMMYFUNCTION("""COMPUTED_VALUE"""),1.59)</f>
        <v>1.59</v>
      </c>
      <c r="C1206" s="1">
        <f>IFERROR(__xludf.DUMMYFUNCTION("""COMPUTED_VALUE"""),1.65)</f>
        <v>1.65</v>
      </c>
      <c r="D1206" s="1">
        <f>IFERROR(__xludf.DUMMYFUNCTION("""COMPUTED_VALUE"""),1.59)</f>
        <v>1.59</v>
      </c>
      <c r="E1206" s="1">
        <f>IFERROR(__xludf.DUMMYFUNCTION("""COMPUTED_VALUE"""),1.63)</f>
        <v>1.63</v>
      </c>
      <c r="F1206" s="1">
        <f>IFERROR(__xludf.DUMMYFUNCTION("""COMPUTED_VALUE"""),178579.0)</f>
        <v>178579</v>
      </c>
    </row>
    <row r="1207">
      <c r="A1207" s="2">
        <f>IFERROR(__xludf.DUMMYFUNCTION("""COMPUTED_VALUE"""),40917.666666666664)</f>
        <v>40917.66667</v>
      </c>
      <c r="B1207" s="1">
        <f>IFERROR(__xludf.DUMMYFUNCTION("""COMPUTED_VALUE"""),1.64)</f>
        <v>1.64</v>
      </c>
      <c r="C1207" s="1">
        <f>IFERROR(__xludf.DUMMYFUNCTION("""COMPUTED_VALUE"""),1.66)</f>
        <v>1.66</v>
      </c>
      <c r="D1207" s="1">
        <f>IFERROR(__xludf.DUMMYFUNCTION("""COMPUTED_VALUE"""),1.63)</f>
        <v>1.63</v>
      </c>
      <c r="E1207" s="1">
        <f>IFERROR(__xludf.DUMMYFUNCTION("""COMPUTED_VALUE"""),1.63)</f>
        <v>1.63</v>
      </c>
      <c r="F1207" s="1">
        <f>IFERROR(__xludf.DUMMYFUNCTION("""COMPUTED_VALUE"""),232384.0)</f>
        <v>232384</v>
      </c>
    </row>
    <row r="1208">
      <c r="A1208" s="2">
        <f>IFERROR(__xludf.DUMMYFUNCTION("""COMPUTED_VALUE"""),40918.666666666664)</f>
        <v>40918.66667</v>
      </c>
      <c r="B1208" s="1">
        <f>IFERROR(__xludf.DUMMYFUNCTION("""COMPUTED_VALUE"""),1.65)</f>
        <v>1.65</v>
      </c>
      <c r="C1208" s="1">
        <f>IFERROR(__xludf.DUMMYFUNCTION("""COMPUTED_VALUE"""),1.67)</f>
        <v>1.67</v>
      </c>
      <c r="D1208" s="1">
        <f>IFERROR(__xludf.DUMMYFUNCTION("""COMPUTED_VALUE"""),1.64)</f>
        <v>1.64</v>
      </c>
      <c r="E1208" s="1">
        <f>IFERROR(__xludf.DUMMYFUNCTION("""COMPUTED_VALUE"""),1.66)</f>
        <v>1.66</v>
      </c>
      <c r="F1208" s="1">
        <f>IFERROR(__xludf.DUMMYFUNCTION("""COMPUTED_VALUE"""),92576.0)</f>
        <v>92576</v>
      </c>
    </row>
    <row r="1209">
      <c r="A1209" s="2">
        <f>IFERROR(__xludf.DUMMYFUNCTION("""COMPUTED_VALUE"""),40919.666666666664)</f>
        <v>40919.66667</v>
      </c>
      <c r="B1209" s="1">
        <f>IFERROR(__xludf.DUMMYFUNCTION("""COMPUTED_VALUE"""),1.46)</f>
        <v>1.46</v>
      </c>
      <c r="C1209" s="1">
        <f>IFERROR(__xludf.DUMMYFUNCTION("""COMPUTED_VALUE"""),1.61)</f>
        <v>1.61</v>
      </c>
      <c r="D1209" s="1">
        <f>IFERROR(__xludf.DUMMYFUNCTION("""COMPUTED_VALUE"""),1.45)</f>
        <v>1.45</v>
      </c>
      <c r="E1209" s="1">
        <f>IFERROR(__xludf.DUMMYFUNCTION("""COMPUTED_VALUE"""),1.61)</f>
        <v>1.61</v>
      </c>
      <c r="F1209" s="1">
        <f>IFERROR(__xludf.DUMMYFUNCTION("""COMPUTED_VALUE"""),331748.0)</f>
        <v>331748</v>
      </c>
    </row>
    <row r="1210">
      <c r="A1210" s="2">
        <f>IFERROR(__xludf.DUMMYFUNCTION("""COMPUTED_VALUE"""),40920.666666666664)</f>
        <v>40920.66667</v>
      </c>
      <c r="B1210" s="1">
        <f>IFERROR(__xludf.DUMMYFUNCTION("""COMPUTED_VALUE"""),1.59)</f>
        <v>1.59</v>
      </c>
      <c r="C1210" s="1">
        <f>IFERROR(__xludf.DUMMYFUNCTION("""COMPUTED_VALUE"""),1.67)</f>
        <v>1.67</v>
      </c>
      <c r="D1210" s="1">
        <f>IFERROR(__xludf.DUMMYFUNCTION("""COMPUTED_VALUE"""),1.53)</f>
        <v>1.53</v>
      </c>
      <c r="E1210" s="1">
        <f>IFERROR(__xludf.DUMMYFUNCTION("""COMPUTED_VALUE"""),1.67)</f>
        <v>1.67</v>
      </c>
      <c r="F1210" s="1">
        <f>IFERROR(__xludf.DUMMYFUNCTION("""COMPUTED_VALUE"""),238645.0)</f>
        <v>238645</v>
      </c>
    </row>
    <row r="1211">
      <c r="A1211" s="2">
        <f>IFERROR(__xludf.DUMMYFUNCTION("""COMPUTED_VALUE"""),40921.666666666664)</f>
        <v>40921.66667</v>
      </c>
      <c r="B1211" s="1">
        <f>IFERROR(__xludf.DUMMYFUNCTION("""COMPUTED_VALUE"""),1.63)</f>
        <v>1.63</v>
      </c>
      <c r="C1211" s="1">
        <f>IFERROR(__xludf.DUMMYFUNCTION("""COMPUTED_VALUE"""),1.66)</f>
        <v>1.66</v>
      </c>
      <c r="D1211" s="1">
        <f>IFERROR(__xludf.DUMMYFUNCTION("""COMPUTED_VALUE"""),1.63)</f>
        <v>1.63</v>
      </c>
      <c r="E1211" s="1">
        <f>IFERROR(__xludf.DUMMYFUNCTION("""COMPUTED_VALUE"""),1.65)</f>
        <v>1.65</v>
      </c>
      <c r="F1211" s="1">
        <f>IFERROR(__xludf.DUMMYFUNCTION("""COMPUTED_VALUE"""),177322.0)</f>
        <v>177322</v>
      </c>
    </row>
    <row r="1212">
      <c r="A1212" s="2">
        <f>IFERROR(__xludf.DUMMYFUNCTION("""COMPUTED_VALUE"""),40925.666666666664)</f>
        <v>40925.66667</v>
      </c>
      <c r="B1212" s="1">
        <f>IFERROR(__xludf.DUMMYFUNCTION("""COMPUTED_VALUE"""),1.66)</f>
        <v>1.66</v>
      </c>
      <c r="C1212" s="1">
        <f>IFERROR(__xludf.DUMMYFUNCTION("""COMPUTED_VALUE"""),1.67)</f>
        <v>1.67</v>
      </c>
      <c r="D1212" s="1">
        <f>IFERROR(__xludf.DUMMYFUNCTION("""COMPUTED_VALUE"""),1.63)</f>
        <v>1.63</v>
      </c>
      <c r="E1212" s="1">
        <f>IFERROR(__xludf.DUMMYFUNCTION("""COMPUTED_VALUE"""),1.63)</f>
        <v>1.63</v>
      </c>
      <c r="F1212" s="1">
        <f>IFERROR(__xludf.DUMMYFUNCTION("""COMPUTED_VALUE"""),179897.0)</f>
        <v>179897</v>
      </c>
    </row>
    <row r="1213">
      <c r="A1213" s="2">
        <f>IFERROR(__xludf.DUMMYFUNCTION("""COMPUTED_VALUE"""),40926.666666666664)</f>
        <v>40926.66667</v>
      </c>
      <c r="B1213" s="1">
        <f>IFERROR(__xludf.DUMMYFUNCTION("""COMPUTED_VALUE"""),1.63)</f>
        <v>1.63</v>
      </c>
      <c r="C1213" s="1">
        <f>IFERROR(__xludf.DUMMYFUNCTION("""COMPUTED_VALUE"""),1.65)</f>
        <v>1.65</v>
      </c>
      <c r="D1213" s="1">
        <f>IFERROR(__xludf.DUMMYFUNCTION("""COMPUTED_VALUE"""),1.61)</f>
        <v>1.61</v>
      </c>
      <c r="E1213" s="1">
        <f>IFERROR(__xludf.DUMMYFUNCTION("""COMPUTED_VALUE"""),1.64)</f>
        <v>1.64</v>
      </c>
      <c r="F1213" s="1">
        <f>IFERROR(__xludf.DUMMYFUNCTION("""COMPUTED_VALUE"""),106499.0)</f>
        <v>106499</v>
      </c>
    </row>
    <row r="1214">
      <c r="A1214" s="2">
        <f>IFERROR(__xludf.DUMMYFUNCTION("""COMPUTED_VALUE"""),40927.666666666664)</f>
        <v>40927.66667</v>
      </c>
      <c r="B1214" s="1">
        <f>IFERROR(__xludf.DUMMYFUNCTION("""COMPUTED_VALUE"""),1.64)</f>
        <v>1.64</v>
      </c>
      <c r="C1214" s="1">
        <f>IFERROR(__xludf.DUMMYFUNCTION("""COMPUTED_VALUE"""),1.68)</f>
        <v>1.68</v>
      </c>
      <c r="D1214" s="1">
        <f>IFERROR(__xludf.DUMMYFUNCTION("""COMPUTED_VALUE"""),1.64)</f>
        <v>1.64</v>
      </c>
      <c r="E1214" s="1">
        <f>IFERROR(__xludf.DUMMYFUNCTION("""COMPUTED_VALUE"""),1.68)</f>
        <v>1.68</v>
      </c>
      <c r="F1214" s="1">
        <f>IFERROR(__xludf.DUMMYFUNCTION("""COMPUTED_VALUE"""),134739.0)</f>
        <v>134739</v>
      </c>
    </row>
    <row r="1215">
      <c r="A1215" s="2">
        <f>IFERROR(__xludf.DUMMYFUNCTION("""COMPUTED_VALUE"""),40928.666666666664)</f>
        <v>40928.66667</v>
      </c>
      <c r="B1215" s="1">
        <f>IFERROR(__xludf.DUMMYFUNCTION("""COMPUTED_VALUE"""),1.67)</f>
        <v>1.67</v>
      </c>
      <c r="C1215" s="1">
        <f>IFERROR(__xludf.DUMMYFUNCTION("""COMPUTED_VALUE"""),1.74)</f>
        <v>1.74</v>
      </c>
      <c r="D1215" s="1">
        <f>IFERROR(__xludf.DUMMYFUNCTION("""COMPUTED_VALUE"""),1.66)</f>
        <v>1.66</v>
      </c>
      <c r="E1215" s="1">
        <f>IFERROR(__xludf.DUMMYFUNCTION("""COMPUTED_VALUE"""),1.69)</f>
        <v>1.69</v>
      </c>
      <c r="F1215" s="1">
        <f>IFERROR(__xludf.DUMMYFUNCTION("""COMPUTED_VALUE"""),562012.0)</f>
        <v>562012</v>
      </c>
    </row>
    <row r="1216">
      <c r="A1216" s="2">
        <f>IFERROR(__xludf.DUMMYFUNCTION("""COMPUTED_VALUE"""),40931.666666666664)</f>
        <v>40931.66667</v>
      </c>
      <c r="B1216" s="1">
        <f>IFERROR(__xludf.DUMMYFUNCTION("""COMPUTED_VALUE"""),1.69)</f>
        <v>1.69</v>
      </c>
      <c r="C1216" s="1">
        <f>IFERROR(__xludf.DUMMYFUNCTION("""COMPUTED_VALUE"""),1.71)</f>
        <v>1.71</v>
      </c>
      <c r="D1216" s="1">
        <f>IFERROR(__xludf.DUMMYFUNCTION("""COMPUTED_VALUE"""),1.68)</f>
        <v>1.68</v>
      </c>
      <c r="E1216" s="1">
        <f>IFERROR(__xludf.DUMMYFUNCTION("""COMPUTED_VALUE"""),1.71)</f>
        <v>1.71</v>
      </c>
      <c r="F1216" s="1">
        <f>IFERROR(__xludf.DUMMYFUNCTION("""COMPUTED_VALUE"""),96530.0)</f>
        <v>96530</v>
      </c>
    </row>
    <row r="1217">
      <c r="A1217" s="2">
        <f>IFERROR(__xludf.DUMMYFUNCTION("""COMPUTED_VALUE"""),40932.666666666664)</f>
        <v>40932.66667</v>
      </c>
      <c r="B1217" s="1">
        <f>IFERROR(__xludf.DUMMYFUNCTION("""COMPUTED_VALUE"""),1.7)</f>
        <v>1.7</v>
      </c>
      <c r="C1217" s="1">
        <f>IFERROR(__xludf.DUMMYFUNCTION("""COMPUTED_VALUE"""),1.75)</f>
        <v>1.75</v>
      </c>
      <c r="D1217" s="1">
        <f>IFERROR(__xludf.DUMMYFUNCTION("""COMPUTED_VALUE"""),1.69)</f>
        <v>1.69</v>
      </c>
      <c r="E1217" s="1">
        <f>IFERROR(__xludf.DUMMYFUNCTION("""COMPUTED_VALUE"""),1.75)</f>
        <v>1.75</v>
      </c>
      <c r="F1217" s="1">
        <f>IFERROR(__xludf.DUMMYFUNCTION("""COMPUTED_VALUE"""),201432.0)</f>
        <v>201432</v>
      </c>
    </row>
    <row r="1218">
      <c r="A1218" s="2">
        <f>IFERROR(__xludf.DUMMYFUNCTION("""COMPUTED_VALUE"""),40933.666666666664)</f>
        <v>40933.66667</v>
      </c>
      <c r="B1218" s="1">
        <f>IFERROR(__xludf.DUMMYFUNCTION("""COMPUTED_VALUE"""),1.75)</f>
        <v>1.75</v>
      </c>
      <c r="C1218" s="1">
        <f>IFERROR(__xludf.DUMMYFUNCTION("""COMPUTED_VALUE"""),1.77)</f>
        <v>1.77</v>
      </c>
      <c r="D1218" s="1">
        <f>IFERROR(__xludf.DUMMYFUNCTION("""COMPUTED_VALUE"""),1.69)</f>
        <v>1.69</v>
      </c>
      <c r="E1218" s="1">
        <f>IFERROR(__xludf.DUMMYFUNCTION("""COMPUTED_VALUE"""),1.74)</f>
        <v>1.74</v>
      </c>
      <c r="F1218" s="1">
        <f>IFERROR(__xludf.DUMMYFUNCTION("""COMPUTED_VALUE"""),250042.0)</f>
        <v>250042</v>
      </c>
    </row>
    <row r="1219">
      <c r="A1219" s="2">
        <f>IFERROR(__xludf.DUMMYFUNCTION("""COMPUTED_VALUE"""),40934.666666666664)</f>
        <v>40934.66667</v>
      </c>
      <c r="B1219" s="1">
        <f>IFERROR(__xludf.DUMMYFUNCTION("""COMPUTED_VALUE"""),1.75)</f>
        <v>1.75</v>
      </c>
      <c r="C1219" s="1">
        <f>IFERROR(__xludf.DUMMYFUNCTION("""COMPUTED_VALUE"""),1.76)</f>
        <v>1.76</v>
      </c>
      <c r="D1219" s="1">
        <f>IFERROR(__xludf.DUMMYFUNCTION("""COMPUTED_VALUE"""),1.73)</f>
        <v>1.73</v>
      </c>
      <c r="E1219" s="1">
        <f>IFERROR(__xludf.DUMMYFUNCTION("""COMPUTED_VALUE"""),1.75)</f>
        <v>1.75</v>
      </c>
      <c r="F1219" s="1">
        <f>IFERROR(__xludf.DUMMYFUNCTION("""COMPUTED_VALUE"""),118318.0)</f>
        <v>118318</v>
      </c>
    </row>
    <row r="1220">
      <c r="A1220" s="2">
        <f>IFERROR(__xludf.DUMMYFUNCTION("""COMPUTED_VALUE"""),40935.666666666664)</f>
        <v>40935.66667</v>
      </c>
      <c r="B1220" s="1">
        <f>IFERROR(__xludf.DUMMYFUNCTION("""COMPUTED_VALUE"""),1.72)</f>
        <v>1.72</v>
      </c>
      <c r="C1220" s="1">
        <f>IFERROR(__xludf.DUMMYFUNCTION("""COMPUTED_VALUE"""),1.74)</f>
        <v>1.74</v>
      </c>
      <c r="D1220" s="1">
        <f>IFERROR(__xludf.DUMMYFUNCTION("""COMPUTED_VALUE"""),1.7)</f>
        <v>1.7</v>
      </c>
      <c r="E1220" s="1">
        <f>IFERROR(__xludf.DUMMYFUNCTION("""COMPUTED_VALUE"""),1.71)</f>
        <v>1.71</v>
      </c>
      <c r="F1220" s="1">
        <f>IFERROR(__xludf.DUMMYFUNCTION("""COMPUTED_VALUE"""),241086.0)</f>
        <v>241086</v>
      </c>
    </row>
    <row r="1221">
      <c r="A1221" s="2">
        <f>IFERROR(__xludf.DUMMYFUNCTION("""COMPUTED_VALUE"""),40938.666666666664)</f>
        <v>40938.66667</v>
      </c>
      <c r="B1221" s="1">
        <f>IFERROR(__xludf.DUMMYFUNCTION("""COMPUTED_VALUE"""),1.68)</f>
        <v>1.68</v>
      </c>
      <c r="C1221" s="1">
        <f>IFERROR(__xludf.DUMMYFUNCTION("""COMPUTED_VALUE"""),1.71)</f>
        <v>1.71</v>
      </c>
      <c r="D1221" s="1">
        <f>IFERROR(__xludf.DUMMYFUNCTION("""COMPUTED_VALUE"""),1.68)</f>
        <v>1.68</v>
      </c>
      <c r="E1221" s="1">
        <f>IFERROR(__xludf.DUMMYFUNCTION("""COMPUTED_VALUE"""),1.7)</f>
        <v>1.7</v>
      </c>
      <c r="F1221" s="1">
        <f>IFERROR(__xludf.DUMMYFUNCTION("""COMPUTED_VALUE"""),119184.0)</f>
        <v>119184</v>
      </c>
    </row>
    <row r="1222">
      <c r="A1222" s="2">
        <f>IFERROR(__xludf.DUMMYFUNCTION("""COMPUTED_VALUE"""),40939.666666666664)</f>
        <v>40939.66667</v>
      </c>
      <c r="B1222" s="1">
        <f>IFERROR(__xludf.DUMMYFUNCTION("""COMPUTED_VALUE"""),1.7)</f>
        <v>1.7</v>
      </c>
      <c r="C1222" s="1">
        <f>IFERROR(__xludf.DUMMYFUNCTION("""COMPUTED_VALUE"""),1.7)</f>
        <v>1.7</v>
      </c>
      <c r="D1222" s="1">
        <f>IFERROR(__xludf.DUMMYFUNCTION("""COMPUTED_VALUE"""),1.68)</f>
        <v>1.68</v>
      </c>
      <c r="E1222" s="1">
        <f>IFERROR(__xludf.DUMMYFUNCTION("""COMPUTED_VALUE"""),1.69)</f>
        <v>1.69</v>
      </c>
      <c r="F1222" s="1">
        <f>IFERROR(__xludf.DUMMYFUNCTION("""COMPUTED_VALUE"""),181186.0)</f>
        <v>181186</v>
      </c>
    </row>
    <row r="1223">
      <c r="A1223" s="2">
        <f>IFERROR(__xludf.DUMMYFUNCTION("""COMPUTED_VALUE"""),40940.666666666664)</f>
        <v>40940.66667</v>
      </c>
      <c r="B1223" s="1">
        <f>IFERROR(__xludf.DUMMYFUNCTION("""COMPUTED_VALUE"""),1.7)</f>
        <v>1.7</v>
      </c>
      <c r="C1223" s="1">
        <f>IFERROR(__xludf.DUMMYFUNCTION("""COMPUTED_VALUE"""),1.71)</f>
        <v>1.71</v>
      </c>
      <c r="D1223" s="1">
        <f>IFERROR(__xludf.DUMMYFUNCTION("""COMPUTED_VALUE"""),1.69)</f>
        <v>1.69</v>
      </c>
      <c r="E1223" s="1">
        <f>IFERROR(__xludf.DUMMYFUNCTION("""COMPUTED_VALUE"""),1.71)</f>
        <v>1.71</v>
      </c>
      <c r="F1223" s="1">
        <f>IFERROR(__xludf.DUMMYFUNCTION("""COMPUTED_VALUE"""),161263.0)</f>
        <v>161263</v>
      </c>
    </row>
    <row r="1224">
      <c r="A1224" s="2">
        <f>IFERROR(__xludf.DUMMYFUNCTION("""COMPUTED_VALUE"""),40941.666666666664)</f>
        <v>40941.66667</v>
      </c>
      <c r="B1224" s="1">
        <f>IFERROR(__xludf.DUMMYFUNCTION("""COMPUTED_VALUE"""),1.7)</f>
        <v>1.7</v>
      </c>
      <c r="C1224" s="1">
        <f>IFERROR(__xludf.DUMMYFUNCTION("""COMPUTED_VALUE"""),1.72)</f>
        <v>1.72</v>
      </c>
      <c r="D1224" s="1">
        <f>IFERROR(__xludf.DUMMYFUNCTION("""COMPUTED_VALUE"""),1.69)</f>
        <v>1.69</v>
      </c>
      <c r="E1224" s="1">
        <f>IFERROR(__xludf.DUMMYFUNCTION("""COMPUTED_VALUE"""),1.71)</f>
        <v>1.71</v>
      </c>
      <c r="F1224" s="1">
        <f>IFERROR(__xludf.DUMMYFUNCTION("""COMPUTED_VALUE"""),110925.0)</f>
        <v>110925</v>
      </c>
    </row>
    <row r="1225">
      <c r="A1225" s="2">
        <f>IFERROR(__xludf.DUMMYFUNCTION("""COMPUTED_VALUE"""),40942.666666666664)</f>
        <v>40942.66667</v>
      </c>
      <c r="B1225" s="1">
        <f>IFERROR(__xludf.DUMMYFUNCTION("""COMPUTED_VALUE"""),1.72)</f>
        <v>1.72</v>
      </c>
      <c r="C1225" s="1">
        <f>IFERROR(__xludf.DUMMYFUNCTION("""COMPUTED_VALUE"""),1.74)</f>
        <v>1.74</v>
      </c>
      <c r="D1225" s="1">
        <f>IFERROR(__xludf.DUMMYFUNCTION("""COMPUTED_VALUE"""),1.71)</f>
        <v>1.71</v>
      </c>
      <c r="E1225" s="1">
        <f>IFERROR(__xludf.DUMMYFUNCTION("""COMPUTED_VALUE"""),1.74)</f>
        <v>1.74</v>
      </c>
      <c r="F1225" s="1">
        <f>IFERROR(__xludf.DUMMYFUNCTION("""COMPUTED_VALUE"""),265490.0)</f>
        <v>265490</v>
      </c>
    </row>
    <row r="1226">
      <c r="A1226" s="2">
        <f>IFERROR(__xludf.DUMMYFUNCTION("""COMPUTED_VALUE"""),40945.666666666664)</f>
        <v>40945.66667</v>
      </c>
      <c r="B1226" s="1">
        <f>IFERROR(__xludf.DUMMYFUNCTION("""COMPUTED_VALUE"""),1.72)</f>
        <v>1.72</v>
      </c>
      <c r="C1226" s="1">
        <f>IFERROR(__xludf.DUMMYFUNCTION("""COMPUTED_VALUE"""),1.74)</f>
        <v>1.74</v>
      </c>
      <c r="D1226" s="1">
        <f>IFERROR(__xludf.DUMMYFUNCTION("""COMPUTED_VALUE"""),1.72)</f>
        <v>1.72</v>
      </c>
      <c r="E1226" s="1">
        <f>IFERROR(__xludf.DUMMYFUNCTION("""COMPUTED_VALUE"""),1.74)</f>
        <v>1.74</v>
      </c>
      <c r="F1226" s="1">
        <f>IFERROR(__xludf.DUMMYFUNCTION("""COMPUTED_VALUE"""),116415.0)</f>
        <v>116415</v>
      </c>
    </row>
    <row r="1227">
      <c r="A1227" s="2">
        <f>IFERROR(__xludf.DUMMYFUNCTION("""COMPUTED_VALUE"""),40946.666666666664)</f>
        <v>40946.66667</v>
      </c>
      <c r="B1227" s="1">
        <f>IFERROR(__xludf.DUMMYFUNCTION("""COMPUTED_VALUE"""),1.74)</f>
        <v>1.74</v>
      </c>
      <c r="C1227" s="1">
        <f>IFERROR(__xludf.DUMMYFUNCTION("""COMPUTED_VALUE"""),1.75)</f>
        <v>1.75</v>
      </c>
      <c r="D1227" s="1">
        <f>IFERROR(__xludf.DUMMYFUNCTION("""COMPUTED_VALUE"""),1.72)</f>
        <v>1.72</v>
      </c>
      <c r="E1227" s="1">
        <f>IFERROR(__xludf.DUMMYFUNCTION("""COMPUTED_VALUE"""),1.75)</f>
        <v>1.75</v>
      </c>
      <c r="F1227" s="1">
        <f>IFERROR(__xludf.DUMMYFUNCTION("""COMPUTED_VALUE"""),174880.0)</f>
        <v>174880</v>
      </c>
    </row>
    <row r="1228">
      <c r="A1228" s="2">
        <f>IFERROR(__xludf.DUMMYFUNCTION("""COMPUTED_VALUE"""),40947.666666666664)</f>
        <v>40947.66667</v>
      </c>
      <c r="B1228" s="1">
        <f>IFERROR(__xludf.DUMMYFUNCTION("""COMPUTED_VALUE"""),1.75)</f>
        <v>1.75</v>
      </c>
      <c r="C1228" s="1">
        <f>IFERROR(__xludf.DUMMYFUNCTION("""COMPUTED_VALUE"""),1.77)</f>
        <v>1.77</v>
      </c>
      <c r="D1228" s="1">
        <f>IFERROR(__xludf.DUMMYFUNCTION("""COMPUTED_VALUE"""),1.74)</f>
        <v>1.74</v>
      </c>
      <c r="E1228" s="1">
        <f>IFERROR(__xludf.DUMMYFUNCTION("""COMPUTED_VALUE"""),1.77)</f>
        <v>1.77</v>
      </c>
      <c r="F1228" s="1">
        <f>IFERROR(__xludf.DUMMYFUNCTION("""COMPUTED_VALUE"""),173035.0)</f>
        <v>173035</v>
      </c>
    </row>
    <row r="1229">
      <c r="A1229" s="2">
        <f>IFERROR(__xludf.DUMMYFUNCTION("""COMPUTED_VALUE"""),40948.666666666664)</f>
        <v>40948.66667</v>
      </c>
      <c r="B1229" s="1">
        <f>IFERROR(__xludf.DUMMYFUNCTION("""COMPUTED_VALUE"""),1.77)</f>
        <v>1.77</v>
      </c>
      <c r="C1229" s="1">
        <f>IFERROR(__xludf.DUMMYFUNCTION("""COMPUTED_VALUE"""),1.77)</f>
        <v>1.77</v>
      </c>
      <c r="D1229" s="1">
        <f>IFERROR(__xludf.DUMMYFUNCTION("""COMPUTED_VALUE"""),1.71)</f>
        <v>1.71</v>
      </c>
      <c r="E1229" s="1">
        <f>IFERROR(__xludf.DUMMYFUNCTION("""COMPUTED_VALUE"""),1.72)</f>
        <v>1.72</v>
      </c>
      <c r="F1229" s="1">
        <f>IFERROR(__xludf.DUMMYFUNCTION("""COMPUTED_VALUE"""),183352.0)</f>
        <v>183352</v>
      </c>
    </row>
    <row r="1230">
      <c r="A1230" s="2">
        <f>IFERROR(__xludf.DUMMYFUNCTION("""COMPUTED_VALUE"""),40949.666666666664)</f>
        <v>40949.66667</v>
      </c>
      <c r="B1230" s="1">
        <f>IFERROR(__xludf.DUMMYFUNCTION("""COMPUTED_VALUE"""),1.7)</f>
        <v>1.7</v>
      </c>
      <c r="C1230" s="1">
        <f>IFERROR(__xludf.DUMMYFUNCTION("""COMPUTED_VALUE"""),1.71)</f>
        <v>1.71</v>
      </c>
      <c r="D1230" s="1">
        <f>IFERROR(__xludf.DUMMYFUNCTION("""COMPUTED_VALUE"""),1.67)</f>
        <v>1.67</v>
      </c>
      <c r="E1230" s="1">
        <f>IFERROR(__xludf.DUMMYFUNCTION("""COMPUTED_VALUE"""),1.68)</f>
        <v>1.68</v>
      </c>
      <c r="F1230" s="1">
        <f>IFERROR(__xludf.DUMMYFUNCTION("""COMPUTED_VALUE"""),183082.0)</f>
        <v>183082</v>
      </c>
    </row>
    <row r="1231">
      <c r="A1231" s="2">
        <f>IFERROR(__xludf.DUMMYFUNCTION("""COMPUTED_VALUE"""),40952.666666666664)</f>
        <v>40952.66667</v>
      </c>
      <c r="B1231" s="1">
        <f>IFERROR(__xludf.DUMMYFUNCTION("""COMPUTED_VALUE"""),1.7)</f>
        <v>1.7</v>
      </c>
      <c r="C1231" s="1">
        <f>IFERROR(__xludf.DUMMYFUNCTION("""COMPUTED_VALUE"""),1.72)</f>
        <v>1.72</v>
      </c>
      <c r="D1231" s="1">
        <f>IFERROR(__xludf.DUMMYFUNCTION("""COMPUTED_VALUE"""),1.67)</f>
        <v>1.67</v>
      </c>
      <c r="E1231" s="1">
        <f>IFERROR(__xludf.DUMMYFUNCTION("""COMPUTED_VALUE"""),1.71)</f>
        <v>1.71</v>
      </c>
      <c r="F1231" s="1">
        <f>IFERROR(__xludf.DUMMYFUNCTION("""COMPUTED_VALUE"""),156186.0)</f>
        <v>156186</v>
      </c>
    </row>
    <row r="1232">
      <c r="A1232" s="2">
        <f>IFERROR(__xludf.DUMMYFUNCTION("""COMPUTED_VALUE"""),40953.666666666664)</f>
        <v>40953.66667</v>
      </c>
      <c r="B1232" s="1">
        <f>IFERROR(__xludf.DUMMYFUNCTION("""COMPUTED_VALUE"""),1.71)</f>
        <v>1.71</v>
      </c>
      <c r="C1232" s="1">
        <f>IFERROR(__xludf.DUMMYFUNCTION("""COMPUTED_VALUE"""),1.73)</f>
        <v>1.73</v>
      </c>
      <c r="D1232" s="1">
        <f>IFERROR(__xludf.DUMMYFUNCTION("""COMPUTED_VALUE"""),1.69)</f>
        <v>1.69</v>
      </c>
      <c r="E1232" s="1">
        <f>IFERROR(__xludf.DUMMYFUNCTION("""COMPUTED_VALUE"""),1.71)</f>
        <v>1.71</v>
      </c>
      <c r="F1232" s="1">
        <f>IFERROR(__xludf.DUMMYFUNCTION("""COMPUTED_VALUE"""),137443.0)</f>
        <v>137443</v>
      </c>
    </row>
    <row r="1233">
      <c r="A1233" s="2">
        <f>IFERROR(__xludf.DUMMYFUNCTION("""COMPUTED_VALUE"""),40954.666666666664)</f>
        <v>40954.66667</v>
      </c>
      <c r="B1233" s="1">
        <f>IFERROR(__xludf.DUMMYFUNCTION("""COMPUTED_VALUE"""),1.72)</f>
        <v>1.72</v>
      </c>
      <c r="C1233" s="1">
        <f>IFERROR(__xludf.DUMMYFUNCTION("""COMPUTED_VALUE"""),1.72)</f>
        <v>1.72</v>
      </c>
      <c r="D1233" s="1">
        <f>IFERROR(__xludf.DUMMYFUNCTION("""COMPUTED_VALUE"""),1.7)</f>
        <v>1.7</v>
      </c>
      <c r="E1233" s="1">
        <f>IFERROR(__xludf.DUMMYFUNCTION("""COMPUTED_VALUE"""),1.71)</f>
        <v>1.71</v>
      </c>
      <c r="F1233" s="1">
        <f>IFERROR(__xludf.DUMMYFUNCTION("""COMPUTED_VALUE"""),138169.0)</f>
        <v>138169</v>
      </c>
    </row>
    <row r="1234">
      <c r="A1234" s="2">
        <f>IFERROR(__xludf.DUMMYFUNCTION("""COMPUTED_VALUE"""),40955.666666666664)</f>
        <v>40955.66667</v>
      </c>
      <c r="B1234" s="1">
        <f>IFERROR(__xludf.DUMMYFUNCTION("""COMPUTED_VALUE"""),1.7)</f>
        <v>1.7</v>
      </c>
      <c r="C1234" s="1">
        <f>IFERROR(__xludf.DUMMYFUNCTION("""COMPUTED_VALUE"""),1.77)</f>
        <v>1.77</v>
      </c>
      <c r="D1234" s="1">
        <f>IFERROR(__xludf.DUMMYFUNCTION("""COMPUTED_VALUE"""),1.7)</f>
        <v>1.7</v>
      </c>
      <c r="E1234" s="1">
        <f>IFERROR(__xludf.DUMMYFUNCTION("""COMPUTED_VALUE"""),1.77)</f>
        <v>1.77</v>
      </c>
      <c r="F1234" s="1">
        <f>IFERROR(__xludf.DUMMYFUNCTION("""COMPUTED_VALUE"""),231688.0)</f>
        <v>231688</v>
      </c>
    </row>
    <row r="1235">
      <c r="A1235" s="2">
        <f>IFERROR(__xludf.DUMMYFUNCTION("""COMPUTED_VALUE"""),40956.666666666664)</f>
        <v>40956.66667</v>
      </c>
      <c r="B1235" s="1">
        <f>IFERROR(__xludf.DUMMYFUNCTION("""COMPUTED_VALUE"""),1.77)</f>
        <v>1.77</v>
      </c>
      <c r="C1235" s="1">
        <f>IFERROR(__xludf.DUMMYFUNCTION("""COMPUTED_VALUE"""),1.78)</f>
        <v>1.78</v>
      </c>
      <c r="D1235" s="1">
        <f>IFERROR(__xludf.DUMMYFUNCTION("""COMPUTED_VALUE"""),1.76)</f>
        <v>1.76</v>
      </c>
      <c r="E1235" s="1">
        <f>IFERROR(__xludf.DUMMYFUNCTION("""COMPUTED_VALUE"""),1.77)</f>
        <v>1.77</v>
      </c>
      <c r="F1235" s="1">
        <f>IFERROR(__xludf.DUMMYFUNCTION("""COMPUTED_VALUE"""),147081.0)</f>
        <v>147081</v>
      </c>
    </row>
    <row r="1236">
      <c r="A1236" s="2">
        <f>IFERROR(__xludf.DUMMYFUNCTION("""COMPUTED_VALUE"""),40960.666666666664)</f>
        <v>40960.66667</v>
      </c>
      <c r="B1236" s="1">
        <f>IFERROR(__xludf.DUMMYFUNCTION("""COMPUTED_VALUE"""),1.77)</f>
        <v>1.77</v>
      </c>
      <c r="C1236" s="1">
        <f>IFERROR(__xludf.DUMMYFUNCTION("""COMPUTED_VALUE"""),1.78)</f>
        <v>1.78</v>
      </c>
      <c r="D1236" s="1">
        <f>IFERROR(__xludf.DUMMYFUNCTION("""COMPUTED_VALUE"""),1.74)</f>
        <v>1.74</v>
      </c>
      <c r="E1236" s="1">
        <f>IFERROR(__xludf.DUMMYFUNCTION("""COMPUTED_VALUE"""),1.75)</f>
        <v>1.75</v>
      </c>
      <c r="F1236" s="1">
        <f>IFERROR(__xludf.DUMMYFUNCTION("""COMPUTED_VALUE"""),97598.0)</f>
        <v>97598</v>
      </c>
    </row>
    <row r="1237">
      <c r="A1237" s="2">
        <f>IFERROR(__xludf.DUMMYFUNCTION("""COMPUTED_VALUE"""),40961.666666666664)</f>
        <v>40961.66667</v>
      </c>
      <c r="B1237" s="1">
        <f>IFERROR(__xludf.DUMMYFUNCTION("""COMPUTED_VALUE"""),1.76)</f>
        <v>1.76</v>
      </c>
      <c r="C1237" s="1">
        <f>IFERROR(__xludf.DUMMYFUNCTION("""COMPUTED_VALUE"""),1.76)</f>
        <v>1.76</v>
      </c>
      <c r="D1237" s="1">
        <f>IFERROR(__xludf.DUMMYFUNCTION("""COMPUTED_VALUE"""),1.71)</f>
        <v>1.71</v>
      </c>
      <c r="E1237" s="1">
        <f>IFERROR(__xludf.DUMMYFUNCTION("""COMPUTED_VALUE"""),1.71)</f>
        <v>1.71</v>
      </c>
      <c r="F1237" s="1">
        <f>IFERROR(__xludf.DUMMYFUNCTION("""COMPUTED_VALUE"""),64093.0)</f>
        <v>64093</v>
      </c>
    </row>
    <row r="1238">
      <c r="A1238" s="2">
        <f>IFERROR(__xludf.DUMMYFUNCTION("""COMPUTED_VALUE"""),40962.666666666664)</f>
        <v>40962.66667</v>
      </c>
      <c r="B1238" s="1">
        <f>IFERROR(__xludf.DUMMYFUNCTION("""COMPUTED_VALUE"""),1.71)</f>
        <v>1.71</v>
      </c>
      <c r="C1238" s="1">
        <f>IFERROR(__xludf.DUMMYFUNCTION("""COMPUTED_VALUE"""),1.76)</f>
        <v>1.76</v>
      </c>
      <c r="D1238" s="1">
        <f>IFERROR(__xludf.DUMMYFUNCTION("""COMPUTED_VALUE"""),1.69)</f>
        <v>1.69</v>
      </c>
      <c r="E1238" s="1">
        <f>IFERROR(__xludf.DUMMYFUNCTION("""COMPUTED_VALUE"""),1.76)</f>
        <v>1.76</v>
      </c>
      <c r="F1238" s="1">
        <f>IFERROR(__xludf.DUMMYFUNCTION("""COMPUTED_VALUE"""),147712.0)</f>
        <v>147712</v>
      </c>
    </row>
    <row r="1239">
      <c r="A1239" s="2">
        <f>IFERROR(__xludf.DUMMYFUNCTION("""COMPUTED_VALUE"""),40963.666666666664)</f>
        <v>40963.66667</v>
      </c>
      <c r="B1239" s="1">
        <f>IFERROR(__xludf.DUMMYFUNCTION("""COMPUTED_VALUE"""),1.76)</f>
        <v>1.76</v>
      </c>
      <c r="C1239" s="1">
        <f>IFERROR(__xludf.DUMMYFUNCTION("""COMPUTED_VALUE"""),1.76)</f>
        <v>1.76</v>
      </c>
      <c r="D1239" s="1">
        <f>IFERROR(__xludf.DUMMYFUNCTION("""COMPUTED_VALUE"""),1.73)</f>
        <v>1.73</v>
      </c>
      <c r="E1239" s="1">
        <f>IFERROR(__xludf.DUMMYFUNCTION("""COMPUTED_VALUE"""),1.74)</f>
        <v>1.74</v>
      </c>
      <c r="F1239" s="1">
        <f>IFERROR(__xludf.DUMMYFUNCTION("""COMPUTED_VALUE"""),102579.0)</f>
        <v>102579</v>
      </c>
    </row>
    <row r="1240">
      <c r="A1240" s="2">
        <f>IFERROR(__xludf.DUMMYFUNCTION("""COMPUTED_VALUE"""),40966.666666666664)</f>
        <v>40966.66667</v>
      </c>
      <c r="B1240" s="1">
        <f>IFERROR(__xludf.DUMMYFUNCTION("""COMPUTED_VALUE"""),1.73)</f>
        <v>1.73</v>
      </c>
      <c r="C1240" s="1">
        <f>IFERROR(__xludf.DUMMYFUNCTION("""COMPUTED_VALUE"""),1.76)</f>
        <v>1.76</v>
      </c>
      <c r="D1240" s="1">
        <f>IFERROR(__xludf.DUMMYFUNCTION("""COMPUTED_VALUE"""),1.7)</f>
        <v>1.7</v>
      </c>
      <c r="E1240" s="1">
        <f>IFERROR(__xludf.DUMMYFUNCTION("""COMPUTED_VALUE"""),1.75)</f>
        <v>1.75</v>
      </c>
      <c r="F1240" s="1">
        <f>IFERROR(__xludf.DUMMYFUNCTION("""COMPUTED_VALUE"""),170245.0)</f>
        <v>170245</v>
      </c>
    </row>
    <row r="1241">
      <c r="A1241" s="2">
        <f>IFERROR(__xludf.DUMMYFUNCTION("""COMPUTED_VALUE"""),40967.666666666664)</f>
        <v>40967.66667</v>
      </c>
      <c r="B1241" s="1">
        <f>IFERROR(__xludf.DUMMYFUNCTION("""COMPUTED_VALUE"""),1.75)</f>
        <v>1.75</v>
      </c>
      <c r="C1241" s="1">
        <f>IFERROR(__xludf.DUMMYFUNCTION("""COMPUTED_VALUE"""),1.76)</f>
        <v>1.76</v>
      </c>
      <c r="D1241" s="1">
        <f>IFERROR(__xludf.DUMMYFUNCTION("""COMPUTED_VALUE"""),1.72)</f>
        <v>1.72</v>
      </c>
      <c r="E1241" s="1">
        <f>IFERROR(__xludf.DUMMYFUNCTION("""COMPUTED_VALUE"""),1.72)</f>
        <v>1.72</v>
      </c>
      <c r="F1241" s="1">
        <f>IFERROR(__xludf.DUMMYFUNCTION("""COMPUTED_VALUE"""),111701.0)</f>
        <v>111701</v>
      </c>
    </row>
    <row r="1242">
      <c r="A1242" s="2">
        <f>IFERROR(__xludf.DUMMYFUNCTION("""COMPUTED_VALUE"""),40968.666666666664)</f>
        <v>40968.66667</v>
      </c>
      <c r="B1242" s="1">
        <f>IFERROR(__xludf.DUMMYFUNCTION("""COMPUTED_VALUE"""),1.72)</f>
        <v>1.72</v>
      </c>
      <c r="C1242" s="1">
        <f>IFERROR(__xludf.DUMMYFUNCTION("""COMPUTED_VALUE"""),1.73)</f>
        <v>1.73</v>
      </c>
      <c r="D1242" s="1">
        <f>IFERROR(__xludf.DUMMYFUNCTION("""COMPUTED_VALUE"""),1.65)</f>
        <v>1.65</v>
      </c>
      <c r="E1242" s="1">
        <f>IFERROR(__xludf.DUMMYFUNCTION("""COMPUTED_VALUE"""),1.65)</f>
        <v>1.65</v>
      </c>
      <c r="F1242" s="1">
        <f>IFERROR(__xludf.DUMMYFUNCTION("""COMPUTED_VALUE"""),304164.0)</f>
        <v>304164</v>
      </c>
    </row>
    <row r="1243">
      <c r="A1243" s="2">
        <f>IFERROR(__xludf.DUMMYFUNCTION("""COMPUTED_VALUE"""),40969.666666666664)</f>
        <v>40969.66667</v>
      </c>
      <c r="B1243" s="1">
        <f>IFERROR(__xludf.DUMMYFUNCTION("""COMPUTED_VALUE"""),1.67)</f>
        <v>1.67</v>
      </c>
      <c r="C1243" s="1">
        <f>IFERROR(__xludf.DUMMYFUNCTION("""COMPUTED_VALUE"""),1.7)</f>
        <v>1.7</v>
      </c>
      <c r="D1243" s="1">
        <f>IFERROR(__xludf.DUMMYFUNCTION("""COMPUTED_VALUE"""),1.66)</f>
        <v>1.66</v>
      </c>
      <c r="E1243" s="1">
        <f>IFERROR(__xludf.DUMMYFUNCTION("""COMPUTED_VALUE"""),1.66)</f>
        <v>1.66</v>
      </c>
      <c r="F1243" s="1">
        <f>IFERROR(__xludf.DUMMYFUNCTION("""COMPUTED_VALUE"""),89871.0)</f>
        <v>89871</v>
      </c>
    </row>
    <row r="1244">
      <c r="A1244" s="2">
        <f>IFERROR(__xludf.DUMMYFUNCTION("""COMPUTED_VALUE"""),40970.666666666664)</f>
        <v>40970.66667</v>
      </c>
      <c r="B1244" s="1">
        <f>IFERROR(__xludf.DUMMYFUNCTION("""COMPUTED_VALUE"""),1.66)</f>
        <v>1.66</v>
      </c>
      <c r="C1244" s="1">
        <f>IFERROR(__xludf.DUMMYFUNCTION("""COMPUTED_VALUE"""),1.68)</f>
        <v>1.68</v>
      </c>
      <c r="D1244" s="1">
        <f>IFERROR(__xludf.DUMMYFUNCTION("""COMPUTED_VALUE"""),1.62)</f>
        <v>1.62</v>
      </c>
      <c r="E1244" s="1">
        <f>IFERROR(__xludf.DUMMYFUNCTION("""COMPUTED_VALUE"""),1.67)</f>
        <v>1.67</v>
      </c>
      <c r="F1244" s="1">
        <f>IFERROR(__xludf.DUMMYFUNCTION("""COMPUTED_VALUE"""),118325.0)</f>
        <v>118325</v>
      </c>
    </row>
    <row r="1245">
      <c r="A1245" s="2">
        <f>IFERROR(__xludf.DUMMYFUNCTION("""COMPUTED_VALUE"""),40973.666666666664)</f>
        <v>40973.66667</v>
      </c>
      <c r="B1245" s="1">
        <f>IFERROR(__xludf.DUMMYFUNCTION("""COMPUTED_VALUE"""),1.66)</f>
        <v>1.66</v>
      </c>
      <c r="C1245" s="1">
        <f>IFERROR(__xludf.DUMMYFUNCTION("""COMPUTED_VALUE"""),1.67)</f>
        <v>1.67</v>
      </c>
      <c r="D1245" s="1">
        <f>IFERROR(__xludf.DUMMYFUNCTION("""COMPUTED_VALUE"""),1.64)</f>
        <v>1.64</v>
      </c>
      <c r="E1245" s="1">
        <f>IFERROR(__xludf.DUMMYFUNCTION("""COMPUTED_VALUE"""),1.66)</f>
        <v>1.66</v>
      </c>
      <c r="F1245" s="1">
        <f>IFERROR(__xludf.DUMMYFUNCTION("""COMPUTED_VALUE"""),95609.0)</f>
        <v>95609</v>
      </c>
    </row>
    <row r="1246">
      <c r="A1246" s="2">
        <f>IFERROR(__xludf.DUMMYFUNCTION("""COMPUTED_VALUE"""),40974.666666666664)</f>
        <v>40974.66667</v>
      </c>
      <c r="B1246" s="1">
        <f>IFERROR(__xludf.DUMMYFUNCTION("""COMPUTED_VALUE"""),1.63)</f>
        <v>1.63</v>
      </c>
      <c r="C1246" s="1">
        <f>IFERROR(__xludf.DUMMYFUNCTION("""COMPUTED_VALUE"""),1.66)</f>
        <v>1.66</v>
      </c>
      <c r="D1246" s="1">
        <f>IFERROR(__xludf.DUMMYFUNCTION("""COMPUTED_VALUE"""),1.6)</f>
        <v>1.6</v>
      </c>
      <c r="E1246" s="1">
        <f>IFERROR(__xludf.DUMMYFUNCTION("""COMPUTED_VALUE"""),1.62)</f>
        <v>1.62</v>
      </c>
      <c r="F1246" s="1">
        <f>IFERROR(__xludf.DUMMYFUNCTION("""COMPUTED_VALUE"""),189560.0)</f>
        <v>189560</v>
      </c>
    </row>
    <row r="1247">
      <c r="A1247" s="2">
        <f>IFERROR(__xludf.DUMMYFUNCTION("""COMPUTED_VALUE"""),40975.666666666664)</f>
        <v>40975.66667</v>
      </c>
      <c r="B1247" s="1">
        <f>IFERROR(__xludf.DUMMYFUNCTION("""COMPUTED_VALUE"""),1.62)</f>
        <v>1.62</v>
      </c>
      <c r="C1247" s="1">
        <f>IFERROR(__xludf.DUMMYFUNCTION("""COMPUTED_VALUE"""),1.67)</f>
        <v>1.67</v>
      </c>
      <c r="D1247" s="1">
        <f>IFERROR(__xludf.DUMMYFUNCTION("""COMPUTED_VALUE"""),1.61)</f>
        <v>1.61</v>
      </c>
      <c r="E1247" s="1">
        <f>IFERROR(__xludf.DUMMYFUNCTION("""COMPUTED_VALUE"""),1.67)</f>
        <v>1.67</v>
      </c>
      <c r="F1247" s="1">
        <f>IFERROR(__xludf.DUMMYFUNCTION("""COMPUTED_VALUE"""),169776.0)</f>
        <v>169776</v>
      </c>
    </row>
    <row r="1248">
      <c r="A1248" s="2">
        <f>IFERROR(__xludf.DUMMYFUNCTION("""COMPUTED_VALUE"""),40976.666666666664)</f>
        <v>40976.66667</v>
      </c>
      <c r="B1248" s="1">
        <f>IFERROR(__xludf.DUMMYFUNCTION("""COMPUTED_VALUE"""),1.68)</f>
        <v>1.68</v>
      </c>
      <c r="C1248" s="1">
        <f>IFERROR(__xludf.DUMMYFUNCTION("""COMPUTED_VALUE"""),1.68)</f>
        <v>1.68</v>
      </c>
      <c r="D1248" s="1">
        <f>IFERROR(__xludf.DUMMYFUNCTION("""COMPUTED_VALUE"""),1.64)</f>
        <v>1.64</v>
      </c>
      <c r="E1248" s="1">
        <f>IFERROR(__xludf.DUMMYFUNCTION("""COMPUTED_VALUE"""),1.68)</f>
        <v>1.68</v>
      </c>
      <c r="F1248" s="1">
        <f>IFERROR(__xludf.DUMMYFUNCTION("""COMPUTED_VALUE"""),114758.0)</f>
        <v>114758</v>
      </c>
    </row>
    <row r="1249">
      <c r="A1249" s="2">
        <f>IFERROR(__xludf.DUMMYFUNCTION("""COMPUTED_VALUE"""),40977.666666666664)</f>
        <v>40977.66667</v>
      </c>
      <c r="B1249" s="1">
        <f>IFERROR(__xludf.DUMMYFUNCTION("""COMPUTED_VALUE"""),1.68)</f>
        <v>1.68</v>
      </c>
      <c r="C1249" s="1">
        <f>IFERROR(__xludf.DUMMYFUNCTION("""COMPUTED_VALUE"""),1.71)</f>
        <v>1.71</v>
      </c>
      <c r="D1249" s="1">
        <f>IFERROR(__xludf.DUMMYFUNCTION("""COMPUTED_VALUE"""),1.66)</f>
        <v>1.66</v>
      </c>
      <c r="E1249" s="1">
        <f>IFERROR(__xludf.DUMMYFUNCTION("""COMPUTED_VALUE"""),1.7)</f>
        <v>1.7</v>
      </c>
      <c r="F1249" s="1">
        <f>IFERROR(__xludf.DUMMYFUNCTION("""COMPUTED_VALUE"""),163830.0)</f>
        <v>163830</v>
      </c>
    </row>
    <row r="1250">
      <c r="A1250" s="2">
        <f>IFERROR(__xludf.DUMMYFUNCTION("""COMPUTED_VALUE"""),40980.666666666664)</f>
        <v>40980.66667</v>
      </c>
      <c r="B1250" s="1">
        <f>IFERROR(__xludf.DUMMYFUNCTION("""COMPUTED_VALUE"""),1.7)</f>
        <v>1.7</v>
      </c>
      <c r="C1250" s="1">
        <f>IFERROR(__xludf.DUMMYFUNCTION("""COMPUTED_VALUE"""),1.7)</f>
        <v>1.7</v>
      </c>
      <c r="D1250" s="1">
        <f>IFERROR(__xludf.DUMMYFUNCTION("""COMPUTED_VALUE"""),1.68)</f>
        <v>1.68</v>
      </c>
      <c r="E1250" s="1">
        <f>IFERROR(__xludf.DUMMYFUNCTION("""COMPUTED_VALUE"""),1.69)</f>
        <v>1.69</v>
      </c>
      <c r="F1250" s="1">
        <f>IFERROR(__xludf.DUMMYFUNCTION("""COMPUTED_VALUE"""),61311.0)</f>
        <v>61311</v>
      </c>
    </row>
    <row r="1251">
      <c r="A1251" s="2">
        <f>IFERROR(__xludf.DUMMYFUNCTION("""COMPUTED_VALUE"""),40981.666666666664)</f>
        <v>40981.66667</v>
      </c>
      <c r="B1251" s="1">
        <f>IFERROR(__xludf.DUMMYFUNCTION("""COMPUTED_VALUE"""),1.69)</f>
        <v>1.69</v>
      </c>
      <c r="C1251" s="1">
        <f>IFERROR(__xludf.DUMMYFUNCTION("""COMPUTED_VALUE"""),1.7)</f>
        <v>1.7</v>
      </c>
      <c r="D1251" s="1">
        <f>IFERROR(__xludf.DUMMYFUNCTION("""COMPUTED_VALUE"""),1.68)</f>
        <v>1.68</v>
      </c>
      <c r="E1251" s="1">
        <f>IFERROR(__xludf.DUMMYFUNCTION("""COMPUTED_VALUE"""),1.7)</f>
        <v>1.7</v>
      </c>
      <c r="F1251" s="1">
        <f>IFERROR(__xludf.DUMMYFUNCTION("""COMPUTED_VALUE"""),116247.0)</f>
        <v>116247</v>
      </c>
    </row>
    <row r="1252">
      <c r="A1252" s="2">
        <f>IFERROR(__xludf.DUMMYFUNCTION("""COMPUTED_VALUE"""),40982.666666666664)</f>
        <v>40982.66667</v>
      </c>
      <c r="B1252" s="1">
        <f>IFERROR(__xludf.DUMMYFUNCTION("""COMPUTED_VALUE"""),1.69)</f>
        <v>1.69</v>
      </c>
      <c r="C1252" s="1">
        <f>IFERROR(__xludf.DUMMYFUNCTION("""COMPUTED_VALUE"""),1.71)</f>
        <v>1.71</v>
      </c>
      <c r="D1252" s="1">
        <f>IFERROR(__xludf.DUMMYFUNCTION("""COMPUTED_VALUE"""),1.67)</f>
        <v>1.67</v>
      </c>
      <c r="E1252" s="1">
        <f>IFERROR(__xludf.DUMMYFUNCTION("""COMPUTED_VALUE"""),1.68)</f>
        <v>1.68</v>
      </c>
      <c r="F1252" s="1">
        <f>IFERROR(__xludf.DUMMYFUNCTION("""COMPUTED_VALUE"""),40041.0)</f>
        <v>40041</v>
      </c>
    </row>
    <row r="1253">
      <c r="A1253" s="2">
        <f>IFERROR(__xludf.DUMMYFUNCTION("""COMPUTED_VALUE"""),40983.666666666664)</f>
        <v>40983.66667</v>
      </c>
      <c r="B1253" s="1">
        <f>IFERROR(__xludf.DUMMYFUNCTION("""COMPUTED_VALUE"""),1.69)</f>
        <v>1.69</v>
      </c>
      <c r="C1253" s="1">
        <f>IFERROR(__xludf.DUMMYFUNCTION("""COMPUTED_VALUE"""),1.7)</f>
        <v>1.7</v>
      </c>
      <c r="D1253" s="1">
        <f>IFERROR(__xludf.DUMMYFUNCTION("""COMPUTED_VALUE"""),1.65)</f>
        <v>1.65</v>
      </c>
      <c r="E1253" s="1">
        <f>IFERROR(__xludf.DUMMYFUNCTION("""COMPUTED_VALUE"""),1.69)</f>
        <v>1.69</v>
      </c>
      <c r="F1253" s="1">
        <f>IFERROR(__xludf.DUMMYFUNCTION("""COMPUTED_VALUE"""),70773.0)</f>
        <v>70773</v>
      </c>
    </row>
    <row r="1254">
      <c r="A1254" s="2">
        <f>IFERROR(__xludf.DUMMYFUNCTION("""COMPUTED_VALUE"""),40984.666666666664)</f>
        <v>40984.66667</v>
      </c>
      <c r="B1254" s="1">
        <f>IFERROR(__xludf.DUMMYFUNCTION("""COMPUTED_VALUE"""),1.7)</f>
        <v>1.7</v>
      </c>
      <c r="C1254" s="1">
        <f>IFERROR(__xludf.DUMMYFUNCTION("""COMPUTED_VALUE"""),1.7)</f>
        <v>1.7</v>
      </c>
      <c r="D1254" s="1">
        <f>IFERROR(__xludf.DUMMYFUNCTION("""COMPUTED_VALUE"""),1.67)</f>
        <v>1.67</v>
      </c>
      <c r="E1254" s="1">
        <f>IFERROR(__xludf.DUMMYFUNCTION("""COMPUTED_VALUE"""),1.68)</f>
        <v>1.68</v>
      </c>
      <c r="F1254" s="1">
        <f>IFERROR(__xludf.DUMMYFUNCTION("""COMPUTED_VALUE"""),119481.0)</f>
        <v>119481</v>
      </c>
    </row>
    <row r="1255">
      <c r="A1255" s="2">
        <f>IFERROR(__xludf.DUMMYFUNCTION("""COMPUTED_VALUE"""),40987.666666666664)</f>
        <v>40987.66667</v>
      </c>
      <c r="B1255" s="1">
        <f>IFERROR(__xludf.DUMMYFUNCTION("""COMPUTED_VALUE"""),1.67)</f>
        <v>1.67</v>
      </c>
      <c r="C1255" s="1">
        <f>IFERROR(__xludf.DUMMYFUNCTION("""COMPUTED_VALUE"""),1.72)</f>
        <v>1.72</v>
      </c>
      <c r="D1255" s="1">
        <f>IFERROR(__xludf.DUMMYFUNCTION("""COMPUTED_VALUE"""),1.64)</f>
        <v>1.64</v>
      </c>
      <c r="E1255" s="1">
        <f>IFERROR(__xludf.DUMMYFUNCTION("""COMPUTED_VALUE"""),1.7)</f>
        <v>1.7</v>
      </c>
      <c r="F1255" s="1">
        <f>IFERROR(__xludf.DUMMYFUNCTION("""COMPUTED_VALUE"""),52890.0)</f>
        <v>52890</v>
      </c>
    </row>
    <row r="1256">
      <c r="A1256" s="2">
        <f>IFERROR(__xludf.DUMMYFUNCTION("""COMPUTED_VALUE"""),40988.666666666664)</f>
        <v>40988.66667</v>
      </c>
      <c r="B1256" s="1">
        <f>IFERROR(__xludf.DUMMYFUNCTION("""COMPUTED_VALUE"""),1.69)</f>
        <v>1.69</v>
      </c>
      <c r="C1256" s="1">
        <f>IFERROR(__xludf.DUMMYFUNCTION("""COMPUTED_VALUE"""),1.69)</f>
        <v>1.69</v>
      </c>
      <c r="D1256" s="1">
        <f>IFERROR(__xludf.DUMMYFUNCTION("""COMPUTED_VALUE"""),1.65)</f>
        <v>1.65</v>
      </c>
      <c r="E1256" s="1">
        <f>IFERROR(__xludf.DUMMYFUNCTION("""COMPUTED_VALUE"""),1.68)</f>
        <v>1.68</v>
      </c>
      <c r="F1256" s="1">
        <f>IFERROR(__xludf.DUMMYFUNCTION("""COMPUTED_VALUE"""),73107.0)</f>
        <v>73107</v>
      </c>
    </row>
    <row r="1257">
      <c r="A1257" s="2">
        <f>IFERROR(__xludf.DUMMYFUNCTION("""COMPUTED_VALUE"""),40989.666666666664)</f>
        <v>40989.66667</v>
      </c>
      <c r="B1257" s="1">
        <f>IFERROR(__xludf.DUMMYFUNCTION("""COMPUTED_VALUE"""),1.68)</f>
        <v>1.68</v>
      </c>
      <c r="C1257" s="1">
        <f>IFERROR(__xludf.DUMMYFUNCTION("""COMPUTED_VALUE"""),1.69)</f>
        <v>1.69</v>
      </c>
      <c r="D1257" s="1">
        <f>IFERROR(__xludf.DUMMYFUNCTION("""COMPUTED_VALUE"""),1.67)</f>
        <v>1.67</v>
      </c>
      <c r="E1257" s="1">
        <f>IFERROR(__xludf.DUMMYFUNCTION("""COMPUTED_VALUE"""),1.68)</f>
        <v>1.68</v>
      </c>
      <c r="F1257" s="1">
        <f>IFERROR(__xludf.DUMMYFUNCTION("""COMPUTED_VALUE"""),61335.0)</f>
        <v>61335</v>
      </c>
    </row>
    <row r="1258">
      <c r="A1258" s="2">
        <f>IFERROR(__xludf.DUMMYFUNCTION("""COMPUTED_VALUE"""),40990.666666666664)</f>
        <v>40990.66667</v>
      </c>
      <c r="B1258" s="1">
        <f>IFERROR(__xludf.DUMMYFUNCTION("""COMPUTED_VALUE"""),1.66)</f>
        <v>1.66</v>
      </c>
      <c r="C1258" s="1">
        <f>IFERROR(__xludf.DUMMYFUNCTION("""COMPUTED_VALUE"""),1.68)</f>
        <v>1.68</v>
      </c>
      <c r="D1258" s="1">
        <f>IFERROR(__xludf.DUMMYFUNCTION("""COMPUTED_VALUE"""),1.65)</f>
        <v>1.65</v>
      </c>
      <c r="E1258" s="1">
        <f>IFERROR(__xludf.DUMMYFUNCTION("""COMPUTED_VALUE"""),1.68)</f>
        <v>1.68</v>
      </c>
      <c r="F1258" s="1">
        <f>IFERROR(__xludf.DUMMYFUNCTION("""COMPUTED_VALUE"""),81804.0)</f>
        <v>81804</v>
      </c>
    </row>
    <row r="1259">
      <c r="A1259" s="2">
        <f>IFERROR(__xludf.DUMMYFUNCTION("""COMPUTED_VALUE"""),40991.666666666664)</f>
        <v>40991.66667</v>
      </c>
      <c r="B1259" s="1">
        <f>IFERROR(__xludf.DUMMYFUNCTION("""COMPUTED_VALUE"""),1.68)</f>
        <v>1.68</v>
      </c>
      <c r="C1259" s="1">
        <f>IFERROR(__xludf.DUMMYFUNCTION("""COMPUTED_VALUE"""),1.7)</f>
        <v>1.7</v>
      </c>
      <c r="D1259" s="1">
        <f>IFERROR(__xludf.DUMMYFUNCTION("""COMPUTED_VALUE"""),1.67)</f>
        <v>1.67</v>
      </c>
      <c r="E1259" s="1">
        <f>IFERROR(__xludf.DUMMYFUNCTION("""COMPUTED_VALUE"""),1.7)</f>
        <v>1.7</v>
      </c>
      <c r="F1259" s="1">
        <f>IFERROR(__xludf.DUMMYFUNCTION("""COMPUTED_VALUE"""),60392.0)</f>
        <v>60392</v>
      </c>
    </row>
    <row r="1260">
      <c r="A1260" s="2">
        <f>IFERROR(__xludf.DUMMYFUNCTION("""COMPUTED_VALUE"""),40994.666666666664)</f>
        <v>40994.66667</v>
      </c>
      <c r="B1260" s="1">
        <f>IFERROR(__xludf.DUMMYFUNCTION("""COMPUTED_VALUE"""),1.71)</f>
        <v>1.71</v>
      </c>
      <c r="C1260" s="1">
        <f>IFERROR(__xludf.DUMMYFUNCTION("""COMPUTED_VALUE"""),1.76)</f>
        <v>1.76</v>
      </c>
      <c r="D1260" s="1">
        <f>IFERROR(__xludf.DUMMYFUNCTION("""COMPUTED_VALUE"""),1.71)</f>
        <v>1.71</v>
      </c>
      <c r="E1260" s="1">
        <f>IFERROR(__xludf.DUMMYFUNCTION("""COMPUTED_VALUE"""),1.74)</f>
        <v>1.74</v>
      </c>
      <c r="F1260" s="1">
        <f>IFERROR(__xludf.DUMMYFUNCTION("""COMPUTED_VALUE"""),79019.0)</f>
        <v>79019</v>
      </c>
    </row>
    <row r="1261">
      <c r="A1261" s="2">
        <f>IFERROR(__xludf.DUMMYFUNCTION("""COMPUTED_VALUE"""),40995.666666666664)</f>
        <v>40995.66667</v>
      </c>
      <c r="B1261" s="1">
        <f>IFERROR(__xludf.DUMMYFUNCTION("""COMPUTED_VALUE"""),1.74)</f>
        <v>1.74</v>
      </c>
      <c r="C1261" s="1">
        <f>IFERROR(__xludf.DUMMYFUNCTION("""COMPUTED_VALUE"""),1.79)</f>
        <v>1.79</v>
      </c>
      <c r="D1261" s="1">
        <f>IFERROR(__xludf.DUMMYFUNCTION("""COMPUTED_VALUE"""),1.74)</f>
        <v>1.74</v>
      </c>
      <c r="E1261" s="1">
        <f>IFERROR(__xludf.DUMMYFUNCTION("""COMPUTED_VALUE"""),1.75)</f>
        <v>1.75</v>
      </c>
      <c r="F1261" s="1">
        <f>IFERROR(__xludf.DUMMYFUNCTION("""COMPUTED_VALUE"""),119718.0)</f>
        <v>119718</v>
      </c>
    </row>
    <row r="1262">
      <c r="A1262" s="2">
        <f>IFERROR(__xludf.DUMMYFUNCTION("""COMPUTED_VALUE"""),40996.666666666664)</f>
        <v>40996.66667</v>
      </c>
      <c r="B1262" s="1">
        <f>IFERROR(__xludf.DUMMYFUNCTION("""COMPUTED_VALUE"""),1.75)</f>
        <v>1.75</v>
      </c>
      <c r="C1262" s="1">
        <f>IFERROR(__xludf.DUMMYFUNCTION("""COMPUTED_VALUE"""),1.76)</f>
        <v>1.76</v>
      </c>
      <c r="D1262" s="1">
        <f>IFERROR(__xludf.DUMMYFUNCTION("""COMPUTED_VALUE"""),1.71)</f>
        <v>1.71</v>
      </c>
      <c r="E1262" s="1">
        <f>IFERROR(__xludf.DUMMYFUNCTION("""COMPUTED_VALUE"""),1.73)</f>
        <v>1.73</v>
      </c>
      <c r="F1262" s="1">
        <f>IFERROR(__xludf.DUMMYFUNCTION("""COMPUTED_VALUE"""),59291.0)</f>
        <v>59291</v>
      </c>
    </row>
    <row r="1263">
      <c r="A1263" s="2">
        <f>IFERROR(__xludf.DUMMYFUNCTION("""COMPUTED_VALUE"""),40997.666666666664)</f>
        <v>40997.66667</v>
      </c>
      <c r="B1263" s="1">
        <f>IFERROR(__xludf.DUMMYFUNCTION("""COMPUTED_VALUE"""),1.71)</f>
        <v>1.71</v>
      </c>
      <c r="C1263" s="1">
        <f>IFERROR(__xludf.DUMMYFUNCTION("""COMPUTED_VALUE"""),1.76)</f>
        <v>1.76</v>
      </c>
      <c r="D1263" s="1">
        <f>IFERROR(__xludf.DUMMYFUNCTION("""COMPUTED_VALUE"""),1.7)</f>
        <v>1.7</v>
      </c>
      <c r="E1263" s="1">
        <f>IFERROR(__xludf.DUMMYFUNCTION("""COMPUTED_VALUE"""),1.76)</f>
        <v>1.76</v>
      </c>
      <c r="F1263" s="1">
        <f>IFERROR(__xludf.DUMMYFUNCTION("""COMPUTED_VALUE"""),106002.0)</f>
        <v>106002</v>
      </c>
    </row>
    <row r="1264">
      <c r="A1264" s="2">
        <f>IFERROR(__xludf.DUMMYFUNCTION("""COMPUTED_VALUE"""),40998.666666666664)</f>
        <v>40998.66667</v>
      </c>
      <c r="B1264" s="1">
        <f>IFERROR(__xludf.DUMMYFUNCTION("""COMPUTED_VALUE"""),1.77)</f>
        <v>1.77</v>
      </c>
      <c r="C1264" s="1">
        <f>IFERROR(__xludf.DUMMYFUNCTION("""COMPUTED_VALUE"""),1.77)</f>
        <v>1.77</v>
      </c>
      <c r="D1264" s="1">
        <f>IFERROR(__xludf.DUMMYFUNCTION("""COMPUTED_VALUE"""),1.72)</f>
        <v>1.72</v>
      </c>
      <c r="E1264" s="1">
        <f>IFERROR(__xludf.DUMMYFUNCTION("""COMPUTED_VALUE"""),1.75)</f>
        <v>1.75</v>
      </c>
      <c r="F1264" s="1">
        <f>IFERROR(__xludf.DUMMYFUNCTION("""COMPUTED_VALUE"""),91719.0)</f>
        <v>91719</v>
      </c>
    </row>
    <row r="1265">
      <c r="A1265" s="2">
        <f>IFERROR(__xludf.DUMMYFUNCTION("""COMPUTED_VALUE"""),41001.666666666664)</f>
        <v>41001.66667</v>
      </c>
      <c r="B1265" s="1">
        <f>IFERROR(__xludf.DUMMYFUNCTION("""COMPUTED_VALUE"""),1.75)</f>
        <v>1.75</v>
      </c>
      <c r="C1265" s="1">
        <f>IFERROR(__xludf.DUMMYFUNCTION("""COMPUTED_VALUE"""),1.76)</f>
        <v>1.76</v>
      </c>
      <c r="D1265" s="1">
        <f>IFERROR(__xludf.DUMMYFUNCTION("""COMPUTED_VALUE"""),1.74)</f>
        <v>1.74</v>
      </c>
      <c r="E1265" s="1">
        <f>IFERROR(__xludf.DUMMYFUNCTION("""COMPUTED_VALUE"""),1.76)</f>
        <v>1.76</v>
      </c>
      <c r="F1265" s="1">
        <f>IFERROR(__xludf.DUMMYFUNCTION("""COMPUTED_VALUE"""),86811.0)</f>
        <v>86811</v>
      </c>
    </row>
    <row r="1266">
      <c r="A1266" s="2">
        <f>IFERROR(__xludf.DUMMYFUNCTION("""COMPUTED_VALUE"""),41002.666666666664)</f>
        <v>41002.66667</v>
      </c>
      <c r="B1266" s="1">
        <f>IFERROR(__xludf.DUMMYFUNCTION("""COMPUTED_VALUE"""),1.76)</f>
        <v>1.76</v>
      </c>
      <c r="C1266" s="1">
        <f>IFERROR(__xludf.DUMMYFUNCTION("""COMPUTED_VALUE"""),1.77)</f>
        <v>1.77</v>
      </c>
      <c r="D1266" s="1">
        <f>IFERROR(__xludf.DUMMYFUNCTION("""COMPUTED_VALUE"""),1.72)</f>
        <v>1.72</v>
      </c>
      <c r="E1266" s="1">
        <f>IFERROR(__xludf.DUMMYFUNCTION("""COMPUTED_VALUE"""),1.76)</f>
        <v>1.76</v>
      </c>
      <c r="F1266" s="1">
        <f>IFERROR(__xludf.DUMMYFUNCTION("""COMPUTED_VALUE"""),90091.0)</f>
        <v>90091</v>
      </c>
    </row>
    <row r="1267">
      <c r="A1267" s="2">
        <f>IFERROR(__xludf.DUMMYFUNCTION("""COMPUTED_VALUE"""),41003.666666666664)</f>
        <v>41003.66667</v>
      </c>
      <c r="B1267" s="1">
        <f>IFERROR(__xludf.DUMMYFUNCTION("""COMPUTED_VALUE"""),1.74)</f>
        <v>1.74</v>
      </c>
      <c r="C1267" s="1">
        <f>IFERROR(__xludf.DUMMYFUNCTION("""COMPUTED_VALUE"""),1.75)</f>
        <v>1.75</v>
      </c>
      <c r="D1267" s="1">
        <f>IFERROR(__xludf.DUMMYFUNCTION("""COMPUTED_VALUE"""),1.73)</f>
        <v>1.73</v>
      </c>
      <c r="E1267" s="1">
        <f>IFERROR(__xludf.DUMMYFUNCTION("""COMPUTED_VALUE"""),1.74)</f>
        <v>1.74</v>
      </c>
      <c r="F1267" s="1">
        <f>IFERROR(__xludf.DUMMYFUNCTION("""COMPUTED_VALUE"""),101488.0)</f>
        <v>101488</v>
      </c>
    </row>
    <row r="1268">
      <c r="A1268" s="2">
        <f>IFERROR(__xludf.DUMMYFUNCTION("""COMPUTED_VALUE"""),41004.666666666664)</f>
        <v>41004.66667</v>
      </c>
      <c r="B1268" s="1">
        <f>IFERROR(__xludf.DUMMYFUNCTION("""COMPUTED_VALUE"""),1.73)</f>
        <v>1.73</v>
      </c>
      <c r="C1268" s="1">
        <f>IFERROR(__xludf.DUMMYFUNCTION("""COMPUTED_VALUE"""),1.76)</f>
        <v>1.76</v>
      </c>
      <c r="D1268" s="1">
        <f>IFERROR(__xludf.DUMMYFUNCTION("""COMPUTED_VALUE"""),1.73)</f>
        <v>1.73</v>
      </c>
      <c r="E1268" s="1">
        <f>IFERROR(__xludf.DUMMYFUNCTION("""COMPUTED_VALUE"""),1.75)</f>
        <v>1.75</v>
      </c>
      <c r="F1268" s="1">
        <f>IFERROR(__xludf.DUMMYFUNCTION("""COMPUTED_VALUE"""),49324.0)</f>
        <v>49324</v>
      </c>
    </row>
    <row r="1269">
      <c r="A1269" s="2">
        <f>IFERROR(__xludf.DUMMYFUNCTION("""COMPUTED_VALUE"""),41008.666666666664)</f>
        <v>41008.66667</v>
      </c>
      <c r="B1269" s="1">
        <f>IFERROR(__xludf.DUMMYFUNCTION("""COMPUTED_VALUE"""),1.73)</f>
        <v>1.73</v>
      </c>
      <c r="C1269" s="1">
        <f>IFERROR(__xludf.DUMMYFUNCTION("""COMPUTED_VALUE"""),1.74)</f>
        <v>1.74</v>
      </c>
      <c r="D1269" s="1">
        <f>IFERROR(__xludf.DUMMYFUNCTION("""COMPUTED_VALUE"""),1.72)</f>
        <v>1.72</v>
      </c>
      <c r="E1269" s="1">
        <f>IFERROR(__xludf.DUMMYFUNCTION("""COMPUTED_VALUE"""),1.72)</f>
        <v>1.72</v>
      </c>
      <c r="F1269" s="1">
        <f>IFERROR(__xludf.DUMMYFUNCTION("""COMPUTED_VALUE"""),128653.0)</f>
        <v>128653</v>
      </c>
    </row>
    <row r="1270">
      <c r="A1270" s="2">
        <f>IFERROR(__xludf.DUMMYFUNCTION("""COMPUTED_VALUE"""),41009.666666666664)</f>
        <v>41009.66667</v>
      </c>
      <c r="B1270" s="1">
        <f>IFERROR(__xludf.DUMMYFUNCTION("""COMPUTED_VALUE"""),1.72)</f>
        <v>1.72</v>
      </c>
      <c r="C1270" s="1">
        <f>IFERROR(__xludf.DUMMYFUNCTION("""COMPUTED_VALUE"""),1.73)</f>
        <v>1.73</v>
      </c>
      <c r="D1270" s="1">
        <f>IFERROR(__xludf.DUMMYFUNCTION("""COMPUTED_VALUE"""),1.71)</f>
        <v>1.71</v>
      </c>
      <c r="E1270" s="1">
        <f>IFERROR(__xludf.DUMMYFUNCTION("""COMPUTED_VALUE"""),1.71)</f>
        <v>1.71</v>
      </c>
      <c r="F1270" s="1">
        <f>IFERROR(__xludf.DUMMYFUNCTION("""COMPUTED_VALUE"""),140636.0)</f>
        <v>140636</v>
      </c>
    </row>
    <row r="1271">
      <c r="A1271" s="2">
        <f>IFERROR(__xludf.DUMMYFUNCTION("""COMPUTED_VALUE"""),41010.666666666664)</f>
        <v>41010.66667</v>
      </c>
      <c r="B1271" s="1">
        <f>IFERROR(__xludf.DUMMYFUNCTION("""COMPUTED_VALUE"""),1.73)</f>
        <v>1.73</v>
      </c>
      <c r="C1271" s="1">
        <f>IFERROR(__xludf.DUMMYFUNCTION("""COMPUTED_VALUE"""),1.73)</f>
        <v>1.73</v>
      </c>
      <c r="D1271" s="1">
        <f>IFERROR(__xludf.DUMMYFUNCTION("""COMPUTED_VALUE"""),1.7)</f>
        <v>1.7</v>
      </c>
      <c r="E1271" s="1">
        <f>IFERROR(__xludf.DUMMYFUNCTION("""COMPUTED_VALUE"""),1.72)</f>
        <v>1.72</v>
      </c>
      <c r="F1271" s="1">
        <f>IFERROR(__xludf.DUMMYFUNCTION("""COMPUTED_VALUE"""),94270.0)</f>
        <v>94270</v>
      </c>
    </row>
    <row r="1272">
      <c r="A1272" s="2">
        <f>IFERROR(__xludf.DUMMYFUNCTION("""COMPUTED_VALUE"""),41011.666666666664)</f>
        <v>41011.66667</v>
      </c>
      <c r="B1272" s="1">
        <f>IFERROR(__xludf.DUMMYFUNCTION("""COMPUTED_VALUE"""),1.72)</f>
        <v>1.72</v>
      </c>
      <c r="C1272" s="1">
        <f>IFERROR(__xludf.DUMMYFUNCTION("""COMPUTED_VALUE"""),1.73)</f>
        <v>1.73</v>
      </c>
      <c r="D1272" s="1">
        <f>IFERROR(__xludf.DUMMYFUNCTION("""COMPUTED_VALUE"""),1.7)</f>
        <v>1.7</v>
      </c>
      <c r="E1272" s="1">
        <f>IFERROR(__xludf.DUMMYFUNCTION("""COMPUTED_VALUE"""),1.72)</f>
        <v>1.72</v>
      </c>
      <c r="F1272" s="1">
        <f>IFERROR(__xludf.DUMMYFUNCTION("""COMPUTED_VALUE"""),166135.0)</f>
        <v>166135</v>
      </c>
    </row>
    <row r="1273">
      <c r="A1273" s="2">
        <f>IFERROR(__xludf.DUMMYFUNCTION("""COMPUTED_VALUE"""),41012.666666666664)</f>
        <v>41012.66667</v>
      </c>
      <c r="B1273" s="1">
        <f>IFERROR(__xludf.DUMMYFUNCTION("""COMPUTED_VALUE"""),1.71)</f>
        <v>1.71</v>
      </c>
      <c r="C1273" s="1">
        <f>IFERROR(__xludf.DUMMYFUNCTION("""COMPUTED_VALUE"""),1.71)</f>
        <v>1.71</v>
      </c>
      <c r="D1273" s="1">
        <f>IFERROR(__xludf.DUMMYFUNCTION("""COMPUTED_VALUE"""),1.67)</f>
        <v>1.67</v>
      </c>
      <c r="E1273" s="1">
        <f>IFERROR(__xludf.DUMMYFUNCTION("""COMPUTED_VALUE"""),1.67)</f>
        <v>1.67</v>
      </c>
      <c r="F1273" s="1">
        <f>IFERROR(__xludf.DUMMYFUNCTION("""COMPUTED_VALUE"""),74723.0)</f>
        <v>74723</v>
      </c>
    </row>
    <row r="1274">
      <c r="A1274" s="2">
        <f>IFERROR(__xludf.DUMMYFUNCTION("""COMPUTED_VALUE"""),41015.666666666664)</f>
        <v>41015.66667</v>
      </c>
      <c r="B1274" s="1">
        <f>IFERROR(__xludf.DUMMYFUNCTION("""COMPUTED_VALUE"""),1.68)</f>
        <v>1.68</v>
      </c>
      <c r="C1274" s="1">
        <f>IFERROR(__xludf.DUMMYFUNCTION("""COMPUTED_VALUE"""),1.7)</f>
        <v>1.7</v>
      </c>
      <c r="D1274" s="1">
        <f>IFERROR(__xludf.DUMMYFUNCTION("""COMPUTED_VALUE"""),1.68)</f>
        <v>1.68</v>
      </c>
      <c r="E1274" s="1">
        <f>IFERROR(__xludf.DUMMYFUNCTION("""COMPUTED_VALUE"""),1.68)</f>
        <v>1.68</v>
      </c>
      <c r="F1274" s="1">
        <f>IFERROR(__xludf.DUMMYFUNCTION("""COMPUTED_VALUE"""),74480.0)</f>
        <v>74480</v>
      </c>
    </row>
    <row r="1275">
      <c r="A1275" s="2">
        <f>IFERROR(__xludf.DUMMYFUNCTION("""COMPUTED_VALUE"""),41016.666666666664)</f>
        <v>41016.66667</v>
      </c>
      <c r="B1275" s="1">
        <f>IFERROR(__xludf.DUMMYFUNCTION("""COMPUTED_VALUE"""),1.7)</f>
        <v>1.7</v>
      </c>
      <c r="C1275" s="1">
        <f>IFERROR(__xludf.DUMMYFUNCTION("""COMPUTED_VALUE"""),1.72)</f>
        <v>1.72</v>
      </c>
      <c r="D1275" s="1">
        <f>IFERROR(__xludf.DUMMYFUNCTION("""COMPUTED_VALUE"""),1.69)</f>
        <v>1.69</v>
      </c>
      <c r="E1275" s="1">
        <f>IFERROR(__xludf.DUMMYFUNCTION("""COMPUTED_VALUE"""),1.7)</f>
        <v>1.7</v>
      </c>
      <c r="F1275" s="1">
        <f>IFERROR(__xludf.DUMMYFUNCTION("""COMPUTED_VALUE"""),76709.0)</f>
        <v>76709</v>
      </c>
    </row>
    <row r="1276">
      <c r="A1276" s="2">
        <f>IFERROR(__xludf.DUMMYFUNCTION("""COMPUTED_VALUE"""),41017.666666666664)</f>
        <v>41017.66667</v>
      </c>
      <c r="B1276" s="1">
        <f>IFERROR(__xludf.DUMMYFUNCTION("""COMPUTED_VALUE"""),1.7)</f>
        <v>1.7</v>
      </c>
      <c r="C1276" s="1">
        <f>IFERROR(__xludf.DUMMYFUNCTION("""COMPUTED_VALUE"""),1.71)</f>
        <v>1.71</v>
      </c>
      <c r="D1276" s="1">
        <f>IFERROR(__xludf.DUMMYFUNCTION("""COMPUTED_VALUE"""),1.67)</f>
        <v>1.67</v>
      </c>
      <c r="E1276" s="1">
        <f>IFERROR(__xludf.DUMMYFUNCTION("""COMPUTED_VALUE"""),1.7)</f>
        <v>1.7</v>
      </c>
      <c r="F1276" s="1">
        <f>IFERROR(__xludf.DUMMYFUNCTION("""COMPUTED_VALUE"""),106900.0)</f>
        <v>106900</v>
      </c>
    </row>
    <row r="1277">
      <c r="A1277" s="2">
        <f>IFERROR(__xludf.DUMMYFUNCTION("""COMPUTED_VALUE"""),41018.666666666664)</f>
        <v>41018.66667</v>
      </c>
      <c r="B1277" s="1">
        <f>IFERROR(__xludf.DUMMYFUNCTION("""COMPUTED_VALUE"""),1.7)</f>
        <v>1.7</v>
      </c>
      <c r="C1277" s="1">
        <f>IFERROR(__xludf.DUMMYFUNCTION("""COMPUTED_VALUE"""),1.73)</f>
        <v>1.73</v>
      </c>
      <c r="D1277" s="1">
        <f>IFERROR(__xludf.DUMMYFUNCTION("""COMPUTED_VALUE"""),1.68)</f>
        <v>1.68</v>
      </c>
      <c r="E1277" s="1">
        <f>IFERROR(__xludf.DUMMYFUNCTION("""COMPUTED_VALUE"""),1.71)</f>
        <v>1.71</v>
      </c>
      <c r="F1277" s="1">
        <f>IFERROR(__xludf.DUMMYFUNCTION("""COMPUTED_VALUE"""),129616.0)</f>
        <v>129616</v>
      </c>
    </row>
    <row r="1278">
      <c r="A1278" s="2">
        <f>IFERROR(__xludf.DUMMYFUNCTION("""COMPUTED_VALUE"""),41019.666666666664)</f>
        <v>41019.66667</v>
      </c>
      <c r="B1278" s="1">
        <f>IFERROR(__xludf.DUMMYFUNCTION("""COMPUTED_VALUE"""),1.73)</f>
        <v>1.73</v>
      </c>
      <c r="C1278" s="1">
        <f>IFERROR(__xludf.DUMMYFUNCTION("""COMPUTED_VALUE"""),1.73)</f>
        <v>1.73</v>
      </c>
      <c r="D1278" s="1">
        <f>IFERROR(__xludf.DUMMYFUNCTION("""COMPUTED_VALUE"""),1.69)</f>
        <v>1.69</v>
      </c>
      <c r="E1278" s="1">
        <f>IFERROR(__xludf.DUMMYFUNCTION("""COMPUTED_VALUE"""),1.72)</f>
        <v>1.72</v>
      </c>
      <c r="F1278" s="1">
        <f>IFERROR(__xludf.DUMMYFUNCTION("""COMPUTED_VALUE"""),146814.0)</f>
        <v>146814</v>
      </c>
    </row>
    <row r="1279">
      <c r="A1279" s="2">
        <f>IFERROR(__xludf.DUMMYFUNCTION("""COMPUTED_VALUE"""),41022.666666666664)</f>
        <v>41022.66667</v>
      </c>
      <c r="B1279" s="1">
        <f>IFERROR(__xludf.DUMMYFUNCTION("""COMPUTED_VALUE"""),1.69)</f>
        <v>1.69</v>
      </c>
      <c r="C1279" s="1">
        <f>IFERROR(__xludf.DUMMYFUNCTION("""COMPUTED_VALUE"""),1.74)</f>
        <v>1.74</v>
      </c>
      <c r="D1279" s="1">
        <f>IFERROR(__xludf.DUMMYFUNCTION("""COMPUTED_VALUE"""),1.68)</f>
        <v>1.68</v>
      </c>
      <c r="E1279" s="1">
        <f>IFERROR(__xludf.DUMMYFUNCTION("""COMPUTED_VALUE"""),1.73)</f>
        <v>1.73</v>
      </c>
      <c r="F1279" s="1">
        <f>IFERROR(__xludf.DUMMYFUNCTION("""COMPUTED_VALUE"""),209515.0)</f>
        <v>209515</v>
      </c>
    </row>
    <row r="1280">
      <c r="A1280" s="2">
        <f>IFERROR(__xludf.DUMMYFUNCTION("""COMPUTED_VALUE"""),41023.666666666664)</f>
        <v>41023.66667</v>
      </c>
      <c r="B1280" s="1">
        <f>IFERROR(__xludf.DUMMYFUNCTION("""COMPUTED_VALUE"""),1.73)</f>
        <v>1.73</v>
      </c>
      <c r="C1280" s="1">
        <f>IFERROR(__xludf.DUMMYFUNCTION("""COMPUTED_VALUE"""),1.78)</f>
        <v>1.78</v>
      </c>
      <c r="D1280" s="1">
        <f>IFERROR(__xludf.DUMMYFUNCTION("""COMPUTED_VALUE"""),1.73)</f>
        <v>1.73</v>
      </c>
      <c r="E1280" s="1">
        <f>IFERROR(__xludf.DUMMYFUNCTION("""COMPUTED_VALUE"""),1.78)</f>
        <v>1.78</v>
      </c>
      <c r="F1280" s="1">
        <f>IFERROR(__xludf.DUMMYFUNCTION("""COMPUTED_VALUE"""),338598.0)</f>
        <v>338598</v>
      </c>
    </row>
    <row r="1281">
      <c r="A1281" s="2">
        <f>IFERROR(__xludf.DUMMYFUNCTION("""COMPUTED_VALUE"""),41024.666666666664)</f>
        <v>41024.66667</v>
      </c>
      <c r="B1281" s="1">
        <f>IFERROR(__xludf.DUMMYFUNCTION("""COMPUTED_VALUE"""),1.8)</f>
        <v>1.8</v>
      </c>
      <c r="C1281" s="1">
        <f>IFERROR(__xludf.DUMMYFUNCTION("""COMPUTED_VALUE"""),1.89)</f>
        <v>1.89</v>
      </c>
      <c r="D1281" s="1">
        <f>IFERROR(__xludf.DUMMYFUNCTION("""COMPUTED_VALUE"""),1.78)</f>
        <v>1.78</v>
      </c>
      <c r="E1281" s="1">
        <f>IFERROR(__xludf.DUMMYFUNCTION("""COMPUTED_VALUE"""),1.82)</f>
        <v>1.82</v>
      </c>
      <c r="F1281" s="1">
        <f>IFERROR(__xludf.DUMMYFUNCTION("""COMPUTED_VALUE"""),591525.0)</f>
        <v>591525</v>
      </c>
    </row>
    <row r="1282">
      <c r="A1282" s="2">
        <f>IFERROR(__xludf.DUMMYFUNCTION("""COMPUTED_VALUE"""),41025.666666666664)</f>
        <v>41025.66667</v>
      </c>
      <c r="B1282" s="1">
        <f>IFERROR(__xludf.DUMMYFUNCTION("""COMPUTED_VALUE"""),1.82)</f>
        <v>1.82</v>
      </c>
      <c r="C1282" s="1">
        <f>IFERROR(__xludf.DUMMYFUNCTION("""COMPUTED_VALUE"""),1.85)</f>
        <v>1.85</v>
      </c>
      <c r="D1282" s="1">
        <f>IFERROR(__xludf.DUMMYFUNCTION("""COMPUTED_VALUE"""),1.8)</f>
        <v>1.8</v>
      </c>
      <c r="E1282" s="1">
        <f>IFERROR(__xludf.DUMMYFUNCTION("""COMPUTED_VALUE"""),1.83)</f>
        <v>1.83</v>
      </c>
      <c r="F1282" s="1">
        <f>IFERROR(__xludf.DUMMYFUNCTION("""COMPUTED_VALUE"""),232466.0)</f>
        <v>232466</v>
      </c>
    </row>
    <row r="1283">
      <c r="A1283" s="2">
        <f>IFERROR(__xludf.DUMMYFUNCTION("""COMPUTED_VALUE"""),41026.666666666664)</f>
        <v>41026.66667</v>
      </c>
      <c r="B1283" s="1">
        <f>IFERROR(__xludf.DUMMYFUNCTION("""COMPUTED_VALUE"""),1.83)</f>
        <v>1.83</v>
      </c>
      <c r="C1283" s="1">
        <f>IFERROR(__xludf.DUMMYFUNCTION("""COMPUTED_VALUE"""),1.83)</f>
        <v>1.83</v>
      </c>
      <c r="D1283" s="1">
        <f>IFERROR(__xludf.DUMMYFUNCTION("""COMPUTED_VALUE"""),1.79)</f>
        <v>1.79</v>
      </c>
      <c r="E1283" s="1">
        <f>IFERROR(__xludf.DUMMYFUNCTION("""COMPUTED_VALUE"""),1.8)</f>
        <v>1.8</v>
      </c>
      <c r="F1283" s="1">
        <f>IFERROR(__xludf.DUMMYFUNCTION("""COMPUTED_VALUE"""),230994.0)</f>
        <v>230994</v>
      </c>
    </row>
    <row r="1284">
      <c r="A1284" s="2">
        <f>IFERROR(__xludf.DUMMYFUNCTION("""COMPUTED_VALUE"""),41029.666666666664)</f>
        <v>41029.66667</v>
      </c>
      <c r="B1284" s="1">
        <f>IFERROR(__xludf.DUMMYFUNCTION("""COMPUTED_VALUE"""),1.8)</f>
        <v>1.8</v>
      </c>
      <c r="C1284" s="1">
        <f>IFERROR(__xludf.DUMMYFUNCTION("""COMPUTED_VALUE"""),1.81)</f>
        <v>1.81</v>
      </c>
      <c r="D1284" s="1">
        <f>IFERROR(__xludf.DUMMYFUNCTION("""COMPUTED_VALUE"""),1.76)</f>
        <v>1.76</v>
      </c>
      <c r="E1284" s="1">
        <f>IFERROR(__xludf.DUMMYFUNCTION("""COMPUTED_VALUE"""),1.77)</f>
        <v>1.77</v>
      </c>
      <c r="F1284" s="1">
        <f>IFERROR(__xludf.DUMMYFUNCTION("""COMPUTED_VALUE"""),222725.0)</f>
        <v>222725</v>
      </c>
    </row>
    <row r="1285">
      <c r="A1285" s="2">
        <f>IFERROR(__xludf.DUMMYFUNCTION("""COMPUTED_VALUE"""),41030.666666666664)</f>
        <v>41030.66667</v>
      </c>
      <c r="B1285" s="1">
        <f>IFERROR(__xludf.DUMMYFUNCTION("""COMPUTED_VALUE"""),1.76)</f>
        <v>1.76</v>
      </c>
      <c r="C1285" s="1">
        <f>IFERROR(__xludf.DUMMYFUNCTION("""COMPUTED_VALUE"""),1.81)</f>
        <v>1.81</v>
      </c>
      <c r="D1285" s="1">
        <f>IFERROR(__xludf.DUMMYFUNCTION("""COMPUTED_VALUE"""),1.76)</f>
        <v>1.76</v>
      </c>
      <c r="E1285" s="1">
        <f>IFERROR(__xludf.DUMMYFUNCTION("""COMPUTED_VALUE"""),1.78)</f>
        <v>1.78</v>
      </c>
      <c r="F1285" s="1">
        <f>IFERROR(__xludf.DUMMYFUNCTION("""COMPUTED_VALUE"""),195131.0)</f>
        <v>195131</v>
      </c>
    </row>
    <row r="1286">
      <c r="A1286" s="2">
        <f>IFERROR(__xludf.DUMMYFUNCTION("""COMPUTED_VALUE"""),41031.666666666664)</f>
        <v>41031.66667</v>
      </c>
      <c r="B1286" s="1">
        <f>IFERROR(__xludf.DUMMYFUNCTION("""COMPUTED_VALUE"""),1.76)</f>
        <v>1.76</v>
      </c>
      <c r="C1286" s="1">
        <f>IFERROR(__xludf.DUMMYFUNCTION("""COMPUTED_VALUE"""),1.78)</f>
        <v>1.78</v>
      </c>
      <c r="D1286" s="1">
        <f>IFERROR(__xludf.DUMMYFUNCTION("""COMPUTED_VALUE"""),1.73)</f>
        <v>1.73</v>
      </c>
      <c r="E1286" s="1">
        <f>IFERROR(__xludf.DUMMYFUNCTION("""COMPUTED_VALUE"""),1.74)</f>
        <v>1.74</v>
      </c>
      <c r="F1286" s="1">
        <f>IFERROR(__xludf.DUMMYFUNCTION("""COMPUTED_VALUE"""),229644.0)</f>
        <v>229644</v>
      </c>
    </row>
    <row r="1287">
      <c r="A1287" s="2">
        <f>IFERROR(__xludf.DUMMYFUNCTION("""COMPUTED_VALUE"""),41032.666666666664)</f>
        <v>41032.66667</v>
      </c>
      <c r="B1287" s="1">
        <f>IFERROR(__xludf.DUMMYFUNCTION("""COMPUTED_VALUE"""),1.74)</f>
        <v>1.74</v>
      </c>
      <c r="C1287" s="1">
        <f>IFERROR(__xludf.DUMMYFUNCTION("""COMPUTED_VALUE"""),1.75)</f>
        <v>1.75</v>
      </c>
      <c r="D1287" s="1">
        <f>IFERROR(__xludf.DUMMYFUNCTION("""COMPUTED_VALUE"""),1.7)</f>
        <v>1.7</v>
      </c>
      <c r="E1287" s="1">
        <f>IFERROR(__xludf.DUMMYFUNCTION("""COMPUTED_VALUE"""),1.7)</f>
        <v>1.7</v>
      </c>
      <c r="F1287" s="1">
        <f>IFERROR(__xludf.DUMMYFUNCTION("""COMPUTED_VALUE"""),125314.0)</f>
        <v>125314</v>
      </c>
    </row>
    <row r="1288">
      <c r="A1288" s="2">
        <f>IFERROR(__xludf.DUMMYFUNCTION("""COMPUTED_VALUE"""),41033.666666666664)</f>
        <v>41033.66667</v>
      </c>
      <c r="B1288" s="1">
        <f>IFERROR(__xludf.DUMMYFUNCTION("""COMPUTED_VALUE"""),1.69)</f>
        <v>1.69</v>
      </c>
      <c r="C1288" s="1">
        <f>IFERROR(__xludf.DUMMYFUNCTION("""COMPUTED_VALUE"""),1.69)</f>
        <v>1.69</v>
      </c>
      <c r="D1288" s="1">
        <f>IFERROR(__xludf.DUMMYFUNCTION("""COMPUTED_VALUE"""),1.66)</f>
        <v>1.66</v>
      </c>
      <c r="E1288" s="1">
        <f>IFERROR(__xludf.DUMMYFUNCTION("""COMPUTED_VALUE"""),1.67)</f>
        <v>1.67</v>
      </c>
      <c r="F1288" s="1">
        <f>IFERROR(__xludf.DUMMYFUNCTION("""COMPUTED_VALUE"""),161826.0)</f>
        <v>161826</v>
      </c>
    </row>
    <row r="1289">
      <c r="A1289" s="2">
        <f>IFERROR(__xludf.DUMMYFUNCTION("""COMPUTED_VALUE"""),41036.666666666664)</f>
        <v>41036.66667</v>
      </c>
      <c r="B1289" s="1">
        <f>IFERROR(__xludf.DUMMYFUNCTION("""COMPUTED_VALUE"""),1.66)</f>
        <v>1.66</v>
      </c>
      <c r="C1289" s="1">
        <f>IFERROR(__xludf.DUMMYFUNCTION("""COMPUTED_VALUE"""),1.68)</f>
        <v>1.68</v>
      </c>
      <c r="D1289" s="1">
        <f>IFERROR(__xludf.DUMMYFUNCTION("""COMPUTED_VALUE"""),1.65)</f>
        <v>1.65</v>
      </c>
      <c r="E1289" s="1">
        <f>IFERROR(__xludf.DUMMYFUNCTION("""COMPUTED_VALUE"""),1.65)</f>
        <v>1.65</v>
      </c>
      <c r="F1289" s="1">
        <f>IFERROR(__xludf.DUMMYFUNCTION("""COMPUTED_VALUE"""),39510.0)</f>
        <v>39510</v>
      </c>
    </row>
    <row r="1290">
      <c r="A1290" s="2">
        <f>IFERROR(__xludf.DUMMYFUNCTION("""COMPUTED_VALUE"""),41037.666666666664)</f>
        <v>41037.66667</v>
      </c>
      <c r="B1290" s="1">
        <f>IFERROR(__xludf.DUMMYFUNCTION("""COMPUTED_VALUE"""),1.65)</f>
        <v>1.65</v>
      </c>
      <c r="C1290" s="1">
        <f>IFERROR(__xludf.DUMMYFUNCTION("""COMPUTED_VALUE"""),1.66)</f>
        <v>1.66</v>
      </c>
      <c r="D1290" s="1">
        <f>IFERROR(__xludf.DUMMYFUNCTION("""COMPUTED_VALUE"""),1.63)</f>
        <v>1.63</v>
      </c>
      <c r="E1290" s="1">
        <f>IFERROR(__xludf.DUMMYFUNCTION("""COMPUTED_VALUE"""),1.63)</f>
        <v>1.63</v>
      </c>
      <c r="F1290" s="1">
        <f>IFERROR(__xludf.DUMMYFUNCTION("""COMPUTED_VALUE"""),307178.0)</f>
        <v>307178</v>
      </c>
    </row>
    <row r="1291">
      <c r="A1291" s="2">
        <f>IFERROR(__xludf.DUMMYFUNCTION("""COMPUTED_VALUE"""),41038.666666666664)</f>
        <v>41038.66667</v>
      </c>
      <c r="B1291" s="1">
        <f>IFERROR(__xludf.DUMMYFUNCTION("""COMPUTED_VALUE"""),1.61)</f>
        <v>1.61</v>
      </c>
      <c r="C1291" s="1">
        <f>IFERROR(__xludf.DUMMYFUNCTION("""COMPUTED_VALUE"""),1.69)</f>
        <v>1.69</v>
      </c>
      <c r="D1291" s="1">
        <f>IFERROR(__xludf.DUMMYFUNCTION("""COMPUTED_VALUE"""),1.6)</f>
        <v>1.6</v>
      </c>
      <c r="E1291" s="1">
        <f>IFERROR(__xludf.DUMMYFUNCTION("""COMPUTED_VALUE"""),1.69)</f>
        <v>1.69</v>
      </c>
      <c r="F1291" s="1">
        <f>IFERROR(__xludf.DUMMYFUNCTION("""COMPUTED_VALUE"""),211099.0)</f>
        <v>211099</v>
      </c>
    </row>
    <row r="1292">
      <c r="A1292" s="2">
        <f>IFERROR(__xludf.DUMMYFUNCTION("""COMPUTED_VALUE"""),41039.666666666664)</f>
        <v>41039.66667</v>
      </c>
      <c r="B1292" s="1">
        <f>IFERROR(__xludf.DUMMYFUNCTION("""COMPUTED_VALUE"""),1.7)</f>
        <v>1.7</v>
      </c>
      <c r="C1292" s="1">
        <f>IFERROR(__xludf.DUMMYFUNCTION("""COMPUTED_VALUE"""),1.7)</f>
        <v>1.7</v>
      </c>
      <c r="D1292" s="1">
        <f>IFERROR(__xludf.DUMMYFUNCTION("""COMPUTED_VALUE"""),1.67)</f>
        <v>1.67</v>
      </c>
      <c r="E1292" s="1">
        <f>IFERROR(__xludf.DUMMYFUNCTION("""COMPUTED_VALUE"""),1.69)</f>
        <v>1.69</v>
      </c>
      <c r="F1292" s="1">
        <f>IFERROR(__xludf.DUMMYFUNCTION("""COMPUTED_VALUE"""),127249.0)</f>
        <v>127249</v>
      </c>
    </row>
    <row r="1293">
      <c r="A1293" s="2">
        <f>IFERROR(__xludf.DUMMYFUNCTION("""COMPUTED_VALUE"""),41040.666666666664)</f>
        <v>41040.66667</v>
      </c>
      <c r="B1293" s="1">
        <f>IFERROR(__xludf.DUMMYFUNCTION("""COMPUTED_VALUE"""),1.67)</f>
        <v>1.67</v>
      </c>
      <c r="C1293" s="1">
        <f>IFERROR(__xludf.DUMMYFUNCTION("""COMPUTED_VALUE"""),1.69)</f>
        <v>1.69</v>
      </c>
      <c r="D1293" s="1">
        <f>IFERROR(__xludf.DUMMYFUNCTION("""COMPUTED_VALUE"""),1.64)</f>
        <v>1.64</v>
      </c>
      <c r="E1293" s="1">
        <f>IFERROR(__xludf.DUMMYFUNCTION("""COMPUTED_VALUE"""),1.65)</f>
        <v>1.65</v>
      </c>
      <c r="F1293" s="1">
        <f>IFERROR(__xludf.DUMMYFUNCTION("""COMPUTED_VALUE"""),63541.0)</f>
        <v>63541</v>
      </c>
    </row>
    <row r="1294">
      <c r="A1294" s="2">
        <f>IFERROR(__xludf.DUMMYFUNCTION("""COMPUTED_VALUE"""),41043.666666666664)</f>
        <v>41043.66667</v>
      </c>
      <c r="B1294" s="1">
        <f>IFERROR(__xludf.DUMMYFUNCTION("""COMPUTED_VALUE"""),1.63)</f>
        <v>1.63</v>
      </c>
      <c r="C1294" s="1">
        <f>IFERROR(__xludf.DUMMYFUNCTION("""COMPUTED_VALUE"""),1.65)</f>
        <v>1.65</v>
      </c>
      <c r="D1294" s="1">
        <f>IFERROR(__xludf.DUMMYFUNCTION("""COMPUTED_VALUE"""),1.62)</f>
        <v>1.62</v>
      </c>
      <c r="E1294" s="1">
        <f>IFERROR(__xludf.DUMMYFUNCTION("""COMPUTED_VALUE"""),1.63)</f>
        <v>1.63</v>
      </c>
      <c r="F1294" s="1">
        <f>IFERROR(__xludf.DUMMYFUNCTION("""COMPUTED_VALUE"""),143741.0)</f>
        <v>143741</v>
      </c>
    </row>
    <row r="1295">
      <c r="A1295" s="2">
        <f>IFERROR(__xludf.DUMMYFUNCTION("""COMPUTED_VALUE"""),41044.666666666664)</f>
        <v>41044.66667</v>
      </c>
      <c r="B1295" s="1">
        <f>IFERROR(__xludf.DUMMYFUNCTION("""COMPUTED_VALUE"""),1.63)</f>
        <v>1.63</v>
      </c>
      <c r="C1295" s="1">
        <f>IFERROR(__xludf.DUMMYFUNCTION("""COMPUTED_VALUE"""),1.69)</f>
        <v>1.69</v>
      </c>
      <c r="D1295" s="1">
        <f>IFERROR(__xludf.DUMMYFUNCTION("""COMPUTED_VALUE"""),1.63)</f>
        <v>1.63</v>
      </c>
      <c r="E1295" s="1">
        <f>IFERROR(__xludf.DUMMYFUNCTION("""COMPUTED_VALUE"""),1.65)</f>
        <v>1.65</v>
      </c>
      <c r="F1295" s="1">
        <f>IFERROR(__xludf.DUMMYFUNCTION("""COMPUTED_VALUE"""),158703.0)</f>
        <v>158703</v>
      </c>
    </row>
    <row r="1296">
      <c r="A1296" s="2">
        <f>IFERROR(__xludf.DUMMYFUNCTION("""COMPUTED_VALUE"""),41045.666666666664)</f>
        <v>41045.66667</v>
      </c>
      <c r="B1296" s="1">
        <f>IFERROR(__xludf.DUMMYFUNCTION("""COMPUTED_VALUE"""),1.65)</f>
        <v>1.65</v>
      </c>
      <c r="C1296" s="1">
        <f>IFERROR(__xludf.DUMMYFUNCTION("""COMPUTED_VALUE"""),1.67)</f>
        <v>1.67</v>
      </c>
      <c r="D1296" s="1">
        <f>IFERROR(__xludf.DUMMYFUNCTION("""COMPUTED_VALUE"""),1.64)</f>
        <v>1.64</v>
      </c>
      <c r="E1296" s="1">
        <f>IFERROR(__xludf.DUMMYFUNCTION("""COMPUTED_VALUE"""),1.64)</f>
        <v>1.64</v>
      </c>
      <c r="F1296" s="1">
        <f>IFERROR(__xludf.DUMMYFUNCTION("""COMPUTED_VALUE"""),74265.0)</f>
        <v>74265</v>
      </c>
    </row>
    <row r="1297">
      <c r="A1297" s="2">
        <f>IFERROR(__xludf.DUMMYFUNCTION("""COMPUTED_VALUE"""),41046.666666666664)</f>
        <v>41046.66667</v>
      </c>
      <c r="B1297" s="1">
        <f>IFERROR(__xludf.DUMMYFUNCTION("""COMPUTED_VALUE"""),1.65)</f>
        <v>1.65</v>
      </c>
      <c r="C1297" s="1">
        <f>IFERROR(__xludf.DUMMYFUNCTION("""COMPUTED_VALUE"""),1.67)</f>
        <v>1.67</v>
      </c>
      <c r="D1297" s="1">
        <f>IFERROR(__xludf.DUMMYFUNCTION("""COMPUTED_VALUE"""),1.64)</f>
        <v>1.64</v>
      </c>
      <c r="E1297" s="1">
        <f>IFERROR(__xludf.DUMMYFUNCTION("""COMPUTED_VALUE"""),1.64)</f>
        <v>1.64</v>
      </c>
      <c r="F1297" s="1">
        <f>IFERROR(__xludf.DUMMYFUNCTION("""COMPUTED_VALUE"""),159227.0)</f>
        <v>159227</v>
      </c>
    </row>
    <row r="1298">
      <c r="A1298" s="2">
        <f>IFERROR(__xludf.DUMMYFUNCTION("""COMPUTED_VALUE"""),41047.666666666664)</f>
        <v>41047.66667</v>
      </c>
      <c r="B1298" s="1">
        <f>IFERROR(__xludf.DUMMYFUNCTION("""COMPUTED_VALUE"""),1.64)</f>
        <v>1.64</v>
      </c>
      <c r="C1298" s="1">
        <f>IFERROR(__xludf.DUMMYFUNCTION("""COMPUTED_VALUE"""),1.64)</f>
        <v>1.64</v>
      </c>
      <c r="D1298" s="1">
        <f>IFERROR(__xludf.DUMMYFUNCTION("""COMPUTED_VALUE"""),1.6)</f>
        <v>1.6</v>
      </c>
      <c r="E1298" s="1">
        <f>IFERROR(__xludf.DUMMYFUNCTION("""COMPUTED_VALUE"""),1.62)</f>
        <v>1.62</v>
      </c>
      <c r="F1298" s="1">
        <f>IFERROR(__xludf.DUMMYFUNCTION("""COMPUTED_VALUE"""),119072.0)</f>
        <v>119072</v>
      </c>
    </row>
    <row r="1299">
      <c r="A1299" s="2">
        <f>IFERROR(__xludf.DUMMYFUNCTION("""COMPUTED_VALUE"""),41050.666666666664)</f>
        <v>41050.66667</v>
      </c>
      <c r="B1299" s="1">
        <f>IFERROR(__xludf.DUMMYFUNCTION("""COMPUTED_VALUE"""),1.63)</f>
        <v>1.63</v>
      </c>
      <c r="C1299" s="1">
        <f>IFERROR(__xludf.DUMMYFUNCTION("""COMPUTED_VALUE"""),1.65)</f>
        <v>1.65</v>
      </c>
      <c r="D1299" s="1">
        <f>IFERROR(__xludf.DUMMYFUNCTION("""COMPUTED_VALUE"""),1.6)</f>
        <v>1.6</v>
      </c>
      <c r="E1299" s="1">
        <f>IFERROR(__xludf.DUMMYFUNCTION("""COMPUTED_VALUE"""),1.65)</f>
        <v>1.65</v>
      </c>
      <c r="F1299" s="1">
        <f>IFERROR(__xludf.DUMMYFUNCTION("""COMPUTED_VALUE"""),96456.0)</f>
        <v>96456</v>
      </c>
    </row>
    <row r="1300">
      <c r="A1300" s="2">
        <f>IFERROR(__xludf.DUMMYFUNCTION("""COMPUTED_VALUE"""),41051.666666666664)</f>
        <v>41051.66667</v>
      </c>
      <c r="B1300" s="1">
        <f>IFERROR(__xludf.DUMMYFUNCTION("""COMPUTED_VALUE"""),1.65)</f>
        <v>1.65</v>
      </c>
      <c r="C1300" s="1">
        <f>IFERROR(__xludf.DUMMYFUNCTION("""COMPUTED_VALUE"""),1.65)</f>
        <v>1.65</v>
      </c>
      <c r="D1300" s="1">
        <f>IFERROR(__xludf.DUMMYFUNCTION("""COMPUTED_VALUE"""),1.6)</f>
        <v>1.6</v>
      </c>
      <c r="E1300" s="1">
        <f>IFERROR(__xludf.DUMMYFUNCTION("""COMPUTED_VALUE"""),1.62)</f>
        <v>1.62</v>
      </c>
      <c r="F1300" s="1">
        <f>IFERROR(__xludf.DUMMYFUNCTION("""COMPUTED_VALUE"""),84929.0)</f>
        <v>84929</v>
      </c>
    </row>
    <row r="1301">
      <c r="A1301" s="2">
        <f>IFERROR(__xludf.DUMMYFUNCTION("""COMPUTED_VALUE"""),41052.666666666664)</f>
        <v>41052.66667</v>
      </c>
      <c r="B1301" s="1">
        <f>IFERROR(__xludf.DUMMYFUNCTION("""COMPUTED_VALUE"""),1.6)</f>
        <v>1.6</v>
      </c>
      <c r="C1301" s="1">
        <f>IFERROR(__xludf.DUMMYFUNCTION("""COMPUTED_VALUE"""),1.67)</f>
        <v>1.67</v>
      </c>
      <c r="D1301" s="1">
        <f>IFERROR(__xludf.DUMMYFUNCTION("""COMPUTED_VALUE"""),1.59)</f>
        <v>1.59</v>
      </c>
      <c r="E1301" s="1">
        <f>IFERROR(__xludf.DUMMYFUNCTION("""COMPUTED_VALUE"""),1.66)</f>
        <v>1.66</v>
      </c>
      <c r="F1301" s="1">
        <f>IFERROR(__xludf.DUMMYFUNCTION("""COMPUTED_VALUE"""),205759.0)</f>
        <v>205759</v>
      </c>
    </row>
    <row r="1302">
      <c r="A1302" s="2">
        <f>IFERROR(__xludf.DUMMYFUNCTION("""COMPUTED_VALUE"""),41053.666666666664)</f>
        <v>41053.66667</v>
      </c>
      <c r="B1302" s="1">
        <f>IFERROR(__xludf.DUMMYFUNCTION("""COMPUTED_VALUE"""),1.66)</f>
        <v>1.66</v>
      </c>
      <c r="C1302" s="1">
        <f>IFERROR(__xludf.DUMMYFUNCTION("""COMPUTED_VALUE"""),1.66)</f>
        <v>1.66</v>
      </c>
      <c r="D1302" s="1">
        <f>IFERROR(__xludf.DUMMYFUNCTION("""COMPUTED_VALUE"""),1.59)</f>
        <v>1.59</v>
      </c>
      <c r="E1302" s="1">
        <f>IFERROR(__xludf.DUMMYFUNCTION("""COMPUTED_VALUE"""),1.61)</f>
        <v>1.61</v>
      </c>
      <c r="F1302" s="1">
        <f>IFERROR(__xludf.DUMMYFUNCTION("""COMPUTED_VALUE"""),76127.0)</f>
        <v>76127</v>
      </c>
    </row>
    <row r="1303">
      <c r="A1303" s="2">
        <f>IFERROR(__xludf.DUMMYFUNCTION("""COMPUTED_VALUE"""),41054.666666666664)</f>
        <v>41054.66667</v>
      </c>
      <c r="B1303" s="1">
        <f>IFERROR(__xludf.DUMMYFUNCTION("""COMPUTED_VALUE"""),1.61)</f>
        <v>1.61</v>
      </c>
      <c r="C1303" s="1">
        <f>IFERROR(__xludf.DUMMYFUNCTION("""COMPUTED_VALUE"""),1.63)</f>
        <v>1.63</v>
      </c>
      <c r="D1303" s="1">
        <f>IFERROR(__xludf.DUMMYFUNCTION("""COMPUTED_VALUE"""),1.59)</f>
        <v>1.59</v>
      </c>
      <c r="E1303" s="1">
        <f>IFERROR(__xludf.DUMMYFUNCTION("""COMPUTED_VALUE"""),1.61)</f>
        <v>1.61</v>
      </c>
      <c r="F1303" s="1">
        <f>IFERROR(__xludf.DUMMYFUNCTION("""COMPUTED_VALUE"""),67060.0)</f>
        <v>67060</v>
      </c>
    </row>
    <row r="1304">
      <c r="A1304" s="2">
        <f>IFERROR(__xludf.DUMMYFUNCTION("""COMPUTED_VALUE"""),41058.666666666664)</f>
        <v>41058.66667</v>
      </c>
      <c r="B1304" s="1">
        <f>IFERROR(__xludf.DUMMYFUNCTION("""COMPUTED_VALUE"""),1.62)</f>
        <v>1.62</v>
      </c>
      <c r="C1304" s="1">
        <f>IFERROR(__xludf.DUMMYFUNCTION("""COMPUTED_VALUE"""),1.65)</f>
        <v>1.65</v>
      </c>
      <c r="D1304" s="1">
        <f>IFERROR(__xludf.DUMMYFUNCTION("""COMPUTED_VALUE"""),1.6)</f>
        <v>1.6</v>
      </c>
      <c r="E1304" s="1">
        <f>IFERROR(__xludf.DUMMYFUNCTION("""COMPUTED_VALUE"""),1.62)</f>
        <v>1.62</v>
      </c>
      <c r="F1304" s="1">
        <f>IFERROR(__xludf.DUMMYFUNCTION("""COMPUTED_VALUE"""),104655.0)</f>
        <v>104655</v>
      </c>
    </row>
    <row r="1305">
      <c r="A1305" s="2">
        <f>IFERROR(__xludf.DUMMYFUNCTION("""COMPUTED_VALUE"""),41059.666666666664)</f>
        <v>41059.66667</v>
      </c>
      <c r="B1305" s="1">
        <f>IFERROR(__xludf.DUMMYFUNCTION("""COMPUTED_VALUE"""),1.61)</f>
        <v>1.61</v>
      </c>
      <c r="C1305" s="1">
        <f>IFERROR(__xludf.DUMMYFUNCTION("""COMPUTED_VALUE"""),1.62)</f>
        <v>1.62</v>
      </c>
      <c r="D1305" s="1">
        <f>IFERROR(__xludf.DUMMYFUNCTION("""COMPUTED_VALUE"""),1.58)</f>
        <v>1.58</v>
      </c>
      <c r="E1305" s="1">
        <f>IFERROR(__xludf.DUMMYFUNCTION("""COMPUTED_VALUE"""),1.6)</f>
        <v>1.6</v>
      </c>
      <c r="F1305" s="1">
        <f>IFERROR(__xludf.DUMMYFUNCTION("""COMPUTED_VALUE"""),122118.0)</f>
        <v>122118</v>
      </c>
    </row>
    <row r="1306">
      <c r="A1306" s="2">
        <f>IFERROR(__xludf.DUMMYFUNCTION("""COMPUTED_VALUE"""),41060.666666666664)</f>
        <v>41060.66667</v>
      </c>
      <c r="B1306" s="1">
        <f>IFERROR(__xludf.DUMMYFUNCTION("""COMPUTED_VALUE"""),1.6)</f>
        <v>1.6</v>
      </c>
      <c r="C1306" s="1">
        <f>IFERROR(__xludf.DUMMYFUNCTION("""COMPUTED_VALUE"""),1.6)</f>
        <v>1.6</v>
      </c>
      <c r="D1306" s="1">
        <f>IFERROR(__xludf.DUMMYFUNCTION("""COMPUTED_VALUE"""),1.57)</f>
        <v>1.57</v>
      </c>
      <c r="E1306" s="1">
        <f>IFERROR(__xludf.DUMMYFUNCTION("""COMPUTED_VALUE"""),1.59)</f>
        <v>1.59</v>
      </c>
      <c r="F1306" s="1">
        <f>IFERROR(__xludf.DUMMYFUNCTION("""COMPUTED_VALUE"""),211668.0)</f>
        <v>211668</v>
      </c>
    </row>
    <row r="1307">
      <c r="A1307" s="2">
        <f>IFERROR(__xludf.DUMMYFUNCTION("""COMPUTED_VALUE"""),41061.666666666664)</f>
        <v>41061.66667</v>
      </c>
      <c r="B1307" s="1">
        <f>IFERROR(__xludf.DUMMYFUNCTION("""COMPUTED_VALUE"""),1.56)</f>
        <v>1.56</v>
      </c>
      <c r="C1307" s="1">
        <f>IFERROR(__xludf.DUMMYFUNCTION("""COMPUTED_VALUE"""),1.57)</f>
        <v>1.57</v>
      </c>
      <c r="D1307" s="1">
        <f>IFERROR(__xludf.DUMMYFUNCTION("""COMPUTED_VALUE"""),1.48)</f>
        <v>1.48</v>
      </c>
      <c r="E1307" s="1">
        <f>IFERROR(__xludf.DUMMYFUNCTION("""COMPUTED_VALUE"""),1.48)</f>
        <v>1.48</v>
      </c>
      <c r="F1307" s="1">
        <f>IFERROR(__xludf.DUMMYFUNCTION("""COMPUTED_VALUE"""),270380.0)</f>
        <v>270380</v>
      </c>
    </row>
    <row r="1308">
      <c r="A1308" s="2">
        <f>IFERROR(__xludf.DUMMYFUNCTION("""COMPUTED_VALUE"""),41064.666666666664)</f>
        <v>41064.66667</v>
      </c>
      <c r="B1308" s="1">
        <f>IFERROR(__xludf.DUMMYFUNCTION("""COMPUTED_VALUE"""),1.49)</f>
        <v>1.49</v>
      </c>
      <c r="C1308" s="1">
        <f>IFERROR(__xludf.DUMMYFUNCTION("""COMPUTED_VALUE"""),1.5)</f>
        <v>1.5</v>
      </c>
      <c r="D1308" s="1">
        <f>IFERROR(__xludf.DUMMYFUNCTION("""COMPUTED_VALUE"""),1.46)</f>
        <v>1.46</v>
      </c>
      <c r="E1308" s="1">
        <f>IFERROR(__xludf.DUMMYFUNCTION("""COMPUTED_VALUE"""),1.47)</f>
        <v>1.47</v>
      </c>
      <c r="F1308" s="1">
        <f>IFERROR(__xludf.DUMMYFUNCTION("""COMPUTED_VALUE"""),146306.0)</f>
        <v>146306</v>
      </c>
    </row>
    <row r="1309">
      <c r="A1309" s="2">
        <f>IFERROR(__xludf.DUMMYFUNCTION("""COMPUTED_VALUE"""),41065.666666666664)</f>
        <v>41065.66667</v>
      </c>
      <c r="B1309" s="1">
        <f>IFERROR(__xludf.DUMMYFUNCTION("""COMPUTED_VALUE"""),1.46)</f>
        <v>1.46</v>
      </c>
      <c r="C1309" s="1">
        <f>IFERROR(__xludf.DUMMYFUNCTION("""COMPUTED_VALUE"""),1.52)</f>
        <v>1.52</v>
      </c>
      <c r="D1309" s="1">
        <f>IFERROR(__xludf.DUMMYFUNCTION("""COMPUTED_VALUE"""),1.46)</f>
        <v>1.46</v>
      </c>
      <c r="E1309" s="1">
        <f>IFERROR(__xludf.DUMMYFUNCTION("""COMPUTED_VALUE"""),1.5)</f>
        <v>1.5</v>
      </c>
      <c r="F1309" s="1">
        <f>IFERROR(__xludf.DUMMYFUNCTION("""COMPUTED_VALUE"""),233946.0)</f>
        <v>233946</v>
      </c>
    </row>
    <row r="1310">
      <c r="A1310" s="2">
        <f>IFERROR(__xludf.DUMMYFUNCTION("""COMPUTED_VALUE"""),41066.666666666664)</f>
        <v>41066.66667</v>
      </c>
      <c r="B1310" s="1">
        <f>IFERROR(__xludf.DUMMYFUNCTION("""COMPUTED_VALUE"""),1.51)</f>
        <v>1.51</v>
      </c>
      <c r="C1310" s="1">
        <f>IFERROR(__xludf.DUMMYFUNCTION("""COMPUTED_VALUE"""),1.58)</f>
        <v>1.58</v>
      </c>
      <c r="D1310" s="1">
        <f>IFERROR(__xludf.DUMMYFUNCTION("""COMPUTED_VALUE"""),1.51)</f>
        <v>1.51</v>
      </c>
      <c r="E1310" s="1">
        <f>IFERROR(__xludf.DUMMYFUNCTION("""COMPUTED_VALUE"""),1.58)</f>
        <v>1.58</v>
      </c>
      <c r="F1310" s="1">
        <f>IFERROR(__xludf.DUMMYFUNCTION("""COMPUTED_VALUE"""),128091.0)</f>
        <v>128091</v>
      </c>
    </row>
    <row r="1311">
      <c r="A1311" s="2">
        <f>IFERROR(__xludf.DUMMYFUNCTION("""COMPUTED_VALUE"""),41067.666666666664)</f>
        <v>41067.66667</v>
      </c>
      <c r="B1311" s="1">
        <f>IFERROR(__xludf.DUMMYFUNCTION("""COMPUTED_VALUE"""),1.6)</f>
        <v>1.6</v>
      </c>
      <c r="C1311" s="1">
        <f>IFERROR(__xludf.DUMMYFUNCTION("""COMPUTED_VALUE"""),1.62)</f>
        <v>1.62</v>
      </c>
      <c r="D1311" s="1">
        <f>IFERROR(__xludf.DUMMYFUNCTION("""COMPUTED_VALUE"""),1.58)</f>
        <v>1.58</v>
      </c>
      <c r="E1311" s="1">
        <f>IFERROR(__xludf.DUMMYFUNCTION("""COMPUTED_VALUE"""),1.58)</f>
        <v>1.58</v>
      </c>
      <c r="F1311" s="1">
        <f>IFERROR(__xludf.DUMMYFUNCTION("""COMPUTED_VALUE"""),191754.0)</f>
        <v>191754</v>
      </c>
    </row>
    <row r="1312">
      <c r="A1312" s="2">
        <f>IFERROR(__xludf.DUMMYFUNCTION("""COMPUTED_VALUE"""),41068.666666666664)</f>
        <v>41068.66667</v>
      </c>
      <c r="B1312" s="1">
        <f>IFERROR(__xludf.DUMMYFUNCTION("""COMPUTED_VALUE"""),1.58)</f>
        <v>1.58</v>
      </c>
      <c r="C1312" s="1">
        <f>IFERROR(__xludf.DUMMYFUNCTION("""COMPUTED_VALUE"""),1.66)</f>
        <v>1.66</v>
      </c>
      <c r="D1312" s="1">
        <f>IFERROR(__xludf.DUMMYFUNCTION("""COMPUTED_VALUE"""),1.56)</f>
        <v>1.56</v>
      </c>
      <c r="E1312" s="1">
        <f>IFERROR(__xludf.DUMMYFUNCTION("""COMPUTED_VALUE"""),1.63)</f>
        <v>1.63</v>
      </c>
      <c r="F1312" s="1">
        <f>IFERROR(__xludf.DUMMYFUNCTION("""COMPUTED_VALUE"""),319628.0)</f>
        <v>319628</v>
      </c>
    </row>
    <row r="1313">
      <c r="A1313" s="2">
        <f>IFERROR(__xludf.DUMMYFUNCTION("""COMPUTED_VALUE"""),41071.666666666664)</f>
        <v>41071.66667</v>
      </c>
      <c r="B1313" s="1">
        <f>IFERROR(__xludf.DUMMYFUNCTION("""COMPUTED_VALUE"""),1.64)</f>
        <v>1.64</v>
      </c>
      <c r="C1313" s="1">
        <f>IFERROR(__xludf.DUMMYFUNCTION("""COMPUTED_VALUE"""),1.64)</f>
        <v>1.64</v>
      </c>
      <c r="D1313" s="1">
        <f>IFERROR(__xludf.DUMMYFUNCTION("""COMPUTED_VALUE"""),1.56)</f>
        <v>1.56</v>
      </c>
      <c r="E1313" s="1">
        <f>IFERROR(__xludf.DUMMYFUNCTION("""COMPUTED_VALUE"""),1.56)</f>
        <v>1.56</v>
      </c>
      <c r="F1313" s="1">
        <f>IFERROR(__xludf.DUMMYFUNCTION("""COMPUTED_VALUE"""),130323.0)</f>
        <v>130323</v>
      </c>
    </row>
    <row r="1314">
      <c r="A1314" s="2">
        <f>IFERROR(__xludf.DUMMYFUNCTION("""COMPUTED_VALUE"""),41072.666666666664)</f>
        <v>41072.66667</v>
      </c>
      <c r="B1314" s="1">
        <f>IFERROR(__xludf.DUMMYFUNCTION("""COMPUTED_VALUE"""),1.58)</f>
        <v>1.58</v>
      </c>
      <c r="C1314" s="1">
        <f>IFERROR(__xludf.DUMMYFUNCTION("""COMPUTED_VALUE"""),1.59)</f>
        <v>1.59</v>
      </c>
      <c r="D1314" s="1">
        <f>IFERROR(__xludf.DUMMYFUNCTION("""COMPUTED_VALUE"""),1.52)</f>
        <v>1.52</v>
      </c>
      <c r="E1314" s="1">
        <f>IFERROR(__xludf.DUMMYFUNCTION("""COMPUTED_VALUE"""),1.53)</f>
        <v>1.53</v>
      </c>
      <c r="F1314" s="1">
        <f>IFERROR(__xludf.DUMMYFUNCTION("""COMPUTED_VALUE"""),111733.0)</f>
        <v>111733</v>
      </c>
    </row>
    <row r="1315">
      <c r="A1315" s="2">
        <f>IFERROR(__xludf.DUMMYFUNCTION("""COMPUTED_VALUE"""),41073.666666666664)</f>
        <v>41073.66667</v>
      </c>
      <c r="B1315" s="1">
        <f>IFERROR(__xludf.DUMMYFUNCTION("""COMPUTED_VALUE"""),1.52)</f>
        <v>1.52</v>
      </c>
      <c r="C1315" s="1">
        <f>IFERROR(__xludf.DUMMYFUNCTION("""COMPUTED_VALUE"""),1.54)</f>
        <v>1.54</v>
      </c>
      <c r="D1315" s="1">
        <f>IFERROR(__xludf.DUMMYFUNCTION("""COMPUTED_VALUE"""),1.47)</f>
        <v>1.47</v>
      </c>
      <c r="E1315" s="1">
        <f>IFERROR(__xludf.DUMMYFUNCTION("""COMPUTED_VALUE"""),1.48)</f>
        <v>1.48</v>
      </c>
      <c r="F1315" s="1">
        <f>IFERROR(__xludf.DUMMYFUNCTION("""COMPUTED_VALUE"""),140990.0)</f>
        <v>140990</v>
      </c>
    </row>
    <row r="1316">
      <c r="A1316" s="2">
        <f>IFERROR(__xludf.DUMMYFUNCTION("""COMPUTED_VALUE"""),41074.666666666664)</f>
        <v>41074.66667</v>
      </c>
      <c r="B1316" s="1">
        <f>IFERROR(__xludf.DUMMYFUNCTION("""COMPUTED_VALUE"""),1.49)</f>
        <v>1.49</v>
      </c>
      <c r="C1316" s="1">
        <f>IFERROR(__xludf.DUMMYFUNCTION("""COMPUTED_VALUE"""),1.51)</f>
        <v>1.51</v>
      </c>
      <c r="D1316" s="1">
        <f>IFERROR(__xludf.DUMMYFUNCTION("""COMPUTED_VALUE"""),1.47)</f>
        <v>1.47</v>
      </c>
      <c r="E1316" s="1">
        <f>IFERROR(__xludf.DUMMYFUNCTION("""COMPUTED_VALUE"""),1.5)</f>
        <v>1.5</v>
      </c>
      <c r="F1316" s="1">
        <f>IFERROR(__xludf.DUMMYFUNCTION("""COMPUTED_VALUE"""),109705.0)</f>
        <v>109705</v>
      </c>
    </row>
    <row r="1317">
      <c r="A1317" s="2">
        <f>IFERROR(__xludf.DUMMYFUNCTION("""COMPUTED_VALUE"""),41075.666666666664)</f>
        <v>41075.66667</v>
      </c>
      <c r="B1317" s="1">
        <f>IFERROR(__xludf.DUMMYFUNCTION("""COMPUTED_VALUE"""),1.49)</f>
        <v>1.49</v>
      </c>
      <c r="C1317" s="1">
        <f>IFERROR(__xludf.DUMMYFUNCTION("""COMPUTED_VALUE"""),1.51)</f>
        <v>1.51</v>
      </c>
      <c r="D1317" s="1">
        <f>IFERROR(__xludf.DUMMYFUNCTION("""COMPUTED_VALUE"""),1.49)</f>
        <v>1.49</v>
      </c>
      <c r="E1317" s="1">
        <f>IFERROR(__xludf.DUMMYFUNCTION("""COMPUTED_VALUE"""),1.49)</f>
        <v>1.49</v>
      </c>
      <c r="F1317" s="1">
        <f>IFERROR(__xludf.DUMMYFUNCTION("""COMPUTED_VALUE"""),246302.0)</f>
        <v>246302</v>
      </c>
    </row>
    <row r="1318">
      <c r="A1318" s="2">
        <f>IFERROR(__xludf.DUMMYFUNCTION("""COMPUTED_VALUE"""),41078.666666666664)</f>
        <v>41078.66667</v>
      </c>
      <c r="B1318" s="1">
        <f>IFERROR(__xludf.DUMMYFUNCTION("""COMPUTED_VALUE"""),1.48)</f>
        <v>1.48</v>
      </c>
      <c r="C1318" s="1">
        <f>IFERROR(__xludf.DUMMYFUNCTION("""COMPUTED_VALUE"""),1.52)</f>
        <v>1.52</v>
      </c>
      <c r="D1318" s="1">
        <f>IFERROR(__xludf.DUMMYFUNCTION("""COMPUTED_VALUE"""),1.48)</f>
        <v>1.48</v>
      </c>
      <c r="E1318" s="1">
        <f>IFERROR(__xludf.DUMMYFUNCTION("""COMPUTED_VALUE"""),1.51)</f>
        <v>1.51</v>
      </c>
      <c r="F1318" s="1">
        <f>IFERROR(__xludf.DUMMYFUNCTION("""COMPUTED_VALUE"""),107591.0)</f>
        <v>107591</v>
      </c>
    </row>
    <row r="1319">
      <c r="A1319" s="2">
        <f>IFERROR(__xludf.DUMMYFUNCTION("""COMPUTED_VALUE"""),41079.666666666664)</f>
        <v>41079.66667</v>
      </c>
      <c r="B1319" s="1">
        <f>IFERROR(__xludf.DUMMYFUNCTION("""COMPUTED_VALUE"""),1.52)</f>
        <v>1.52</v>
      </c>
      <c r="C1319" s="1">
        <f>IFERROR(__xludf.DUMMYFUNCTION("""COMPUTED_VALUE"""),1.53)</f>
        <v>1.53</v>
      </c>
      <c r="D1319" s="1">
        <f>IFERROR(__xludf.DUMMYFUNCTION("""COMPUTED_VALUE"""),1.47)</f>
        <v>1.47</v>
      </c>
      <c r="E1319" s="1">
        <f>IFERROR(__xludf.DUMMYFUNCTION("""COMPUTED_VALUE"""),1.48)</f>
        <v>1.48</v>
      </c>
      <c r="F1319" s="1">
        <f>IFERROR(__xludf.DUMMYFUNCTION("""COMPUTED_VALUE"""),211207.0)</f>
        <v>211207</v>
      </c>
    </row>
    <row r="1320">
      <c r="A1320" s="2">
        <f>IFERROR(__xludf.DUMMYFUNCTION("""COMPUTED_VALUE"""),41080.666666666664)</f>
        <v>41080.66667</v>
      </c>
      <c r="B1320" s="1">
        <f>IFERROR(__xludf.DUMMYFUNCTION("""COMPUTED_VALUE"""),1.48)</f>
        <v>1.48</v>
      </c>
      <c r="C1320" s="1">
        <f>IFERROR(__xludf.DUMMYFUNCTION("""COMPUTED_VALUE"""),1.55)</f>
        <v>1.55</v>
      </c>
      <c r="D1320" s="1">
        <f>IFERROR(__xludf.DUMMYFUNCTION("""COMPUTED_VALUE"""),1.47)</f>
        <v>1.47</v>
      </c>
      <c r="E1320" s="1">
        <f>IFERROR(__xludf.DUMMYFUNCTION("""COMPUTED_VALUE"""),1.54)</f>
        <v>1.54</v>
      </c>
      <c r="F1320" s="1">
        <f>IFERROR(__xludf.DUMMYFUNCTION("""COMPUTED_VALUE"""),137473.0)</f>
        <v>137473</v>
      </c>
    </row>
    <row r="1321">
      <c r="A1321" s="2">
        <f>IFERROR(__xludf.DUMMYFUNCTION("""COMPUTED_VALUE"""),41081.666666666664)</f>
        <v>41081.66667</v>
      </c>
      <c r="B1321" s="1">
        <f>IFERROR(__xludf.DUMMYFUNCTION("""COMPUTED_VALUE"""),1.53)</f>
        <v>1.53</v>
      </c>
      <c r="C1321" s="1">
        <f>IFERROR(__xludf.DUMMYFUNCTION("""COMPUTED_VALUE"""),1.55)</f>
        <v>1.55</v>
      </c>
      <c r="D1321" s="1">
        <f>IFERROR(__xludf.DUMMYFUNCTION("""COMPUTED_VALUE"""),1.52)</f>
        <v>1.52</v>
      </c>
      <c r="E1321" s="1">
        <f>IFERROR(__xludf.DUMMYFUNCTION("""COMPUTED_VALUE"""),1.53)</f>
        <v>1.53</v>
      </c>
      <c r="F1321" s="1">
        <f>IFERROR(__xludf.DUMMYFUNCTION("""COMPUTED_VALUE"""),140608.0)</f>
        <v>140608</v>
      </c>
    </row>
    <row r="1322">
      <c r="A1322" s="2">
        <f>IFERROR(__xludf.DUMMYFUNCTION("""COMPUTED_VALUE"""),41082.666666666664)</f>
        <v>41082.66667</v>
      </c>
      <c r="B1322" s="1">
        <f>IFERROR(__xludf.DUMMYFUNCTION("""COMPUTED_VALUE"""),1.54)</f>
        <v>1.54</v>
      </c>
      <c r="C1322" s="1">
        <f>IFERROR(__xludf.DUMMYFUNCTION("""COMPUTED_VALUE"""),1.56)</f>
        <v>1.56</v>
      </c>
      <c r="D1322" s="1">
        <f>IFERROR(__xludf.DUMMYFUNCTION("""COMPUTED_VALUE"""),1.53)</f>
        <v>1.53</v>
      </c>
      <c r="E1322" s="1">
        <f>IFERROR(__xludf.DUMMYFUNCTION("""COMPUTED_VALUE"""),1.55)</f>
        <v>1.55</v>
      </c>
      <c r="F1322" s="1">
        <f>IFERROR(__xludf.DUMMYFUNCTION("""COMPUTED_VALUE"""),303762.0)</f>
        <v>303762</v>
      </c>
    </row>
    <row r="1323">
      <c r="A1323" s="2">
        <f>IFERROR(__xludf.DUMMYFUNCTION("""COMPUTED_VALUE"""),41085.666666666664)</f>
        <v>41085.66667</v>
      </c>
      <c r="B1323" s="1">
        <f>IFERROR(__xludf.DUMMYFUNCTION("""COMPUTED_VALUE"""),1.53)</f>
        <v>1.53</v>
      </c>
      <c r="C1323" s="1">
        <f>IFERROR(__xludf.DUMMYFUNCTION("""COMPUTED_VALUE"""),1.53)</f>
        <v>1.53</v>
      </c>
      <c r="D1323" s="1">
        <f>IFERROR(__xludf.DUMMYFUNCTION("""COMPUTED_VALUE"""),1.49)</f>
        <v>1.49</v>
      </c>
      <c r="E1323" s="1">
        <f>IFERROR(__xludf.DUMMYFUNCTION("""COMPUTED_VALUE"""),1.5)</f>
        <v>1.5</v>
      </c>
      <c r="F1323" s="1">
        <f>IFERROR(__xludf.DUMMYFUNCTION("""COMPUTED_VALUE"""),172635.0)</f>
        <v>172635</v>
      </c>
    </row>
    <row r="1324">
      <c r="A1324" s="2">
        <f>IFERROR(__xludf.DUMMYFUNCTION("""COMPUTED_VALUE"""),41086.666666666664)</f>
        <v>41086.66667</v>
      </c>
      <c r="B1324" s="1">
        <f>IFERROR(__xludf.DUMMYFUNCTION("""COMPUTED_VALUE"""),1.5)</f>
        <v>1.5</v>
      </c>
      <c r="C1324" s="1">
        <f>IFERROR(__xludf.DUMMYFUNCTION("""COMPUTED_VALUE"""),1.54)</f>
        <v>1.54</v>
      </c>
      <c r="D1324" s="1">
        <f>IFERROR(__xludf.DUMMYFUNCTION("""COMPUTED_VALUE"""),1.5)</f>
        <v>1.5</v>
      </c>
      <c r="E1324" s="1">
        <f>IFERROR(__xludf.DUMMYFUNCTION("""COMPUTED_VALUE"""),1.52)</f>
        <v>1.52</v>
      </c>
      <c r="F1324" s="1">
        <f>IFERROR(__xludf.DUMMYFUNCTION("""COMPUTED_VALUE"""),183594.0)</f>
        <v>183594</v>
      </c>
    </row>
    <row r="1325">
      <c r="A1325" s="2">
        <f>IFERROR(__xludf.DUMMYFUNCTION("""COMPUTED_VALUE"""),41087.666666666664)</f>
        <v>41087.66667</v>
      </c>
      <c r="B1325" s="1">
        <f>IFERROR(__xludf.DUMMYFUNCTION("""COMPUTED_VALUE"""),1.52)</f>
        <v>1.52</v>
      </c>
      <c r="C1325" s="1">
        <f>IFERROR(__xludf.DUMMYFUNCTION("""COMPUTED_VALUE"""),1.54)</f>
        <v>1.54</v>
      </c>
      <c r="D1325" s="1">
        <f>IFERROR(__xludf.DUMMYFUNCTION("""COMPUTED_VALUE"""),1.51)</f>
        <v>1.51</v>
      </c>
      <c r="E1325" s="1">
        <f>IFERROR(__xludf.DUMMYFUNCTION("""COMPUTED_VALUE"""),1.53)</f>
        <v>1.53</v>
      </c>
      <c r="F1325" s="1">
        <f>IFERROR(__xludf.DUMMYFUNCTION("""COMPUTED_VALUE"""),185901.0)</f>
        <v>185901</v>
      </c>
    </row>
    <row r="1326">
      <c r="A1326" s="2">
        <f>IFERROR(__xludf.DUMMYFUNCTION("""COMPUTED_VALUE"""),41088.666666666664)</f>
        <v>41088.66667</v>
      </c>
      <c r="B1326" s="1">
        <f>IFERROR(__xludf.DUMMYFUNCTION("""COMPUTED_VALUE"""),1.51)</f>
        <v>1.51</v>
      </c>
      <c r="C1326" s="1">
        <f>IFERROR(__xludf.DUMMYFUNCTION("""COMPUTED_VALUE"""),1.57)</f>
        <v>1.57</v>
      </c>
      <c r="D1326" s="1">
        <f>IFERROR(__xludf.DUMMYFUNCTION("""COMPUTED_VALUE"""),1.51)</f>
        <v>1.51</v>
      </c>
      <c r="E1326" s="1">
        <f>IFERROR(__xludf.DUMMYFUNCTION("""COMPUTED_VALUE"""),1.53)</f>
        <v>1.53</v>
      </c>
      <c r="F1326" s="1">
        <f>IFERROR(__xludf.DUMMYFUNCTION("""COMPUTED_VALUE"""),297336.0)</f>
        <v>297336</v>
      </c>
    </row>
    <row r="1327">
      <c r="A1327" s="2">
        <f>IFERROR(__xludf.DUMMYFUNCTION("""COMPUTED_VALUE"""),41089.666666666664)</f>
        <v>41089.66667</v>
      </c>
      <c r="B1327" s="1">
        <f>IFERROR(__xludf.DUMMYFUNCTION("""COMPUTED_VALUE"""),1.56)</f>
        <v>1.56</v>
      </c>
      <c r="C1327" s="1">
        <f>IFERROR(__xludf.DUMMYFUNCTION("""COMPUTED_VALUE"""),1.62)</f>
        <v>1.62</v>
      </c>
      <c r="D1327" s="1">
        <f>IFERROR(__xludf.DUMMYFUNCTION("""COMPUTED_VALUE"""),1.56)</f>
        <v>1.56</v>
      </c>
      <c r="E1327" s="1">
        <f>IFERROR(__xludf.DUMMYFUNCTION("""COMPUTED_VALUE"""),1.59)</f>
        <v>1.59</v>
      </c>
      <c r="F1327" s="1">
        <f>IFERROR(__xludf.DUMMYFUNCTION("""COMPUTED_VALUE"""),255255.0)</f>
        <v>255255</v>
      </c>
    </row>
    <row r="1328">
      <c r="A1328" s="2">
        <f>IFERROR(__xludf.DUMMYFUNCTION("""COMPUTED_VALUE"""),41092.666666666664)</f>
        <v>41092.66667</v>
      </c>
      <c r="B1328" s="1">
        <f>IFERROR(__xludf.DUMMYFUNCTION("""COMPUTED_VALUE"""),1.59)</f>
        <v>1.59</v>
      </c>
      <c r="C1328" s="1">
        <f>IFERROR(__xludf.DUMMYFUNCTION("""COMPUTED_VALUE"""),1.61)</f>
        <v>1.61</v>
      </c>
      <c r="D1328" s="1">
        <f>IFERROR(__xludf.DUMMYFUNCTION("""COMPUTED_VALUE"""),1.57)</f>
        <v>1.57</v>
      </c>
      <c r="E1328" s="1">
        <f>IFERROR(__xludf.DUMMYFUNCTION("""COMPUTED_VALUE"""),1.61)</f>
        <v>1.61</v>
      </c>
      <c r="F1328" s="1">
        <f>IFERROR(__xludf.DUMMYFUNCTION("""COMPUTED_VALUE"""),158819.0)</f>
        <v>158819</v>
      </c>
    </row>
    <row r="1329">
      <c r="A1329" s="2">
        <f>IFERROR(__xludf.DUMMYFUNCTION("""COMPUTED_VALUE"""),41093.666666666664)</f>
        <v>41093.66667</v>
      </c>
      <c r="B1329" s="1">
        <f>IFERROR(__xludf.DUMMYFUNCTION("""COMPUTED_VALUE"""),1.61)</f>
        <v>1.61</v>
      </c>
      <c r="C1329" s="1">
        <f>IFERROR(__xludf.DUMMYFUNCTION("""COMPUTED_VALUE"""),1.63)</f>
        <v>1.63</v>
      </c>
      <c r="D1329" s="1">
        <f>IFERROR(__xludf.DUMMYFUNCTION("""COMPUTED_VALUE"""),1.6)</f>
        <v>1.6</v>
      </c>
      <c r="E1329" s="1">
        <f>IFERROR(__xludf.DUMMYFUNCTION("""COMPUTED_VALUE"""),1.63)</f>
        <v>1.63</v>
      </c>
      <c r="F1329" s="1">
        <f>IFERROR(__xludf.DUMMYFUNCTION("""COMPUTED_VALUE"""),69778.0)</f>
        <v>69778</v>
      </c>
    </row>
    <row r="1330">
      <c r="A1330" s="2">
        <f>IFERROR(__xludf.DUMMYFUNCTION("""COMPUTED_VALUE"""),41095.666666666664)</f>
        <v>41095.66667</v>
      </c>
      <c r="B1330" s="1">
        <f>IFERROR(__xludf.DUMMYFUNCTION("""COMPUTED_VALUE"""),1.63)</f>
        <v>1.63</v>
      </c>
      <c r="C1330" s="1">
        <f>IFERROR(__xludf.DUMMYFUNCTION("""COMPUTED_VALUE"""),1.64)</f>
        <v>1.64</v>
      </c>
      <c r="D1330" s="1">
        <f>IFERROR(__xludf.DUMMYFUNCTION("""COMPUTED_VALUE"""),1.62)</f>
        <v>1.62</v>
      </c>
      <c r="E1330" s="1">
        <f>IFERROR(__xludf.DUMMYFUNCTION("""COMPUTED_VALUE"""),1.64)</f>
        <v>1.64</v>
      </c>
      <c r="F1330" s="1">
        <f>IFERROR(__xludf.DUMMYFUNCTION("""COMPUTED_VALUE"""),88463.0)</f>
        <v>88463</v>
      </c>
    </row>
    <row r="1331">
      <c r="A1331" s="2">
        <f>IFERROR(__xludf.DUMMYFUNCTION("""COMPUTED_VALUE"""),41096.666666666664)</f>
        <v>41096.66667</v>
      </c>
      <c r="B1331" s="1">
        <f>IFERROR(__xludf.DUMMYFUNCTION("""COMPUTED_VALUE"""),1.62)</f>
        <v>1.62</v>
      </c>
      <c r="C1331" s="1">
        <f>IFERROR(__xludf.DUMMYFUNCTION("""COMPUTED_VALUE"""),1.62)</f>
        <v>1.62</v>
      </c>
      <c r="D1331" s="1">
        <f>IFERROR(__xludf.DUMMYFUNCTION("""COMPUTED_VALUE"""),1.58)</f>
        <v>1.58</v>
      </c>
      <c r="E1331" s="1">
        <f>IFERROR(__xludf.DUMMYFUNCTION("""COMPUTED_VALUE"""),1.58)</f>
        <v>1.58</v>
      </c>
      <c r="F1331" s="1">
        <f>IFERROR(__xludf.DUMMYFUNCTION("""COMPUTED_VALUE"""),57718.0)</f>
        <v>57718</v>
      </c>
    </row>
    <row r="1332">
      <c r="A1332" s="2">
        <f>IFERROR(__xludf.DUMMYFUNCTION("""COMPUTED_VALUE"""),41099.666666666664)</f>
        <v>41099.66667</v>
      </c>
      <c r="B1332" s="1">
        <f>IFERROR(__xludf.DUMMYFUNCTION("""COMPUTED_VALUE"""),1.58)</f>
        <v>1.58</v>
      </c>
      <c r="C1332" s="1">
        <f>IFERROR(__xludf.DUMMYFUNCTION("""COMPUTED_VALUE"""),1.58)</f>
        <v>1.58</v>
      </c>
      <c r="D1332" s="1">
        <f>IFERROR(__xludf.DUMMYFUNCTION("""COMPUTED_VALUE"""),1.52)</f>
        <v>1.52</v>
      </c>
      <c r="E1332" s="1">
        <f>IFERROR(__xludf.DUMMYFUNCTION("""COMPUTED_VALUE"""),1.53)</f>
        <v>1.53</v>
      </c>
      <c r="F1332" s="1">
        <f>IFERROR(__xludf.DUMMYFUNCTION("""COMPUTED_VALUE"""),149371.0)</f>
        <v>149371</v>
      </c>
    </row>
    <row r="1333">
      <c r="A1333" s="2">
        <f>IFERROR(__xludf.DUMMYFUNCTION("""COMPUTED_VALUE"""),41100.666666666664)</f>
        <v>41100.66667</v>
      </c>
      <c r="B1333" s="1">
        <f>IFERROR(__xludf.DUMMYFUNCTION("""COMPUTED_VALUE"""),1.55)</f>
        <v>1.55</v>
      </c>
      <c r="C1333" s="1">
        <f>IFERROR(__xludf.DUMMYFUNCTION("""COMPUTED_VALUE"""),1.56)</f>
        <v>1.56</v>
      </c>
      <c r="D1333" s="1">
        <f>IFERROR(__xludf.DUMMYFUNCTION("""COMPUTED_VALUE"""),1.49)</f>
        <v>1.49</v>
      </c>
      <c r="E1333" s="1">
        <f>IFERROR(__xludf.DUMMYFUNCTION("""COMPUTED_VALUE"""),1.49)</f>
        <v>1.49</v>
      </c>
      <c r="F1333" s="1">
        <f>IFERROR(__xludf.DUMMYFUNCTION("""COMPUTED_VALUE"""),87752.0)</f>
        <v>87752</v>
      </c>
    </row>
    <row r="1334">
      <c r="A1334" s="2">
        <f>IFERROR(__xludf.DUMMYFUNCTION("""COMPUTED_VALUE"""),41101.666666666664)</f>
        <v>41101.66667</v>
      </c>
      <c r="B1334" s="1">
        <f>IFERROR(__xludf.DUMMYFUNCTION("""COMPUTED_VALUE"""),1.5)</f>
        <v>1.5</v>
      </c>
      <c r="C1334" s="1">
        <f>IFERROR(__xludf.DUMMYFUNCTION("""COMPUTED_VALUE"""),1.51)</f>
        <v>1.51</v>
      </c>
      <c r="D1334" s="1">
        <f>IFERROR(__xludf.DUMMYFUNCTION("""COMPUTED_VALUE"""),1.46)</f>
        <v>1.46</v>
      </c>
      <c r="E1334" s="1">
        <f>IFERROR(__xludf.DUMMYFUNCTION("""COMPUTED_VALUE"""),1.49)</f>
        <v>1.49</v>
      </c>
      <c r="F1334" s="1">
        <f>IFERROR(__xludf.DUMMYFUNCTION("""COMPUTED_VALUE"""),81940.0)</f>
        <v>81940</v>
      </c>
    </row>
    <row r="1335">
      <c r="A1335" s="2">
        <f>IFERROR(__xludf.DUMMYFUNCTION("""COMPUTED_VALUE"""),41102.666666666664)</f>
        <v>41102.66667</v>
      </c>
      <c r="B1335" s="1">
        <f>IFERROR(__xludf.DUMMYFUNCTION("""COMPUTED_VALUE"""),1.48)</f>
        <v>1.48</v>
      </c>
      <c r="C1335" s="1">
        <f>IFERROR(__xludf.DUMMYFUNCTION("""COMPUTED_VALUE"""),1.48)</f>
        <v>1.48</v>
      </c>
      <c r="D1335" s="1">
        <f>IFERROR(__xludf.DUMMYFUNCTION("""COMPUTED_VALUE"""),1.44)</f>
        <v>1.44</v>
      </c>
      <c r="E1335" s="1">
        <f>IFERROR(__xludf.DUMMYFUNCTION("""COMPUTED_VALUE"""),1.45)</f>
        <v>1.45</v>
      </c>
      <c r="F1335" s="1">
        <f>IFERROR(__xludf.DUMMYFUNCTION("""COMPUTED_VALUE"""),99195.0)</f>
        <v>99195</v>
      </c>
    </row>
    <row r="1336">
      <c r="A1336" s="2">
        <f>IFERROR(__xludf.DUMMYFUNCTION("""COMPUTED_VALUE"""),41103.666666666664)</f>
        <v>41103.66667</v>
      </c>
      <c r="B1336" s="1">
        <f>IFERROR(__xludf.DUMMYFUNCTION("""COMPUTED_VALUE"""),1.45)</f>
        <v>1.45</v>
      </c>
      <c r="C1336" s="1">
        <f>IFERROR(__xludf.DUMMYFUNCTION("""COMPUTED_VALUE"""),1.49)</f>
        <v>1.49</v>
      </c>
      <c r="D1336" s="1">
        <f>IFERROR(__xludf.DUMMYFUNCTION("""COMPUTED_VALUE"""),1.44)</f>
        <v>1.44</v>
      </c>
      <c r="E1336" s="1">
        <f>IFERROR(__xludf.DUMMYFUNCTION("""COMPUTED_VALUE"""),1.46)</f>
        <v>1.46</v>
      </c>
      <c r="F1336" s="1">
        <f>IFERROR(__xludf.DUMMYFUNCTION("""COMPUTED_VALUE"""),77777.0)</f>
        <v>77777</v>
      </c>
    </row>
    <row r="1337">
      <c r="A1337" s="2">
        <f>IFERROR(__xludf.DUMMYFUNCTION("""COMPUTED_VALUE"""),41106.666666666664)</f>
        <v>41106.66667</v>
      </c>
      <c r="B1337" s="1">
        <f>IFERROR(__xludf.DUMMYFUNCTION("""COMPUTED_VALUE"""),1.46)</f>
        <v>1.46</v>
      </c>
      <c r="C1337" s="1">
        <f>IFERROR(__xludf.DUMMYFUNCTION("""COMPUTED_VALUE"""),1.48)</f>
        <v>1.48</v>
      </c>
      <c r="D1337" s="1">
        <f>IFERROR(__xludf.DUMMYFUNCTION("""COMPUTED_VALUE"""),1.44)</f>
        <v>1.44</v>
      </c>
      <c r="E1337" s="1">
        <f>IFERROR(__xludf.DUMMYFUNCTION("""COMPUTED_VALUE"""),1.45)</f>
        <v>1.45</v>
      </c>
      <c r="F1337" s="1">
        <f>IFERROR(__xludf.DUMMYFUNCTION("""COMPUTED_VALUE"""),144736.0)</f>
        <v>144736</v>
      </c>
    </row>
    <row r="1338">
      <c r="A1338" s="2">
        <f>IFERROR(__xludf.DUMMYFUNCTION("""COMPUTED_VALUE"""),41107.666666666664)</f>
        <v>41107.66667</v>
      </c>
      <c r="B1338" s="1">
        <f>IFERROR(__xludf.DUMMYFUNCTION("""COMPUTED_VALUE"""),1.45)</f>
        <v>1.45</v>
      </c>
      <c r="C1338" s="1">
        <f>IFERROR(__xludf.DUMMYFUNCTION("""COMPUTED_VALUE"""),1.45)</f>
        <v>1.45</v>
      </c>
      <c r="D1338" s="1">
        <f>IFERROR(__xludf.DUMMYFUNCTION("""COMPUTED_VALUE"""),1.42)</f>
        <v>1.42</v>
      </c>
      <c r="E1338" s="1">
        <f>IFERROR(__xludf.DUMMYFUNCTION("""COMPUTED_VALUE"""),1.44)</f>
        <v>1.44</v>
      </c>
      <c r="F1338" s="1">
        <f>IFERROR(__xludf.DUMMYFUNCTION("""COMPUTED_VALUE"""),100845.0)</f>
        <v>100845</v>
      </c>
    </row>
    <row r="1339">
      <c r="A1339" s="2">
        <f>IFERROR(__xludf.DUMMYFUNCTION("""COMPUTED_VALUE"""),41108.666666666664)</f>
        <v>41108.66667</v>
      </c>
      <c r="B1339" s="1">
        <f>IFERROR(__xludf.DUMMYFUNCTION("""COMPUTED_VALUE"""),1.44)</f>
        <v>1.44</v>
      </c>
      <c r="C1339" s="1">
        <f>IFERROR(__xludf.DUMMYFUNCTION("""COMPUTED_VALUE"""),1.46)</f>
        <v>1.46</v>
      </c>
      <c r="D1339" s="1">
        <f>IFERROR(__xludf.DUMMYFUNCTION("""COMPUTED_VALUE"""),1.41)</f>
        <v>1.41</v>
      </c>
      <c r="E1339" s="1">
        <f>IFERROR(__xludf.DUMMYFUNCTION("""COMPUTED_VALUE"""),1.42)</f>
        <v>1.42</v>
      </c>
      <c r="F1339" s="1">
        <f>IFERROR(__xludf.DUMMYFUNCTION("""COMPUTED_VALUE"""),465891.0)</f>
        <v>465891</v>
      </c>
    </row>
    <row r="1340">
      <c r="A1340" s="2">
        <f>IFERROR(__xludf.DUMMYFUNCTION("""COMPUTED_VALUE"""),41109.666666666664)</f>
        <v>41109.66667</v>
      </c>
      <c r="B1340" s="1">
        <f>IFERROR(__xludf.DUMMYFUNCTION("""COMPUTED_VALUE"""),1.27)</f>
        <v>1.27</v>
      </c>
      <c r="C1340" s="1">
        <f>IFERROR(__xludf.DUMMYFUNCTION("""COMPUTED_VALUE"""),1.37)</f>
        <v>1.37</v>
      </c>
      <c r="D1340" s="1">
        <f>IFERROR(__xludf.DUMMYFUNCTION("""COMPUTED_VALUE"""),1.23)</f>
        <v>1.23</v>
      </c>
      <c r="E1340" s="1">
        <f>IFERROR(__xludf.DUMMYFUNCTION("""COMPUTED_VALUE"""),1.37)</f>
        <v>1.37</v>
      </c>
      <c r="F1340" s="1">
        <f>IFERROR(__xludf.DUMMYFUNCTION("""COMPUTED_VALUE"""),835127.0)</f>
        <v>835127</v>
      </c>
    </row>
    <row r="1341">
      <c r="A1341" s="2">
        <f>IFERROR(__xludf.DUMMYFUNCTION("""COMPUTED_VALUE"""),41110.666666666664)</f>
        <v>41110.66667</v>
      </c>
      <c r="B1341" s="1">
        <f>IFERROR(__xludf.DUMMYFUNCTION("""COMPUTED_VALUE"""),1.36)</f>
        <v>1.36</v>
      </c>
      <c r="C1341" s="1">
        <f>IFERROR(__xludf.DUMMYFUNCTION("""COMPUTED_VALUE"""),1.38)</f>
        <v>1.38</v>
      </c>
      <c r="D1341" s="1">
        <f>IFERROR(__xludf.DUMMYFUNCTION("""COMPUTED_VALUE"""),1.29)</f>
        <v>1.29</v>
      </c>
      <c r="E1341" s="1">
        <f>IFERROR(__xludf.DUMMYFUNCTION("""COMPUTED_VALUE"""),1.3)</f>
        <v>1.3</v>
      </c>
      <c r="F1341" s="1">
        <f>IFERROR(__xludf.DUMMYFUNCTION("""COMPUTED_VALUE"""),404610.0)</f>
        <v>404610</v>
      </c>
    </row>
    <row r="1342">
      <c r="A1342" s="2">
        <f>IFERROR(__xludf.DUMMYFUNCTION("""COMPUTED_VALUE"""),41113.666666666664)</f>
        <v>41113.66667</v>
      </c>
      <c r="B1342" s="1">
        <f>IFERROR(__xludf.DUMMYFUNCTION("""COMPUTED_VALUE"""),1.27)</f>
        <v>1.27</v>
      </c>
      <c r="C1342" s="1">
        <f>IFERROR(__xludf.DUMMYFUNCTION("""COMPUTED_VALUE"""),1.29)</f>
        <v>1.29</v>
      </c>
      <c r="D1342" s="1">
        <f>IFERROR(__xludf.DUMMYFUNCTION("""COMPUTED_VALUE"""),1.25)</f>
        <v>1.25</v>
      </c>
      <c r="E1342" s="1">
        <f>IFERROR(__xludf.DUMMYFUNCTION("""COMPUTED_VALUE"""),1.26)</f>
        <v>1.26</v>
      </c>
      <c r="F1342" s="1">
        <f>IFERROR(__xludf.DUMMYFUNCTION("""COMPUTED_VALUE"""),354510.0)</f>
        <v>354510</v>
      </c>
    </row>
    <row r="1343">
      <c r="A1343" s="2">
        <f>IFERROR(__xludf.DUMMYFUNCTION("""COMPUTED_VALUE"""),41114.666666666664)</f>
        <v>41114.66667</v>
      </c>
      <c r="B1343" s="1">
        <f>IFERROR(__xludf.DUMMYFUNCTION("""COMPUTED_VALUE"""),1.26)</f>
        <v>1.26</v>
      </c>
      <c r="C1343" s="1">
        <f>IFERROR(__xludf.DUMMYFUNCTION("""COMPUTED_VALUE"""),1.27)</f>
        <v>1.27</v>
      </c>
      <c r="D1343" s="1">
        <f>IFERROR(__xludf.DUMMYFUNCTION("""COMPUTED_VALUE"""),1.21)</f>
        <v>1.21</v>
      </c>
      <c r="E1343" s="1">
        <f>IFERROR(__xludf.DUMMYFUNCTION("""COMPUTED_VALUE"""),1.21)</f>
        <v>1.21</v>
      </c>
      <c r="F1343" s="1">
        <f>IFERROR(__xludf.DUMMYFUNCTION("""COMPUTED_VALUE"""),309177.0)</f>
        <v>309177</v>
      </c>
    </row>
    <row r="1344">
      <c r="A1344" s="2">
        <f>IFERROR(__xludf.DUMMYFUNCTION("""COMPUTED_VALUE"""),41115.666666666664)</f>
        <v>41115.66667</v>
      </c>
      <c r="B1344" s="1">
        <f>IFERROR(__xludf.DUMMYFUNCTION("""COMPUTED_VALUE"""),1.23)</f>
        <v>1.23</v>
      </c>
      <c r="C1344" s="1">
        <f>IFERROR(__xludf.DUMMYFUNCTION("""COMPUTED_VALUE"""),1.26)</f>
        <v>1.26</v>
      </c>
      <c r="D1344" s="1">
        <f>IFERROR(__xludf.DUMMYFUNCTION("""COMPUTED_VALUE"""),1.21)</f>
        <v>1.21</v>
      </c>
      <c r="E1344" s="1">
        <f>IFERROR(__xludf.DUMMYFUNCTION("""COMPUTED_VALUE"""),1.25)</f>
        <v>1.25</v>
      </c>
      <c r="F1344" s="1">
        <f>IFERROR(__xludf.DUMMYFUNCTION("""COMPUTED_VALUE"""),235872.0)</f>
        <v>235872</v>
      </c>
    </row>
    <row r="1345">
      <c r="A1345" s="2">
        <f>IFERROR(__xludf.DUMMYFUNCTION("""COMPUTED_VALUE"""),41116.666666666664)</f>
        <v>41116.66667</v>
      </c>
      <c r="B1345" s="1">
        <f>IFERROR(__xludf.DUMMYFUNCTION("""COMPUTED_VALUE"""),1.27)</f>
        <v>1.27</v>
      </c>
      <c r="C1345" s="1">
        <f>IFERROR(__xludf.DUMMYFUNCTION("""COMPUTED_VALUE"""),1.3)</f>
        <v>1.3</v>
      </c>
      <c r="D1345" s="1">
        <f>IFERROR(__xludf.DUMMYFUNCTION("""COMPUTED_VALUE"""),1.26)</f>
        <v>1.26</v>
      </c>
      <c r="E1345" s="1">
        <f>IFERROR(__xludf.DUMMYFUNCTION("""COMPUTED_VALUE"""),1.27)</f>
        <v>1.27</v>
      </c>
      <c r="F1345" s="1">
        <f>IFERROR(__xludf.DUMMYFUNCTION("""COMPUTED_VALUE"""),352860.0)</f>
        <v>352860</v>
      </c>
    </row>
    <row r="1346">
      <c r="A1346" s="2">
        <f>IFERROR(__xludf.DUMMYFUNCTION("""COMPUTED_VALUE"""),41117.666666666664)</f>
        <v>41117.66667</v>
      </c>
      <c r="B1346" s="1">
        <f>IFERROR(__xludf.DUMMYFUNCTION("""COMPUTED_VALUE"""),1.28)</f>
        <v>1.28</v>
      </c>
      <c r="C1346" s="1">
        <f>IFERROR(__xludf.DUMMYFUNCTION("""COMPUTED_VALUE"""),1.3)</f>
        <v>1.3</v>
      </c>
      <c r="D1346" s="1">
        <f>IFERROR(__xludf.DUMMYFUNCTION("""COMPUTED_VALUE"""),1.24)</f>
        <v>1.24</v>
      </c>
      <c r="E1346" s="1">
        <f>IFERROR(__xludf.DUMMYFUNCTION("""COMPUTED_VALUE"""),1.3)</f>
        <v>1.3</v>
      </c>
      <c r="F1346" s="1">
        <f>IFERROR(__xludf.DUMMYFUNCTION("""COMPUTED_VALUE"""),201664.0)</f>
        <v>201664</v>
      </c>
    </row>
    <row r="1347">
      <c r="A1347" s="2">
        <f>IFERROR(__xludf.DUMMYFUNCTION("""COMPUTED_VALUE"""),41120.666666666664)</f>
        <v>41120.66667</v>
      </c>
      <c r="B1347" s="1">
        <f>IFERROR(__xludf.DUMMYFUNCTION("""COMPUTED_VALUE"""),1.3)</f>
        <v>1.3</v>
      </c>
      <c r="C1347" s="1">
        <f>IFERROR(__xludf.DUMMYFUNCTION("""COMPUTED_VALUE"""),1.31)</f>
        <v>1.31</v>
      </c>
      <c r="D1347" s="1">
        <f>IFERROR(__xludf.DUMMYFUNCTION("""COMPUTED_VALUE"""),1.26)</f>
        <v>1.26</v>
      </c>
      <c r="E1347" s="1">
        <f>IFERROR(__xludf.DUMMYFUNCTION("""COMPUTED_VALUE"""),1.27)</f>
        <v>1.27</v>
      </c>
      <c r="F1347" s="1">
        <f>IFERROR(__xludf.DUMMYFUNCTION("""COMPUTED_VALUE"""),348592.0)</f>
        <v>348592</v>
      </c>
    </row>
    <row r="1348">
      <c r="A1348" s="2">
        <f>IFERROR(__xludf.DUMMYFUNCTION("""COMPUTED_VALUE"""),41121.666666666664)</f>
        <v>41121.66667</v>
      </c>
      <c r="B1348" s="1">
        <f>IFERROR(__xludf.DUMMYFUNCTION("""COMPUTED_VALUE"""),1.27)</f>
        <v>1.27</v>
      </c>
      <c r="C1348" s="1">
        <f>IFERROR(__xludf.DUMMYFUNCTION("""COMPUTED_VALUE"""),1.3)</f>
        <v>1.3</v>
      </c>
      <c r="D1348" s="1">
        <f>IFERROR(__xludf.DUMMYFUNCTION("""COMPUTED_VALUE"""),1.23)</f>
        <v>1.23</v>
      </c>
      <c r="E1348" s="1">
        <f>IFERROR(__xludf.DUMMYFUNCTION("""COMPUTED_VALUE"""),1.24)</f>
        <v>1.24</v>
      </c>
      <c r="F1348" s="1">
        <f>IFERROR(__xludf.DUMMYFUNCTION("""COMPUTED_VALUE"""),397404.0)</f>
        <v>397404</v>
      </c>
    </row>
    <row r="1349">
      <c r="A1349" s="2">
        <f>IFERROR(__xludf.DUMMYFUNCTION("""COMPUTED_VALUE"""),41122.666666666664)</f>
        <v>41122.66667</v>
      </c>
      <c r="B1349" s="1">
        <f>IFERROR(__xludf.DUMMYFUNCTION("""COMPUTED_VALUE"""),1.25)</f>
        <v>1.25</v>
      </c>
      <c r="C1349" s="1">
        <f>IFERROR(__xludf.DUMMYFUNCTION("""COMPUTED_VALUE"""),1.26)</f>
        <v>1.26</v>
      </c>
      <c r="D1349" s="1">
        <f>IFERROR(__xludf.DUMMYFUNCTION("""COMPUTED_VALUE"""),1.19)</f>
        <v>1.19</v>
      </c>
      <c r="E1349" s="1">
        <f>IFERROR(__xludf.DUMMYFUNCTION("""COMPUTED_VALUE"""),1.21)</f>
        <v>1.21</v>
      </c>
      <c r="F1349" s="1">
        <f>IFERROR(__xludf.DUMMYFUNCTION("""COMPUTED_VALUE"""),287528.0)</f>
        <v>287528</v>
      </c>
    </row>
    <row r="1350">
      <c r="A1350" s="2">
        <f>IFERROR(__xludf.DUMMYFUNCTION("""COMPUTED_VALUE"""),41123.666666666664)</f>
        <v>41123.66667</v>
      </c>
      <c r="B1350" s="1">
        <f>IFERROR(__xludf.DUMMYFUNCTION("""COMPUTED_VALUE"""),1.2)</f>
        <v>1.2</v>
      </c>
      <c r="C1350" s="1">
        <f>IFERROR(__xludf.DUMMYFUNCTION("""COMPUTED_VALUE"""),1.25)</f>
        <v>1.25</v>
      </c>
      <c r="D1350" s="1">
        <f>IFERROR(__xludf.DUMMYFUNCTION("""COMPUTED_VALUE"""),1.2)</f>
        <v>1.2</v>
      </c>
      <c r="E1350" s="1">
        <f>IFERROR(__xludf.DUMMYFUNCTION("""COMPUTED_VALUE"""),1.23)</f>
        <v>1.23</v>
      </c>
      <c r="F1350" s="1">
        <f>IFERROR(__xludf.DUMMYFUNCTION("""COMPUTED_VALUE"""),210119.0)</f>
        <v>210119</v>
      </c>
    </row>
    <row r="1351">
      <c r="A1351" s="2">
        <f>IFERROR(__xludf.DUMMYFUNCTION("""COMPUTED_VALUE"""),41124.666666666664)</f>
        <v>41124.66667</v>
      </c>
      <c r="B1351" s="1">
        <f>IFERROR(__xludf.DUMMYFUNCTION("""COMPUTED_VALUE"""),1.25)</f>
        <v>1.25</v>
      </c>
      <c r="C1351" s="1">
        <f>IFERROR(__xludf.DUMMYFUNCTION("""COMPUTED_VALUE"""),1.28)</f>
        <v>1.28</v>
      </c>
      <c r="D1351" s="1">
        <f>IFERROR(__xludf.DUMMYFUNCTION("""COMPUTED_VALUE"""),1.21)</f>
        <v>1.21</v>
      </c>
      <c r="E1351" s="1">
        <f>IFERROR(__xludf.DUMMYFUNCTION("""COMPUTED_VALUE"""),1.24)</f>
        <v>1.24</v>
      </c>
      <c r="F1351" s="1">
        <f>IFERROR(__xludf.DUMMYFUNCTION("""COMPUTED_VALUE"""),391788.0)</f>
        <v>391788</v>
      </c>
    </row>
    <row r="1352">
      <c r="A1352" s="2">
        <f>IFERROR(__xludf.DUMMYFUNCTION("""COMPUTED_VALUE"""),41127.666666666664)</f>
        <v>41127.66667</v>
      </c>
      <c r="B1352" s="1">
        <f>IFERROR(__xludf.DUMMYFUNCTION("""COMPUTED_VALUE"""),1.25)</f>
        <v>1.25</v>
      </c>
      <c r="C1352" s="1">
        <f>IFERROR(__xludf.DUMMYFUNCTION("""COMPUTED_VALUE"""),1.27)</f>
        <v>1.27</v>
      </c>
      <c r="D1352" s="1">
        <f>IFERROR(__xludf.DUMMYFUNCTION("""COMPUTED_VALUE"""),1.21)</f>
        <v>1.21</v>
      </c>
      <c r="E1352" s="1">
        <f>IFERROR(__xludf.DUMMYFUNCTION("""COMPUTED_VALUE"""),1.25)</f>
        <v>1.25</v>
      </c>
      <c r="F1352" s="1">
        <f>IFERROR(__xludf.DUMMYFUNCTION("""COMPUTED_VALUE"""),339949.0)</f>
        <v>339949</v>
      </c>
    </row>
    <row r="1353">
      <c r="A1353" s="2">
        <f>IFERROR(__xludf.DUMMYFUNCTION("""COMPUTED_VALUE"""),41128.666666666664)</f>
        <v>41128.66667</v>
      </c>
      <c r="B1353" s="1">
        <f>IFERROR(__xludf.DUMMYFUNCTION("""COMPUTED_VALUE"""),1.26)</f>
        <v>1.26</v>
      </c>
      <c r="C1353" s="1">
        <f>IFERROR(__xludf.DUMMYFUNCTION("""COMPUTED_VALUE"""),1.29)</f>
        <v>1.29</v>
      </c>
      <c r="D1353" s="1">
        <f>IFERROR(__xludf.DUMMYFUNCTION("""COMPUTED_VALUE"""),1.16)</f>
        <v>1.16</v>
      </c>
      <c r="E1353" s="1">
        <f>IFERROR(__xludf.DUMMYFUNCTION("""COMPUTED_VALUE"""),1.22)</f>
        <v>1.22</v>
      </c>
      <c r="F1353" s="1">
        <f>IFERROR(__xludf.DUMMYFUNCTION("""COMPUTED_VALUE"""),742210.0)</f>
        <v>742210</v>
      </c>
    </row>
    <row r="1354">
      <c r="A1354" s="2">
        <f>IFERROR(__xludf.DUMMYFUNCTION("""COMPUTED_VALUE"""),41129.666666666664)</f>
        <v>41129.66667</v>
      </c>
      <c r="B1354" s="1">
        <f>IFERROR(__xludf.DUMMYFUNCTION("""COMPUTED_VALUE"""),1.2)</f>
        <v>1.2</v>
      </c>
      <c r="C1354" s="1">
        <f>IFERROR(__xludf.DUMMYFUNCTION("""COMPUTED_VALUE"""),1.27)</f>
        <v>1.27</v>
      </c>
      <c r="D1354" s="1">
        <f>IFERROR(__xludf.DUMMYFUNCTION("""COMPUTED_VALUE"""),1.2)</f>
        <v>1.2</v>
      </c>
      <c r="E1354" s="1">
        <f>IFERROR(__xludf.DUMMYFUNCTION("""COMPUTED_VALUE"""),1.25)</f>
        <v>1.25</v>
      </c>
      <c r="F1354" s="1">
        <f>IFERROR(__xludf.DUMMYFUNCTION("""COMPUTED_VALUE"""),389535.0)</f>
        <v>389535</v>
      </c>
    </row>
    <row r="1355">
      <c r="A1355" s="2">
        <f>IFERROR(__xludf.DUMMYFUNCTION("""COMPUTED_VALUE"""),41130.666666666664)</f>
        <v>41130.66667</v>
      </c>
      <c r="B1355" s="1">
        <f>IFERROR(__xludf.DUMMYFUNCTION("""COMPUTED_VALUE"""),1.25)</f>
        <v>1.25</v>
      </c>
      <c r="C1355" s="1">
        <f>IFERROR(__xludf.DUMMYFUNCTION("""COMPUTED_VALUE"""),1.27)</f>
        <v>1.27</v>
      </c>
      <c r="D1355" s="1">
        <f>IFERROR(__xludf.DUMMYFUNCTION("""COMPUTED_VALUE"""),1.21)</f>
        <v>1.21</v>
      </c>
      <c r="E1355" s="1">
        <f>IFERROR(__xludf.DUMMYFUNCTION("""COMPUTED_VALUE"""),1.22)</f>
        <v>1.22</v>
      </c>
      <c r="F1355" s="1">
        <f>IFERROR(__xludf.DUMMYFUNCTION("""COMPUTED_VALUE"""),236431.0)</f>
        <v>236431</v>
      </c>
    </row>
    <row r="1356">
      <c r="A1356" s="2">
        <f>IFERROR(__xludf.DUMMYFUNCTION("""COMPUTED_VALUE"""),41131.666666666664)</f>
        <v>41131.66667</v>
      </c>
      <c r="B1356" s="1">
        <f>IFERROR(__xludf.DUMMYFUNCTION("""COMPUTED_VALUE"""),1.22)</f>
        <v>1.22</v>
      </c>
      <c r="C1356" s="1">
        <f>IFERROR(__xludf.DUMMYFUNCTION("""COMPUTED_VALUE"""),1.23)</f>
        <v>1.23</v>
      </c>
      <c r="D1356" s="1">
        <f>IFERROR(__xludf.DUMMYFUNCTION("""COMPUTED_VALUE"""),1.2)</f>
        <v>1.2</v>
      </c>
      <c r="E1356" s="1">
        <f>IFERROR(__xludf.DUMMYFUNCTION("""COMPUTED_VALUE"""),1.21)</f>
        <v>1.21</v>
      </c>
      <c r="F1356" s="1">
        <f>IFERROR(__xludf.DUMMYFUNCTION("""COMPUTED_VALUE"""),263948.0)</f>
        <v>263948</v>
      </c>
    </row>
    <row r="1357">
      <c r="A1357" s="2">
        <f>IFERROR(__xludf.DUMMYFUNCTION("""COMPUTED_VALUE"""),41134.666666666664)</f>
        <v>41134.66667</v>
      </c>
      <c r="B1357" s="1">
        <f>IFERROR(__xludf.DUMMYFUNCTION("""COMPUTED_VALUE"""),1.2)</f>
        <v>1.2</v>
      </c>
      <c r="C1357" s="1">
        <f>IFERROR(__xludf.DUMMYFUNCTION("""COMPUTED_VALUE"""),1.21)</f>
        <v>1.21</v>
      </c>
      <c r="D1357" s="1">
        <f>IFERROR(__xludf.DUMMYFUNCTION("""COMPUTED_VALUE"""),1.17)</f>
        <v>1.17</v>
      </c>
      <c r="E1357" s="1">
        <f>IFERROR(__xludf.DUMMYFUNCTION("""COMPUTED_VALUE"""),1.19)</f>
        <v>1.19</v>
      </c>
      <c r="F1357" s="1">
        <f>IFERROR(__xludf.DUMMYFUNCTION("""COMPUTED_VALUE"""),239411.0)</f>
        <v>239411</v>
      </c>
    </row>
    <row r="1358">
      <c r="A1358" s="2">
        <f>IFERROR(__xludf.DUMMYFUNCTION("""COMPUTED_VALUE"""),41135.666666666664)</f>
        <v>41135.66667</v>
      </c>
      <c r="B1358" s="1">
        <f>IFERROR(__xludf.DUMMYFUNCTION("""COMPUTED_VALUE"""),1.2)</f>
        <v>1.2</v>
      </c>
      <c r="C1358" s="1">
        <f>IFERROR(__xludf.DUMMYFUNCTION("""COMPUTED_VALUE"""),1.21)</f>
        <v>1.21</v>
      </c>
      <c r="D1358" s="1">
        <f>IFERROR(__xludf.DUMMYFUNCTION("""COMPUTED_VALUE"""),1.17)</f>
        <v>1.17</v>
      </c>
      <c r="E1358" s="1">
        <f>IFERROR(__xludf.DUMMYFUNCTION("""COMPUTED_VALUE"""),1.17)</f>
        <v>1.17</v>
      </c>
      <c r="F1358" s="1">
        <f>IFERROR(__xludf.DUMMYFUNCTION("""COMPUTED_VALUE"""),209510.0)</f>
        <v>209510</v>
      </c>
    </row>
    <row r="1359">
      <c r="A1359" s="2">
        <f>IFERROR(__xludf.DUMMYFUNCTION("""COMPUTED_VALUE"""),41136.666666666664)</f>
        <v>41136.66667</v>
      </c>
      <c r="B1359" s="1">
        <f>IFERROR(__xludf.DUMMYFUNCTION("""COMPUTED_VALUE"""),1.17)</f>
        <v>1.17</v>
      </c>
      <c r="C1359" s="1">
        <f>IFERROR(__xludf.DUMMYFUNCTION("""COMPUTED_VALUE"""),1.2)</f>
        <v>1.2</v>
      </c>
      <c r="D1359" s="1">
        <f>IFERROR(__xludf.DUMMYFUNCTION("""COMPUTED_VALUE"""),1.17)</f>
        <v>1.17</v>
      </c>
      <c r="E1359" s="1">
        <f>IFERROR(__xludf.DUMMYFUNCTION("""COMPUTED_VALUE"""),1.2)</f>
        <v>1.2</v>
      </c>
      <c r="F1359" s="1">
        <f>IFERROR(__xludf.DUMMYFUNCTION("""COMPUTED_VALUE"""),114146.0)</f>
        <v>114146</v>
      </c>
    </row>
    <row r="1360">
      <c r="A1360" s="2">
        <f>IFERROR(__xludf.DUMMYFUNCTION("""COMPUTED_VALUE"""),41137.666666666664)</f>
        <v>41137.66667</v>
      </c>
      <c r="B1360" s="1">
        <f>IFERROR(__xludf.DUMMYFUNCTION("""COMPUTED_VALUE"""),1.19)</f>
        <v>1.19</v>
      </c>
      <c r="C1360" s="1">
        <f>IFERROR(__xludf.DUMMYFUNCTION("""COMPUTED_VALUE"""),1.2)</f>
        <v>1.2</v>
      </c>
      <c r="D1360" s="1">
        <f>IFERROR(__xludf.DUMMYFUNCTION("""COMPUTED_VALUE"""),1.17)</f>
        <v>1.17</v>
      </c>
      <c r="E1360" s="1">
        <f>IFERROR(__xludf.DUMMYFUNCTION("""COMPUTED_VALUE"""),1.19)</f>
        <v>1.19</v>
      </c>
      <c r="F1360" s="1">
        <f>IFERROR(__xludf.DUMMYFUNCTION("""COMPUTED_VALUE"""),153038.0)</f>
        <v>153038</v>
      </c>
    </row>
    <row r="1361">
      <c r="A1361" s="2">
        <f>IFERROR(__xludf.DUMMYFUNCTION("""COMPUTED_VALUE"""),41138.666666666664)</f>
        <v>41138.66667</v>
      </c>
      <c r="B1361" s="1">
        <f>IFERROR(__xludf.DUMMYFUNCTION("""COMPUTED_VALUE"""),1.18)</f>
        <v>1.18</v>
      </c>
      <c r="C1361" s="1">
        <f>IFERROR(__xludf.DUMMYFUNCTION("""COMPUTED_VALUE"""),1.19)</f>
        <v>1.19</v>
      </c>
      <c r="D1361" s="1">
        <f>IFERROR(__xludf.DUMMYFUNCTION("""COMPUTED_VALUE"""),1.18)</f>
        <v>1.18</v>
      </c>
      <c r="E1361" s="1">
        <f>IFERROR(__xludf.DUMMYFUNCTION("""COMPUTED_VALUE"""),1.19)</f>
        <v>1.19</v>
      </c>
      <c r="F1361" s="1">
        <f>IFERROR(__xludf.DUMMYFUNCTION("""COMPUTED_VALUE"""),140276.0)</f>
        <v>140276</v>
      </c>
    </row>
    <row r="1362">
      <c r="A1362" s="2">
        <f>IFERROR(__xludf.DUMMYFUNCTION("""COMPUTED_VALUE"""),41141.666666666664)</f>
        <v>41141.66667</v>
      </c>
      <c r="B1362" s="1">
        <f>IFERROR(__xludf.DUMMYFUNCTION("""COMPUTED_VALUE"""),1.18)</f>
        <v>1.18</v>
      </c>
      <c r="C1362" s="1">
        <f>IFERROR(__xludf.DUMMYFUNCTION("""COMPUTED_VALUE"""),1.24)</f>
        <v>1.24</v>
      </c>
      <c r="D1362" s="1">
        <f>IFERROR(__xludf.DUMMYFUNCTION("""COMPUTED_VALUE"""),1.17)</f>
        <v>1.17</v>
      </c>
      <c r="E1362" s="1">
        <f>IFERROR(__xludf.DUMMYFUNCTION("""COMPUTED_VALUE"""),1.23)</f>
        <v>1.23</v>
      </c>
      <c r="F1362" s="1">
        <f>IFERROR(__xludf.DUMMYFUNCTION("""COMPUTED_VALUE"""),313941.0)</f>
        <v>313941</v>
      </c>
    </row>
    <row r="1363">
      <c r="A1363" s="2">
        <f>IFERROR(__xludf.DUMMYFUNCTION("""COMPUTED_VALUE"""),41142.666666666664)</f>
        <v>41142.66667</v>
      </c>
      <c r="B1363" s="1">
        <f>IFERROR(__xludf.DUMMYFUNCTION("""COMPUTED_VALUE"""),1.24)</f>
        <v>1.24</v>
      </c>
      <c r="C1363" s="1">
        <f>IFERROR(__xludf.DUMMYFUNCTION("""COMPUTED_VALUE"""),1.26)</f>
        <v>1.26</v>
      </c>
      <c r="D1363" s="1">
        <f>IFERROR(__xludf.DUMMYFUNCTION("""COMPUTED_VALUE"""),1.22)</f>
        <v>1.22</v>
      </c>
      <c r="E1363" s="1">
        <f>IFERROR(__xludf.DUMMYFUNCTION("""COMPUTED_VALUE"""),1.23)</f>
        <v>1.23</v>
      </c>
      <c r="F1363" s="1">
        <f>IFERROR(__xludf.DUMMYFUNCTION("""COMPUTED_VALUE"""),212592.0)</f>
        <v>212592</v>
      </c>
    </row>
    <row r="1364">
      <c r="A1364" s="2">
        <f>IFERROR(__xludf.DUMMYFUNCTION("""COMPUTED_VALUE"""),41143.666666666664)</f>
        <v>41143.66667</v>
      </c>
      <c r="B1364" s="1">
        <f>IFERROR(__xludf.DUMMYFUNCTION("""COMPUTED_VALUE"""),1.22)</f>
        <v>1.22</v>
      </c>
      <c r="C1364" s="1">
        <f>IFERROR(__xludf.DUMMYFUNCTION("""COMPUTED_VALUE"""),1.24)</f>
        <v>1.24</v>
      </c>
      <c r="D1364" s="1">
        <f>IFERROR(__xludf.DUMMYFUNCTION("""COMPUTED_VALUE"""),1.21)</f>
        <v>1.21</v>
      </c>
      <c r="E1364" s="1">
        <f>IFERROR(__xludf.DUMMYFUNCTION("""COMPUTED_VALUE"""),1.21)</f>
        <v>1.21</v>
      </c>
      <c r="F1364" s="1">
        <f>IFERROR(__xludf.DUMMYFUNCTION("""COMPUTED_VALUE"""),179692.0)</f>
        <v>179692</v>
      </c>
    </row>
    <row r="1365">
      <c r="A1365" s="2">
        <f>IFERROR(__xludf.DUMMYFUNCTION("""COMPUTED_VALUE"""),41144.666666666664)</f>
        <v>41144.66667</v>
      </c>
      <c r="B1365" s="1">
        <f>IFERROR(__xludf.DUMMYFUNCTION("""COMPUTED_VALUE"""),1.21)</f>
        <v>1.21</v>
      </c>
      <c r="C1365" s="1">
        <f>IFERROR(__xludf.DUMMYFUNCTION("""COMPUTED_VALUE"""),1.22)</f>
        <v>1.22</v>
      </c>
      <c r="D1365" s="1">
        <f>IFERROR(__xludf.DUMMYFUNCTION("""COMPUTED_VALUE"""),1.19)</f>
        <v>1.19</v>
      </c>
      <c r="E1365" s="1">
        <f>IFERROR(__xludf.DUMMYFUNCTION("""COMPUTED_VALUE"""),1.21)</f>
        <v>1.21</v>
      </c>
      <c r="F1365" s="1">
        <f>IFERROR(__xludf.DUMMYFUNCTION("""COMPUTED_VALUE"""),161466.0)</f>
        <v>161466</v>
      </c>
    </row>
    <row r="1366">
      <c r="A1366" s="2">
        <f>IFERROR(__xludf.DUMMYFUNCTION("""COMPUTED_VALUE"""),41145.666666666664)</f>
        <v>41145.66667</v>
      </c>
      <c r="B1366" s="1">
        <f>IFERROR(__xludf.DUMMYFUNCTION("""COMPUTED_VALUE"""),1.21)</f>
        <v>1.21</v>
      </c>
      <c r="C1366" s="1">
        <f>IFERROR(__xludf.DUMMYFUNCTION("""COMPUTED_VALUE"""),1.22)</f>
        <v>1.22</v>
      </c>
      <c r="D1366" s="1">
        <f>IFERROR(__xludf.DUMMYFUNCTION("""COMPUTED_VALUE"""),1.2)</f>
        <v>1.2</v>
      </c>
      <c r="E1366" s="1">
        <f>IFERROR(__xludf.DUMMYFUNCTION("""COMPUTED_VALUE"""),1.22)</f>
        <v>1.22</v>
      </c>
      <c r="F1366" s="1">
        <f>IFERROR(__xludf.DUMMYFUNCTION("""COMPUTED_VALUE"""),121953.0)</f>
        <v>121953</v>
      </c>
    </row>
    <row r="1367">
      <c r="A1367" s="2">
        <f>IFERROR(__xludf.DUMMYFUNCTION("""COMPUTED_VALUE"""),41148.666666666664)</f>
        <v>41148.66667</v>
      </c>
      <c r="B1367" s="1">
        <f>IFERROR(__xludf.DUMMYFUNCTION("""COMPUTED_VALUE"""),1.23)</f>
        <v>1.23</v>
      </c>
      <c r="C1367" s="1">
        <f>IFERROR(__xludf.DUMMYFUNCTION("""COMPUTED_VALUE"""),1.24)</f>
        <v>1.24</v>
      </c>
      <c r="D1367" s="1">
        <f>IFERROR(__xludf.DUMMYFUNCTION("""COMPUTED_VALUE"""),1.21)</f>
        <v>1.21</v>
      </c>
      <c r="E1367" s="1">
        <f>IFERROR(__xludf.DUMMYFUNCTION("""COMPUTED_VALUE"""),1.23)</f>
        <v>1.23</v>
      </c>
      <c r="F1367" s="1">
        <f>IFERROR(__xludf.DUMMYFUNCTION("""COMPUTED_VALUE"""),232634.0)</f>
        <v>232634</v>
      </c>
    </row>
    <row r="1368">
      <c r="A1368" s="2">
        <f>IFERROR(__xludf.DUMMYFUNCTION("""COMPUTED_VALUE"""),41149.666666666664)</f>
        <v>41149.66667</v>
      </c>
      <c r="B1368" s="1">
        <f>IFERROR(__xludf.DUMMYFUNCTION("""COMPUTED_VALUE"""),1.24)</f>
        <v>1.24</v>
      </c>
      <c r="C1368" s="1">
        <f>IFERROR(__xludf.DUMMYFUNCTION("""COMPUTED_VALUE"""),1.27)</f>
        <v>1.27</v>
      </c>
      <c r="D1368" s="1">
        <f>IFERROR(__xludf.DUMMYFUNCTION("""COMPUTED_VALUE"""),1.23)</f>
        <v>1.23</v>
      </c>
      <c r="E1368" s="1">
        <f>IFERROR(__xludf.DUMMYFUNCTION("""COMPUTED_VALUE"""),1.26)</f>
        <v>1.26</v>
      </c>
      <c r="F1368" s="1">
        <f>IFERROR(__xludf.DUMMYFUNCTION("""COMPUTED_VALUE"""),166043.0)</f>
        <v>166043</v>
      </c>
    </row>
    <row r="1369">
      <c r="A1369" s="2">
        <f>IFERROR(__xludf.DUMMYFUNCTION("""COMPUTED_VALUE"""),41150.666666666664)</f>
        <v>41150.66667</v>
      </c>
      <c r="B1369" s="1">
        <f>IFERROR(__xludf.DUMMYFUNCTION("""COMPUTED_VALUE"""),1.25)</f>
        <v>1.25</v>
      </c>
      <c r="C1369" s="1">
        <f>IFERROR(__xludf.DUMMYFUNCTION("""COMPUTED_VALUE"""),1.26)</f>
        <v>1.26</v>
      </c>
      <c r="D1369" s="1">
        <f>IFERROR(__xludf.DUMMYFUNCTION("""COMPUTED_VALUE"""),1.24)</f>
        <v>1.24</v>
      </c>
      <c r="E1369" s="1">
        <f>IFERROR(__xludf.DUMMYFUNCTION("""COMPUTED_VALUE"""),1.25)</f>
        <v>1.25</v>
      </c>
      <c r="F1369" s="1">
        <f>IFERROR(__xludf.DUMMYFUNCTION("""COMPUTED_VALUE"""),76283.0)</f>
        <v>76283</v>
      </c>
    </row>
    <row r="1370">
      <c r="A1370" s="2">
        <f>IFERROR(__xludf.DUMMYFUNCTION("""COMPUTED_VALUE"""),41151.666666666664)</f>
        <v>41151.66667</v>
      </c>
      <c r="B1370" s="1">
        <f>IFERROR(__xludf.DUMMYFUNCTION("""COMPUTED_VALUE"""),1.25)</f>
        <v>1.25</v>
      </c>
      <c r="C1370" s="1">
        <f>IFERROR(__xludf.DUMMYFUNCTION("""COMPUTED_VALUE"""),1.25)</f>
        <v>1.25</v>
      </c>
      <c r="D1370" s="1">
        <f>IFERROR(__xludf.DUMMYFUNCTION("""COMPUTED_VALUE"""),1.23)</f>
        <v>1.23</v>
      </c>
      <c r="E1370" s="1">
        <f>IFERROR(__xludf.DUMMYFUNCTION("""COMPUTED_VALUE"""),1.23)</f>
        <v>1.23</v>
      </c>
      <c r="F1370" s="1">
        <f>IFERROR(__xludf.DUMMYFUNCTION("""COMPUTED_VALUE"""),85900.0)</f>
        <v>85900</v>
      </c>
    </row>
    <row r="1371">
      <c r="A1371" s="2">
        <f>IFERROR(__xludf.DUMMYFUNCTION("""COMPUTED_VALUE"""),41152.666666666664)</f>
        <v>41152.66667</v>
      </c>
      <c r="B1371" s="1">
        <f>IFERROR(__xludf.DUMMYFUNCTION("""COMPUTED_VALUE"""),1.25)</f>
        <v>1.25</v>
      </c>
      <c r="C1371" s="1">
        <f>IFERROR(__xludf.DUMMYFUNCTION("""COMPUTED_VALUE"""),1.25)</f>
        <v>1.25</v>
      </c>
      <c r="D1371" s="1">
        <f>IFERROR(__xludf.DUMMYFUNCTION("""COMPUTED_VALUE"""),1.22)</f>
        <v>1.22</v>
      </c>
      <c r="E1371" s="1">
        <f>IFERROR(__xludf.DUMMYFUNCTION("""COMPUTED_VALUE"""),1.23)</f>
        <v>1.23</v>
      </c>
      <c r="F1371" s="1">
        <f>IFERROR(__xludf.DUMMYFUNCTION("""COMPUTED_VALUE"""),108009.0)</f>
        <v>108009</v>
      </c>
    </row>
    <row r="1372">
      <c r="A1372" s="2">
        <f>IFERROR(__xludf.DUMMYFUNCTION("""COMPUTED_VALUE"""),41156.666666666664)</f>
        <v>41156.66667</v>
      </c>
      <c r="B1372" s="1">
        <f>IFERROR(__xludf.DUMMYFUNCTION("""COMPUTED_VALUE"""),1.24)</f>
        <v>1.24</v>
      </c>
      <c r="C1372" s="1">
        <f>IFERROR(__xludf.DUMMYFUNCTION("""COMPUTED_VALUE"""),1.27)</f>
        <v>1.27</v>
      </c>
      <c r="D1372" s="1">
        <f>IFERROR(__xludf.DUMMYFUNCTION("""COMPUTED_VALUE"""),1.2)</f>
        <v>1.2</v>
      </c>
      <c r="E1372" s="1">
        <f>IFERROR(__xludf.DUMMYFUNCTION("""COMPUTED_VALUE"""),1.26)</f>
        <v>1.26</v>
      </c>
      <c r="F1372" s="1">
        <f>IFERROR(__xludf.DUMMYFUNCTION("""COMPUTED_VALUE"""),244863.0)</f>
        <v>244863</v>
      </c>
    </row>
    <row r="1373">
      <c r="A1373" s="2">
        <f>IFERROR(__xludf.DUMMYFUNCTION("""COMPUTED_VALUE"""),41157.666666666664)</f>
        <v>41157.66667</v>
      </c>
      <c r="B1373" s="1">
        <f>IFERROR(__xludf.DUMMYFUNCTION("""COMPUTED_VALUE"""),1.26)</f>
        <v>1.26</v>
      </c>
      <c r="C1373" s="1">
        <f>IFERROR(__xludf.DUMMYFUNCTION("""COMPUTED_VALUE"""),1.26)</f>
        <v>1.26</v>
      </c>
      <c r="D1373" s="1">
        <f>IFERROR(__xludf.DUMMYFUNCTION("""COMPUTED_VALUE"""),1.24)</f>
        <v>1.24</v>
      </c>
      <c r="E1373" s="1">
        <f>IFERROR(__xludf.DUMMYFUNCTION("""COMPUTED_VALUE"""),1.26)</f>
        <v>1.26</v>
      </c>
      <c r="F1373" s="1">
        <f>IFERROR(__xludf.DUMMYFUNCTION("""COMPUTED_VALUE"""),188013.0)</f>
        <v>188013</v>
      </c>
    </row>
    <row r="1374">
      <c r="A1374" s="2">
        <f>IFERROR(__xludf.DUMMYFUNCTION("""COMPUTED_VALUE"""),41158.666666666664)</f>
        <v>41158.66667</v>
      </c>
      <c r="B1374" s="1">
        <f>IFERROR(__xludf.DUMMYFUNCTION("""COMPUTED_VALUE"""),1.26)</f>
        <v>1.26</v>
      </c>
      <c r="C1374" s="1">
        <f>IFERROR(__xludf.DUMMYFUNCTION("""COMPUTED_VALUE"""),1.31)</f>
        <v>1.31</v>
      </c>
      <c r="D1374" s="1">
        <f>IFERROR(__xludf.DUMMYFUNCTION("""COMPUTED_VALUE"""),1.25)</f>
        <v>1.25</v>
      </c>
      <c r="E1374" s="1">
        <f>IFERROR(__xludf.DUMMYFUNCTION("""COMPUTED_VALUE"""),1.3)</f>
        <v>1.3</v>
      </c>
      <c r="F1374" s="1">
        <f>IFERROR(__xludf.DUMMYFUNCTION("""COMPUTED_VALUE"""),157171.0)</f>
        <v>157171</v>
      </c>
    </row>
    <row r="1375">
      <c r="A1375" s="2">
        <f>IFERROR(__xludf.DUMMYFUNCTION("""COMPUTED_VALUE"""),41159.666666666664)</f>
        <v>41159.66667</v>
      </c>
      <c r="B1375" s="1">
        <f>IFERROR(__xludf.DUMMYFUNCTION("""COMPUTED_VALUE"""),1.3)</f>
        <v>1.3</v>
      </c>
      <c r="C1375" s="1">
        <f>IFERROR(__xludf.DUMMYFUNCTION("""COMPUTED_VALUE"""),1.31)</f>
        <v>1.31</v>
      </c>
      <c r="D1375" s="1">
        <f>IFERROR(__xludf.DUMMYFUNCTION("""COMPUTED_VALUE"""),1.3)</f>
        <v>1.3</v>
      </c>
      <c r="E1375" s="1">
        <f>IFERROR(__xludf.DUMMYFUNCTION("""COMPUTED_VALUE"""),1.31)</f>
        <v>1.31</v>
      </c>
      <c r="F1375" s="1">
        <f>IFERROR(__xludf.DUMMYFUNCTION("""COMPUTED_VALUE"""),122457.0)</f>
        <v>122457</v>
      </c>
    </row>
    <row r="1376">
      <c r="A1376" s="2">
        <f>IFERROR(__xludf.DUMMYFUNCTION("""COMPUTED_VALUE"""),41162.666666666664)</f>
        <v>41162.66667</v>
      </c>
      <c r="B1376" s="1">
        <f>IFERROR(__xludf.DUMMYFUNCTION("""COMPUTED_VALUE"""),1.31)</f>
        <v>1.31</v>
      </c>
      <c r="C1376" s="1">
        <f>IFERROR(__xludf.DUMMYFUNCTION("""COMPUTED_VALUE"""),1.32)</f>
        <v>1.32</v>
      </c>
      <c r="D1376" s="1">
        <f>IFERROR(__xludf.DUMMYFUNCTION("""COMPUTED_VALUE"""),1.3)</f>
        <v>1.3</v>
      </c>
      <c r="E1376" s="1">
        <f>IFERROR(__xludf.DUMMYFUNCTION("""COMPUTED_VALUE"""),1.31)</f>
        <v>1.31</v>
      </c>
      <c r="F1376" s="1">
        <f>IFERROR(__xludf.DUMMYFUNCTION("""COMPUTED_VALUE"""),122535.0)</f>
        <v>122535</v>
      </c>
    </row>
    <row r="1377">
      <c r="A1377" s="2">
        <f>IFERROR(__xludf.DUMMYFUNCTION("""COMPUTED_VALUE"""),41163.666666666664)</f>
        <v>41163.66667</v>
      </c>
      <c r="B1377" s="1">
        <f>IFERROR(__xludf.DUMMYFUNCTION("""COMPUTED_VALUE"""),1.31)</f>
        <v>1.31</v>
      </c>
      <c r="C1377" s="1">
        <f>IFERROR(__xludf.DUMMYFUNCTION("""COMPUTED_VALUE"""),1.34)</f>
        <v>1.34</v>
      </c>
      <c r="D1377" s="1">
        <f>IFERROR(__xludf.DUMMYFUNCTION("""COMPUTED_VALUE"""),1.31)</f>
        <v>1.31</v>
      </c>
      <c r="E1377" s="1">
        <f>IFERROR(__xludf.DUMMYFUNCTION("""COMPUTED_VALUE"""),1.33)</f>
        <v>1.33</v>
      </c>
      <c r="F1377" s="1">
        <f>IFERROR(__xludf.DUMMYFUNCTION("""COMPUTED_VALUE"""),104536.0)</f>
        <v>104536</v>
      </c>
    </row>
    <row r="1378">
      <c r="A1378" s="2">
        <f>IFERROR(__xludf.DUMMYFUNCTION("""COMPUTED_VALUE"""),41164.666666666664)</f>
        <v>41164.66667</v>
      </c>
      <c r="B1378" s="1">
        <f>IFERROR(__xludf.DUMMYFUNCTION("""COMPUTED_VALUE"""),1.34)</f>
        <v>1.34</v>
      </c>
      <c r="C1378" s="1">
        <f>IFERROR(__xludf.DUMMYFUNCTION("""COMPUTED_VALUE"""),1.34)</f>
        <v>1.34</v>
      </c>
      <c r="D1378" s="1">
        <f>IFERROR(__xludf.DUMMYFUNCTION("""COMPUTED_VALUE"""),1.31)</f>
        <v>1.31</v>
      </c>
      <c r="E1378" s="1">
        <f>IFERROR(__xludf.DUMMYFUNCTION("""COMPUTED_VALUE"""),1.32)</f>
        <v>1.32</v>
      </c>
      <c r="F1378" s="1">
        <f>IFERROR(__xludf.DUMMYFUNCTION("""COMPUTED_VALUE"""),92779.0)</f>
        <v>92779</v>
      </c>
    </row>
    <row r="1379">
      <c r="A1379" s="2">
        <f>IFERROR(__xludf.DUMMYFUNCTION("""COMPUTED_VALUE"""),41165.666666666664)</f>
        <v>41165.66667</v>
      </c>
      <c r="B1379" s="1">
        <f>IFERROR(__xludf.DUMMYFUNCTION("""COMPUTED_VALUE"""),1.33)</f>
        <v>1.33</v>
      </c>
      <c r="C1379" s="1">
        <f>IFERROR(__xludf.DUMMYFUNCTION("""COMPUTED_VALUE"""),1.35)</f>
        <v>1.35</v>
      </c>
      <c r="D1379" s="1">
        <f>IFERROR(__xludf.DUMMYFUNCTION("""COMPUTED_VALUE"""),1.3)</f>
        <v>1.3</v>
      </c>
      <c r="E1379" s="1">
        <f>IFERROR(__xludf.DUMMYFUNCTION("""COMPUTED_VALUE"""),1.32)</f>
        <v>1.32</v>
      </c>
      <c r="F1379" s="1">
        <f>IFERROR(__xludf.DUMMYFUNCTION("""COMPUTED_VALUE"""),119735.0)</f>
        <v>119735</v>
      </c>
    </row>
    <row r="1380">
      <c r="A1380" s="2">
        <f>IFERROR(__xludf.DUMMYFUNCTION("""COMPUTED_VALUE"""),41166.666666666664)</f>
        <v>41166.66667</v>
      </c>
      <c r="B1380" s="1">
        <f>IFERROR(__xludf.DUMMYFUNCTION("""COMPUTED_VALUE"""),1.32)</f>
        <v>1.32</v>
      </c>
      <c r="C1380" s="1">
        <f>IFERROR(__xludf.DUMMYFUNCTION("""COMPUTED_VALUE"""),1.37)</f>
        <v>1.37</v>
      </c>
      <c r="D1380" s="1">
        <f>IFERROR(__xludf.DUMMYFUNCTION("""COMPUTED_VALUE"""),1.32)</f>
        <v>1.32</v>
      </c>
      <c r="E1380" s="1">
        <f>IFERROR(__xludf.DUMMYFUNCTION("""COMPUTED_VALUE"""),1.33)</f>
        <v>1.33</v>
      </c>
      <c r="F1380" s="1">
        <f>IFERROR(__xludf.DUMMYFUNCTION("""COMPUTED_VALUE"""),128796.0)</f>
        <v>128796</v>
      </c>
    </row>
    <row r="1381">
      <c r="A1381" s="2">
        <f>IFERROR(__xludf.DUMMYFUNCTION("""COMPUTED_VALUE"""),41169.666666666664)</f>
        <v>41169.66667</v>
      </c>
      <c r="B1381" s="1">
        <f>IFERROR(__xludf.DUMMYFUNCTION("""COMPUTED_VALUE"""),1.33)</f>
        <v>1.33</v>
      </c>
      <c r="C1381" s="1">
        <f>IFERROR(__xludf.DUMMYFUNCTION("""COMPUTED_VALUE"""),1.33)</f>
        <v>1.33</v>
      </c>
      <c r="D1381" s="1">
        <f>IFERROR(__xludf.DUMMYFUNCTION("""COMPUTED_VALUE"""),1.3)</f>
        <v>1.3</v>
      </c>
      <c r="E1381" s="1">
        <f>IFERROR(__xludf.DUMMYFUNCTION("""COMPUTED_VALUE"""),1.31)</f>
        <v>1.31</v>
      </c>
      <c r="F1381" s="1">
        <f>IFERROR(__xludf.DUMMYFUNCTION("""COMPUTED_VALUE"""),103837.0)</f>
        <v>103837</v>
      </c>
    </row>
    <row r="1382">
      <c r="A1382" s="2">
        <f>IFERROR(__xludf.DUMMYFUNCTION("""COMPUTED_VALUE"""),41170.666666666664)</f>
        <v>41170.66667</v>
      </c>
      <c r="B1382" s="1">
        <f>IFERROR(__xludf.DUMMYFUNCTION("""COMPUTED_VALUE"""),1.31)</f>
        <v>1.31</v>
      </c>
      <c r="C1382" s="1">
        <f>IFERROR(__xludf.DUMMYFUNCTION("""COMPUTED_VALUE"""),1.38)</f>
        <v>1.38</v>
      </c>
      <c r="D1382" s="1">
        <f>IFERROR(__xludf.DUMMYFUNCTION("""COMPUTED_VALUE"""),1.31)</f>
        <v>1.31</v>
      </c>
      <c r="E1382" s="1">
        <f>IFERROR(__xludf.DUMMYFUNCTION("""COMPUTED_VALUE"""),1.33)</f>
        <v>1.33</v>
      </c>
      <c r="F1382" s="1">
        <f>IFERROR(__xludf.DUMMYFUNCTION("""COMPUTED_VALUE"""),106081.0)</f>
        <v>106081</v>
      </c>
    </row>
    <row r="1383">
      <c r="A1383" s="2">
        <f>IFERROR(__xludf.DUMMYFUNCTION("""COMPUTED_VALUE"""),41171.666666666664)</f>
        <v>41171.66667</v>
      </c>
      <c r="B1383" s="1">
        <f>IFERROR(__xludf.DUMMYFUNCTION("""COMPUTED_VALUE"""),1.33)</f>
        <v>1.33</v>
      </c>
      <c r="C1383" s="1">
        <f>IFERROR(__xludf.DUMMYFUNCTION("""COMPUTED_VALUE"""),1.33)</f>
        <v>1.33</v>
      </c>
      <c r="D1383" s="1">
        <f>IFERROR(__xludf.DUMMYFUNCTION("""COMPUTED_VALUE"""),1.26)</f>
        <v>1.26</v>
      </c>
      <c r="E1383" s="1">
        <f>IFERROR(__xludf.DUMMYFUNCTION("""COMPUTED_VALUE"""),1.26)</f>
        <v>1.26</v>
      </c>
      <c r="F1383" s="1">
        <f>IFERROR(__xludf.DUMMYFUNCTION("""COMPUTED_VALUE"""),242039.0)</f>
        <v>242039</v>
      </c>
    </row>
    <row r="1384">
      <c r="A1384" s="2">
        <f>IFERROR(__xludf.DUMMYFUNCTION("""COMPUTED_VALUE"""),41172.666666666664)</f>
        <v>41172.66667</v>
      </c>
      <c r="B1384" s="1">
        <f>IFERROR(__xludf.DUMMYFUNCTION("""COMPUTED_VALUE"""),1.26)</f>
        <v>1.26</v>
      </c>
      <c r="C1384" s="1">
        <f>IFERROR(__xludf.DUMMYFUNCTION("""COMPUTED_VALUE"""),1.26)</f>
        <v>1.26</v>
      </c>
      <c r="D1384" s="1">
        <f>IFERROR(__xludf.DUMMYFUNCTION("""COMPUTED_VALUE"""),1.24)</f>
        <v>1.24</v>
      </c>
      <c r="E1384" s="1">
        <f>IFERROR(__xludf.DUMMYFUNCTION("""COMPUTED_VALUE"""),1.25)</f>
        <v>1.25</v>
      </c>
      <c r="F1384" s="1">
        <f>IFERROR(__xludf.DUMMYFUNCTION("""COMPUTED_VALUE"""),133222.0)</f>
        <v>133222</v>
      </c>
    </row>
    <row r="1385">
      <c r="A1385" s="2">
        <f>IFERROR(__xludf.DUMMYFUNCTION("""COMPUTED_VALUE"""),41173.666666666664)</f>
        <v>41173.66667</v>
      </c>
      <c r="B1385" s="1">
        <f>IFERROR(__xludf.DUMMYFUNCTION("""COMPUTED_VALUE"""),1.25)</f>
        <v>1.25</v>
      </c>
      <c r="C1385" s="1">
        <f>IFERROR(__xludf.DUMMYFUNCTION("""COMPUTED_VALUE"""),1.26)</f>
        <v>1.26</v>
      </c>
      <c r="D1385" s="1">
        <f>IFERROR(__xludf.DUMMYFUNCTION("""COMPUTED_VALUE"""),1.24)</f>
        <v>1.24</v>
      </c>
      <c r="E1385" s="1">
        <f>IFERROR(__xludf.DUMMYFUNCTION("""COMPUTED_VALUE"""),1.24)</f>
        <v>1.24</v>
      </c>
      <c r="F1385" s="1">
        <f>IFERROR(__xludf.DUMMYFUNCTION("""COMPUTED_VALUE"""),555411.0)</f>
        <v>555411</v>
      </c>
    </row>
    <row r="1386">
      <c r="A1386" s="2">
        <f>IFERROR(__xludf.DUMMYFUNCTION("""COMPUTED_VALUE"""),41176.666666666664)</f>
        <v>41176.66667</v>
      </c>
      <c r="B1386" s="1">
        <f>IFERROR(__xludf.DUMMYFUNCTION("""COMPUTED_VALUE"""),1.19)</f>
        <v>1.19</v>
      </c>
      <c r="C1386" s="1">
        <f>IFERROR(__xludf.DUMMYFUNCTION("""COMPUTED_VALUE"""),1.25)</f>
        <v>1.25</v>
      </c>
      <c r="D1386" s="1">
        <f>IFERROR(__xludf.DUMMYFUNCTION("""COMPUTED_VALUE"""),1.19)</f>
        <v>1.19</v>
      </c>
      <c r="E1386" s="1">
        <f>IFERROR(__xludf.DUMMYFUNCTION("""COMPUTED_VALUE"""),1.22)</f>
        <v>1.22</v>
      </c>
      <c r="F1386" s="1">
        <f>IFERROR(__xludf.DUMMYFUNCTION("""COMPUTED_VALUE"""),166737.0)</f>
        <v>166737</v>
      </c>
    </row>
    <row r="1387">
      <c r="A1387" s="2">
        <f>IFERROR(__xludf.DUMMYFUNCTION("""COMPUTED_VALUE"""),41177.666666666664)</f>
        <v>41177.66667</v>
      </c>
      <c r="B1387" s="1">
        <f>IFERROR(__xludf.DUMMYFUNCTION("""COMPUTED_VALUE"""),1.24)</f>
        <v>1.24</v>
      </c>
      <c r="C1387" s="1">
        <f>IFERROR(__xludf.DUMMYFUNCTION("""COMPUTED_VALUE"""),1.24)</f>
        <v>1.24</v>
      </c>
      <c r="D1387" s="1">
        <f>IFERROR(__xludf.DUMMYFUNCTION("""COMPUTED_VALUE"""),1.21)</f>
        <v>1.21</v>
      </c>
      <c r="E1387" s="1">
        <f>IFERROR(__xludf.DUMMYFUNCTION("""COMPUTED_VALUE"""),1.21)</f>
        <v>1.21</v>
      </c>
      <c r="F1387" s="1">
        <f>IFERROR(__xludf.DUMMYFUNCTION("""COMPUTED_VALUE"""),306836.0)</f>
        <v>306836</v>
      </c>
    </row>
    <row r="1388">
      <c r="A1388" s="2">
        <f>IFERROR(__xludf.DUMMYFUNCTION("""COMPUTED_VALUE"""),41178.666666666664)</f>
        <v>41178.66667</v>
      </c>
      <c r="B1388" s="1">
        <f>IFERROR(__xludf.DUMMYFUNCTION("""COMPUTED_VALUE"""),1.22)</f>
        <v>1.22</v>
      </c>
      <c r="C1388" s="1">
        <f>IFERROR(__xludf.DUMMYFUNCTION("""COMPUTED_VALUE"""),1.22)</f>
        <v>1.22</v>
      </c>
      <c r="D1388" s="1">
        <f>IFERROR(__xludf.DUMMYFUNCTION("""COMPUTED_VALUE"""),1.2)</f>
        <v>1.2</v>
      </c>
      <c r="E1388" s="1">
        <f>IFERROR(__xludf.DUMMYFUNCTION("""COMPUTED_VALUE"""),1.2)</f>
        <v>1.2</v>
      </c>
      <c r="F1388" s="1">
        <f>IFERROR(__xludf.DUMMYFUNCTION("""COMPUTED_VALUE"""),568555.0)</f>
        <v>568555</v>
      </c>
    </row>
    <row r="1389">
      <c r="A1389" s="2">
        <f>IFERROR(__xludf.DUMMYFUNCTION("""COMPUTED_VALUE"""),41179.666666666664)</f>
        <v>41179.66667</v>
      </c>
      <c r="B1389" s="1">
        <f>IFERROR(__xludf.DUMMYFUNCTION("""COMPUTED_VALUE"""),1.21)</f>
        <v>1.21</v>
      </c>
      <c r="C1389" s="1">
        <f>IFERROR(__xludf.DUMMYFUNCTION("""COMPUTED_VALUE"""),1.22)</f>
        <v>1.22</v>
      </c>
      <c r="D1389" s="1">
        <f>IFERROR(__xludf.DUMMYFUNCTION("""COMPUTED_VALUE"""),1.2)</f>
        <v>1.2</v>
      </c>
      <c r="E1389" s="1">
        <f>IFERROR(__xludf.DUMMYFUNCTION("""COMPUTED_VALUE"""),1.2)</f>
        <v>1.2</v>
      </c>
      <c r="F1389" s="1">
        <f>IFERROR(__xludf.DUMMYFUNCTION("""COMPUTED_VALUE"""),686006.0)</f>
        <v>686006</v>
      </c>
    </row>
    <row r="1390">
      <c r="A1390" s="2">
        <f>IFERROR(__xludf.DUMMYFUNCTION("""COMPUTED_VALUE"""),41180.666666666664)</f>
        <v>41180.66667</v>
      </c>
      <c r="B1390" s="1">
        <f>IFERROR(__xludf.DUMMYFUNCTION("""COMPUTED_VALUE"""),1.2)</f>
        <v>1.2</v>
      </c>
      <c r="C1390" s="1">
        <f>IFERROR(__xludf.DUMMYFUNCTION("""COMPUTED_VALUE"""),1.21)</f>
        <v>1.21</v>
      </c>
      <c r="D1390" s="1">
        <f>IFERROR(__xludf.DUMMYFUNCTION("""COMPUTED_VALUE"""),1.19)</f>
        <v>1.19</v>
      </c>
      <c r="E1390" s="1">
        <f>IFERROR(__xludf.DUMMYFUNCTION("""COMPUTED_VALUE"""),1.2)</f>
        <v>1.2</v>
      </c>
      <c r="F1390" s="1">
        <f>IFERROR(__xludf.DUMMYFUNCTION("""COMPUTED_VALUE"""),254342.0)</f>
        <v>254342</v>
      </c>
    </row>
    <row r="1391">
      <c r="A1391" s="2">
        <f>IFERROR(__xludf.DUMMYFUNCTION("""COMPUTED_VALUE"""),41183.666666666664)</f>
        <v>41183.66667</v>
      </c>
      <c r="B1391" s="1">
        <f>IFERROR(__xludf.DUMMYFUNCTION("""COMPUTED_VALUE"""),1.21)</f>
        <v>1.21</v>
      </c>
      <c r="C1391" s="1">
        <f>IFERROR(__xludf.DUMMYFUNCTION("""COMPUTED_VALUE"""),1.23)</f>
        <v>1.23</v>
      </c>
      <c r="D1391" s="1">
        <f>IFERROR(__xludf.DUMMYFUNCTION("""COMPUTED_VALUE"""),1.2)</f>
        <v>1.2</v>
      </c>
      <c r="E1391" s="1">
        <f>IFERROR(__xludf.DUMMYFUNCTION("""COMPUTED_VALUE"""),1.21)</f>
        <v>1.21</v>
      </c>
      <c r="F1391" s="1">
        <f>IFERROR(__xludf.DUMMYFUNCTION("""COMPUTED_VALUE"""),131387.0)</f>
        <v>131387</v>
      </c>
    </row>
    <row r="1392">
      <c r="A1392" s="2">
        <f>IFERROR(__xludf.DUMMYFUNCTION("""COMPUTED_VALUE"""),41184.666666666664)</f>
        <v>41184.66667</v>
      </c>
      <c r="B1392" s="1">
        <f>IFERROR(__xludf.DUMMYFUNCTION("""COMPUTED_VALUE"""),1.22)</f>
        <v>1.22</v>
      </c>
      <c r="C1392" s="1">
        <f>IFERROR(__xludf.DUMMYFUNCTION("""COMPUTED_VALUE"""),1.24)</f>
        <v>1.24</v>
      </c>
      <c r="D1392" s="1">
        <f>IFERROR(__xludf.DUMMYFUNCTION("""COMPUTED_VALUE"""),1.18)</f>
        <v>1.18</v>
      </c>
      <c r="E1392" s="1">
        <f>IFERROR(__xludf.DUMMYFUNCTION("""COMPUTED_VALUE"""),1.19)</f>
        <v>1.19</v>
      </c>
      <c r="F1392" s="1">
        <f>IFERROR(__xludf.DUMMYFUNCTION("""COMPUTED_VALUE"""),183155.0)</f>
        <v>183155</v>
      </c>
    </row>
    <row r="1393">
      <c r="A1393" s="2">
        <f>IFERROR(__xludf.DUMMYFUNCTION("""COMPUTED_VALUE"""),41185.666666666664)</f>
        <v>41185.66667</v>
      </c>
      <c r="B1393" s="1">
        <f>IFERROR(__xludf.DUMMYFUNCTION("""COMPUTED_VALUE"""),1.19)</f>
        <v>1.19</v>
      </c>
      <c r="C1393" s="1">
        <f>IFERROR(__xludf.DUMMYFUNCTION("""COMPUTED_VALUE"""),1.19)</f>
        <v>1.19</v>
      </c>
      <c r="D1393" s="1">
        <f>IFERROR(__xludf.DUMMYFUNCTION("""COMPUTED_VALUE"""),1.14)</f>
        <v>1.14</v>
      </c>
      <c r="E1393" s="1">
        <f>IFERROR(__xludf.DUMMYFUNCTION("""COMPUTED_VALUE"""),1.14)</f>
        <v>1.14</v>
      </c>
      <c r="F1393" s="1">
        <f>IFERROR(__xludf.DUMMYFUNCTION("""COMPUTED_VALUE"""),206076.0)</f>
        <v>206076</v>
      </c>
    </row>
    <row r="1394">
      <c r="A1394" s="2">
        <f>IFERROR(__xludf.DUMMYFUNCTION("""COMPUTED_VALUE"""),41186.666666666664)</f>
        <v>41186.66667</v>
      </c>
      <c r="B1394" s="1">
        <f>IFERROR(__xludf.DUMMYFUNCTION("""COMPUTED_VALUE"""),1.15)</f>
        <v>1.15</v>
      </c>
      <c r="C1394" s="1">
        <f>IFERROR(__xludf.DUMMYFUNCTION("""COMPUTED_VALUE"""),1.15)</f>
        <v>1.15</v>
      </c>
      <c r="D1394" s="1">
        <f>IFERROR(__xludf.DUMMYFUNCTION("""COMPUTED_VALUE"""),1.1)</f>
        <v>1.1</v>
      </c>
      <c r="E1394" s="1">
        <f>IFERROR(__xludf.DUMMYFUNCTION("""COMPUTED_VALUE"""),1.1)</f>
        <v>1.1</v>
      </c>
      <c r="F1394" s="1">
        <f>IFERROR(__xludf.DUMMYFUNCTION("""COMPUTED_VALUE"""),306598.0)</f>
        <v>306598</v>
      </c>
    </row>
    <row r="1395">
      <c r="A1395" s="2">
        <f>IFERROR(__xludf.DUMMYFUNCTION("""COMPUTED_VALUE"""),41187.666666666664)</f>
        <v>41187.66667</v>
      </c>
      <c r="B1395" s="1">
        <f>IFERROR(__xludf.DUMMYFUNCTION("""COMPUTED_VALUE"""),1.11)</f>
        <v>1.11</v>
      </c>
      <c r="C1395" s="1">
        <f>IFERROR(__xludf.DUMMYFUNCTION("""COMPUTED_VALUE"""),1.13)</f>
        <v>1.13</v>
      </c>
      <c r="D1395" s="1">
        <f>IFERROR(__xludf.DUMMYFUNCTION("""COMPUTED_VALUE"""),1.1)</f>
        <v>1.1</v>
      </c>
      <c r="E1395" s="1">
        <f>IFERROR(__xludf.DUMMYFUNCTION("""COMPUTED_VALUE"""),1.1)</f>
        <v>1.1</v>
      </c>
      <c r="F1395" s="1">
        <f>IFERROR(__xludf.DUMMYFUNCTION("""COMPUTED_VALUE"""),194233.0)</f>
        <v>194233</v>
      </c>
    </row>
    <row r="1396">
      <c r="A1396" s="2">
        <f>IFERROR(__xludf.DUMMYFUNCTION("""COMPUTED_VALUE"""),41190.666666666664)</f>
        <v>41190.66667</v>
      </c>
      <c r="B1396" s="1">
        <f>IFERROR(__xludf.DUMMYFUNCTION("""COMPUTED_VALUE"""),1.1)</f>
        <v>1.1</v>
      </c>
      <c r="C1396" s="1">
        <f>IFERROR(__xludf.DUMMYFUNCTION("""COMPUTED_VALUE"""),1.1)</f>
        <v>1.1</v>
      </c>
      <c r="D1396" s="1">
        <f>IFERROR(__xludf.DUMMYFUNCTION("""COMPUTED_VALUE"""),1.06)</f>
        <v>1.06</v>
      </c>
      <c r="E1396" s="1">
        <f>IFERROR(__xludf.DUMMYFUNCTION("""COMPUTED_VALUE"""),1.06)</f>
        <v>1.06</v>
      </c>
      <c r="F1396" s="1">
        <f>IFERROR(__xludf.DUMMYFUNCTION("""COMPUTED_VALUE"""),268083.0)</f>
        <v>268083</v>
      </c>
    </row>
    <row r="1397">
      <c r="A1397" s="2">
        <f>IFERROR(__xludf.DUMMYFUNCTION("""COMPUTED_VALUE"""),41191.666666666664)</f>
        <v>41191.66667</v>
      </c>
      <c r="B1397" s="1">
        <f>IFERROR(__xludf.DUMMYFUNCTION("""COMPUTED_VALUE"""),1.02)</f>
        <v>1.02</v>
      </c>
      <c r="C1397" s="1">
        <f>IFERROR(__xludf.DUMMYFUNCTION("""COMPUTED_VALUE"""),1.07)</f>
        <v>1.07</v>
      </c>
      <c r="D1397" s="1">
        <f>IFERROR(__xludf.DUMMYFUNCTION("""COMPUTED_VALUE"""),0.91)</f>
        <v>0.91</v>
      </c>
      <c r="E1397" s="1">
        <f>IFERROR(__xludf.DUMMYFUNCTION("""COMPUTED_VALUE"""),0.93)</f>
        <v>0.93</v>
      </c>
      <c r="F1397" s="1">
        <f>IFERROR(__xludf.DUMMYFUNCTION("""COMPUTED_VALUE"""),780110.0)</f>
        <v>780110</v>
      </c>
    </row>
    <row r="1398">
      <c r="A1398" s="2">
        <f>IFERROR(__xludf.DUMMYFUNCTION("""COMPUTED_VALUE"""),41192.666666666664)</f>
        <v>41192.66667</v>
      </c>
      <c r="B1398" s="1">
        <f>IFERROR(__xludf.DUMMYFUNCTION("""COMPUTED_VALUE"""),0.93)</f>
        <v>0.93</v>
      </c>
      <c r="C1398" s="1">
        <f>IFERROR(__xludf.DUMMYFUNCTION("""COMPUTED_VALUE"""),0.93)</f>
        <v>0.93</v>
      </c>
      <c r="D1398" s="1">
        <f>IFERROR(__xludf.DUMMYFUNCTION("""COMPUTED_VALUE"""),0.89)</f>
        <v>0.89</v>
      </c>
      <c r="E1398" s="1">
        <f>IFERROR(__xludf.DUMMYFUNCTION("""COMPUTED_VALUE"""),0.9)</f>
        <v>0.9</v>
      </c>
      <c r="F1398" s="1">
        <f>IFERROR(__xludf.DUMMYFUNCTION("""COMPUTED_VALUE"""),766536.0)</f>
        <v>766536</v>
      </c>
    </row>
    <row r="1399">
      <c r="A1399" s="2">
        <f>IFERROR(__xludf.DUMMYFUNCTION("""COMPUTED_VALUE"""),41193.666666666664)</f>
        <v>41193.66667</v>
      </c>
      <c r="B1399" s="1">
        <f>IFERROR(__xludf.DUMMYFUNCTION("""COMPUTED_VALUE"""),0.91)</f>
        <v>0.91</v>
      </c>
      <c r="C1399" s="1">
        <f>IFERROR(__xludf.DUMMYFUNCTION("""COMPUTED_VALUE"""),0.94)</f>
        <v>0.94</v>
      </c>
      <c r="D1399" s="1">
        <f>IFERROR(__xludf.DUMMYFUNCTION("""COMPUTED_VALUE"""),0.9)</f>
        <v>0.9</v>
      </c>
      <c r="E1399" s="1">
        <f>IFERROR(__xludf.DUMMYFUNCTION("""COMPUTED_VALUE"""),0.93)</f>
        <v>0.93</v>
      </c>
      <c r="F1399" s="1">
        <f>IFERROR(__xludf.DUMMYFUNCTION("""COMPUTED_VALUE"""),310603.0)</f>
        <v>310603</v>
      </c>
    </row>
    <row r="1400">
      <c r="A1400" s="2">
        <f>IFERROR(__xludf.DUMMYFUNCTION("""COMPUTED_VALUE"""),41194.666666666664)</f>
        <v>41194.66667</v>
      </c>
      <c r="B1400" s="1">
        <f>IFERROR(__xludf.DUMMYFUNCTION("""COMPUTED_VALUE"""),0.93)</f>
        <v>0.93</v>
      </c>
      <c r="C1400" s="1">
        <f>IFERROR(__xludf.DUMMYFUNCTION("""COMPUTED_VALUE"""),0.93)</f>
        <v>0.93</v>
      </c>
      <c r="D1400" s="1">
        <f>IFERROR(__xludf.DUMMYFUNCTION("""COMPUTED_VALUE"""),0.88)</f>
        <v>0.88</v>
      </c>
      <c r="E1400" s="1">
        <f>IFERROR(__xludf.DUMMYFUNCTION("""COMPUTED_VALUE"""),0.88)</f>
        <v>0.88</v>
      </c>
      <c r="F1400" s="1">
        <f>IFERROR(__xludf.DUMMYFUNCTION("""COMPUTED_VALUE"""),362892.0)</f>
        <v>362892</v>
      </c>
    </row>
    <row r="1401">
      <c r="A1401" s="2">
        <f>IFERROR(__xludf.DUMMYFUNCTION("""COMPUTED_VALUE"""),41197.666666666664)</f>
        <v>41197.66667</v>
      </c>
      <c r="B1401" s="1">
        <f>IFERROR(__xludf.DUMMYFUNCTION("""COMPUTED_VALUE"""),0.89)</f>
        <v>0.89</v>
      </c>
      <c r="C1401" s="1">
        <f>IFERROR(__xludf.DUMMYFUNCTION("""COMPUTED_VALUE"""),0.94)</f>
        <v>0.94</v>
      </c>
      <c r="D1401" s="1">
        <f>IFERROR(__xludf.DUMMYFUNCTION("""COMPUTED_VALUE"""),0.88)</f>
        <v>0.88</v>
      </c>
      <c r="E1401" s="1">
        <f>IFERROR(__xludf.DUMMYFUNCTION("""COMPUTED_VALUE"""),0.93)</f>
        <v>0.93</v>
      </c>
      <c r="F1401" s="1">
        <f>IFERROR(__xludf.DUMMYFUNCTION("""COMPUTED_VALUE"""),420063.0)</f>
        <v>420063</v>
      </c>
    </row>
    <row r="1402">
      <c r="A1402" s="2">
        <f>IFERROR(__xludf.DUMMYFUNCTION("""COMPUTED_VALUE"""),41198.666666666664)</f>
        <v>41198.66667</v>
      </c>
      <c r="B1402" s="1">
        <f>IFERROR(__xludf.DUMMYFUNCTION("""COMPUTED_VALUE"""),0.93)</f>
        <v>0.93</v>
      </c>
      <c r="C1402" s="1">
        <f>IFERROR(__xludf.DUMMYFUNCTION("""COMPUTED_VALUE"""),0.95)</f>
        <v>0.95</v>
      </c>
      <c r="D1402" s="1">
        <f>IFERROR(__xludf.DUMMYFUNCTION("""COMPUTED_VALUE"""),0.92)</f>
        <v>0.92</v>
      </c>
      <c r="E1402" s="1">
        <f>IFERROR(__xludf.DUMMYFUNCTION("""COMPUTED_VALUE"""),0.92)</f>
        <v>0.92</v>
      </c>
      <c r="F1402" s="1">
        <f>IFERROR(__xludf.DUMMYFUNCTION("""COMPUTED_VALUE"""),209964.0)</f>
        <v>209964</v>
      </c>
    </row>
    <row r="1403">
      <c r="A1403" s="2">
        <f>IFERROR(__xludf.DUMMYFUNCTION("""COMPUTED_VALUE"""),41199.666666666664)</f>
        <v>41199.66667</v>
      </c>
      <c r="B1403" s="1">
        <f>IFERROR(__xludf.DUMMYFUNCTION("""COMPUTED_VALUE"""),0.93)</f>
        <v>0.93</v>
      </c>
      <c r="C1403" s="1">
        <f>IFERROR(__xludf.DUMMYFUNCTION("""COMPUTED_VALUE"""),0.94)</f>
        <v>0.94</v>
      </c>
      <c r="D1403" s="1">
        <f>IFERROR(__xludf.DUMMYFUNCTION("""COMPUTED_VALUE"""),0.91)</f>
        <v>0.91</v>
      </c>
      <c r="E1403" s="1">
        <f>IFERROR(__xludf.DUMMYFUNCTION("""COMPUTED_VALUE"""),0.92)</f>
        <v>0.92</v>
      </c>
      <c r="F1403" s="1">
        <f>IFERROR(__xludf.DUMMYFUNCTION("""COMPUTED_VALUE"""),231589.0)</f>
        <v>231589</v>
      </c>
    </row>
    <row r="1404">
      <c r="A1404" s="2">
        <f>IFERROR(__xludf.DUMMYFUNCTION("""COMPUTED_VALUE"""),41200.666666666664)</f>
        <v>41200.66667</v>
      </c>
      <c r="B1404" s="1">
        <f>IFERROR(__xludf.DUMMYFUNCTION("""COMPUTED_VALUE"""),0.92)</f>
        <v>0.92</v>
      </c>
      <c r="C1404" s="1">
        <f>IFERROR(__xludf.DUMMYFUNCTION("""COMPUTED_VALUE"""),0.93)</f>
        <v>0.93</v>
      </c>
      <c r="D1404" s="1">
        <f>IFERROR(__xludf.DUMMYFUNCTION("""COMPUTED_VALUE"""),0.9)</f>
        <v>0.9</v>
      </c>
      <c r="E1404" s="1">
        <f>IFERROR(__xludf.DUMMYFUNCTION("""COMPUTED_VALUE"""),0.91)</f>
        <v>0.91</v>
      </c>
      <c r="F1404" s="1">
        <f>IFERROR(__xludf.DUMMYFUNCTION("""COMPUTED_VALUE"""),127781.0)</f>
        <v>127781</v>
      </c>
    </row>
    <row r="1405">
      <c r="A1405" s="2">
        <f>IFERROR(__xludf.DUMMYFUNCTION("""COMPUTED_VALUE"""),41201.666666666664)</f>
        <v>41201.66667</v>
      </c>
      <c r="B1405" s="1">
        <f>IFERROR(__xludf.DUMMYFUNCTION("""COMPUTED_VALUE"""),0.91)</f>
        <v>0.91</v>
      </c>
      <c r="C1405" s="1">
        <f>IFERROR(__xludf.DUMMYFUNCTION("""COMPUTED_VALUE"""),0.91)</f>
        <v>0.91</v>
      </c>
      <c r="D1405" s="1">
        <f>IFERROR(__xludf.DUMMYFUNCTION("""COMPUTED_VALUE"""),0.88)</f>
        <v>0.88</v>
      </c>
      <c r="E1405" s="1">
        <f>IFERROR(__xludf.DUMMYFUNCTION("""COMPUTED_VALUE"""),0.89)</f>
        <v>0.89</v>
      </c>
      <c r="F1405" s="1">
        <f>IFERROR(__xludf.DUMMYFUNCTION("""COMPUTED_VALUE"""),170912.0)</f>
        <v>170912</v>
      </c>
    </row>
    <row r="1406">
      <c r="A1406" s="2">
        <f>IFERROR(__xludf.DUMMYFUNCTION("""COMPUTED_VALUE"""),41204.666666666664)</f>
        <v>41204.66667</v>
      </c>
      <c r="B1406" s="1">
        <f>IFERROR(__xludf.DUMMYFUNCTION("""COMPUTED_VALUE"""),0.89)</f>
        <v>0.89</v>
      </c>
      <c r="C1406" s="1">
        <f>IFERROR(__xludf.DUMMYFUNCTION("""COMPUTED_VALUE"""),0.93)</f>
        <v>0.93</v>
      </c>
      <c r="D1406" s="1">
        <f>IFERROR(__xludf.DUMMYFUNCTION("""COMPUTED_VALUE"""),0.89)</f>
        <v>0.89</v>
      </c>
      <c r="E1406" s="1">
        <f>IFERROR(__xludf.DUMMYFUNCTION("""COMPUTED_VALUE"""),0.92)</f>
        <v>0.92</v>
      </c>
      <c r="F1406" s="1">
        <f>IFERROR(__xludf.DUMMYFUNCTION("""COMPUTED_VALUE"""),271822.0)</f>
        <v>271822</v>
      </c>
    </row>
    <row r="1407">
      <c r="A1407" s="2">
        <f>IFERROR(__xludf.DUMMYFUNCTION("""COMPUTED_VALUE"""),41205.666666666664)</f>
        <v>41205.66667</v>
      </c>
      <c r="B1407" s="1">
        <f>IFERROR(__xludf.DUMMYFUNCTION("""COMPUTED_VALUE"""),0.92)</f>
        <v>0.92</v>
      </c>
      <c r="C1407" s="1">
        <f>IFERROR(__xludf.DUMMYFUNCTION("""COMPUTED_VALUE"""),0.94)</f>
        <v>0.94</v>
      </c>
      <c r="D1407" s="1">
        <f>IFERROR(__xludf.DUMMYFUNCTION("""COMPUTED_VALUE"""),0.89)</f>
        <v>0.89</v>
      </c>
      <c r="E1407" s="1">
        <f>IFERROR(__xludf.DUMMYFUNCTION("""COMPUTED_VALUE"""),0.91)</f>
        <v>0.91</v>
      </c>
      <c r="F1407" s="1">
        <f>IFERROR(__xludf.DUMMYFUNCTION("""COMPUTED_VALUE"""),414469.0)</f>
        <v>414469</v>
      </c>
    </row>
    <row r="1408">
      <c r="A1408" s="2">
        <f>IFERROR(__xludf.DUMMYFUNCTION("""COMPUTED_VALUE"""),41206.666666666664)</f>
        <v>41206.66667</v>
      </c>
      <c r="B1408" s="1">
        <f>IFERROR(__xludf.DUMMYFUNCTION("""COMPUTED_VALUE"""),0.91)</f>
        <v>0.91</v>
      </c>
      <c r="C1408" s="1">
        <f>IFERROR(__xludf.DUMMYFUNCTION("""COMPUTED_VALUE"""),0.91)</f>
        <v>0.91</v>
      </c>
      <c r="D1408" s="1">
        <f>IFERROR(__xludf.DUMMYFUNCTION("""COMPUTED_VALUE"""),0.8)</f>
        <v>0.8</v>
      </c>
      <c r="E1408" s="1">
        <f>IFERROR(__xludf.DUMMYFUNCTION("""COMPUTED_VALUE"""),0.81)</f>
        <v>0.81</v>
      </c>
      <c r="F1408" s="1">
        <f>IFERROR(__xludf.DUMMYFUNCTION("""COMPUTED_VALUE"""),994702.0)</f>
        <v>994702</v>
      </c>
    </row>
    <row r="1409">
      <c r="A1409" s="2">
        <f>IFERROR(__xludf.DUMMYFUNCTION("""COMPUTED_VALUE"""),41207.666666666664)</f>
        <v>41207.66667</v>
      </c>
      <c r="B1409" s="1">
        <f>IFERROR(__xludf.DUMMYFUNCTION("""COMPUTED_VALUE"""),0.82)</f>
        <v>0.82</v>
      </c>
      <c r="C1409" s="1">
        <f>IFERROR(__xludf.DUMMYFUNCTION("""COMPUTED_VALUE"""),0.83)</f>
        <v>0.83</v>
      </c>
      <c r="D1409" s="1">
        <f>IFERROR(__xludf.DUMMYFUNCTION("""COMPUTED_VALUE"""),0.81)</f>
        <v>0.81</v>
      </c>
      <c r="E1409" s="1">
        <f>IFERROR(__xludf.DUMMYFUNCTION("""COMPUTED_VALUE"""),0.82)</f>
        <v>0.82</v>
      </c>
      <c r="F1409" s="1">
        <f>IFERROR(__xludf.DUMMYFUNCTION("""COMPUTED_VALUE"""),424865.0)</f>
        <v>424865</v>
      </c>
    </row>
    <row r="1410">
      <c r="A1410" s="2">
        <f>IFERROR(__xludf.DUMMYFUNCTION("""COMPUTED_VALUE"""),41208.666666666664)</f>
        <v>41208.66667</v>
      </c>
      <c r="B1410" s="1">
        <f>IFERROR(__xludf.DUMMYFUNCTION("""COMPUTED_VALUE"""),0.82)</f>
        <v>0.82</v>
      </c>
      <c r="C1410" s="1">
        <f>IFERROR(__xludf.DUMMYFUNCTION("""COMPUTED_VALUE"""),0.83)</f>
        <v>0.83</v>
      </c>
      <c r="D1410" s="1">
        <f>IFERROR(__xludf.DUMMYFUNCTION("""COMPUTED_VALUE"""),0.8)</f>
        <v>0.8</v>
      </c>
      <c r="E1410" s="1">
        <f>IFERROR(__xludf.DUMMYFUNCTION("""COMPUTED_VALUE"""),0.8)</f>
        <v>0.8</v>
      </c>
      <c r="F1410" s="1">
        <f>IFERROR(__xludf.DUMMYFUNCTION("""COMPUTED_VALUE"""),411938.0)</f>
        <v>411938</v>
      </c>
    </row>
    <row r="1411">
      <c r="A1411" s="2">
        <f>IFERROR(__xludf.DUMMYFUNCTION("""COMPUTED_VALUE"""),41213.666666666664)</f>
        <v>41213.66667</v>
      </c>
      <c r="B1411" s="1">
        <f>IFERROR(__xludf.DUMMYFUNCTION("""COMPUTED_VALUE"""),0.8)</f>
        <v>0.8</v>
      </c>
      <c r="C1411" s="1">
        <f>IFERROR(__xludf.DUMMYFUNCTION("""COMPUTED_VALUE"""),0.82)</f>
        <v>0.82</v>
      </c>
      <c r="D1411" s="1">
        <f>IFERROR(__xludf.DUMMYFUNCTION("""COMPUTED_VALUE"""),0.79)</f>
        <v>0.79</v>
      </c>
      <c r="E1411" s="1">
        <f>IFERROR(__xludf.DUMMYFUNCTION("""COMPUTED_VALUE"""),0.79)</f>
        <v>0.79</v>
      </c>
      <c r="F1411" s="1">
        <f>IFERROR(__xludf.DUMMYFUNCTION("""COMPUTED_VALUE"""),302236.0)</f>
        <v>302236</v>
      </c>
    </row>
    <row r="1412">
      <c r="A1412" s="2">
        <f>IFERROR(__xludf.DUMMYFUNCTION("""COMPUTED_VALUE"""),41214.666666666664)</f>
        <v>41214.66667</v>
      </c>
      <c r="B1412" s="1">
        <f>IFERROR(__xludf.DUMMYFUNCTION("""COMPUTED_VALUE"""),0.79)</f>
        <v>0.79</v>
      </c>
      <c r="C1412" s="1">
        <f>IFERROR(__xludf.DUMMYFUNCTION("""COMPUTED_VALUE"""),0.8)</f>
        <v>0.8</v>
      </c>
      <c r="D1412" s="1">
        <f>IFERROR(__xludf.DUMMYFUNCTION("""COMPUTED_VALUE"""),0.79)</f>
        <v>0.79</v>
      </c>
      <c r="E1412" s="1">
        <f>IFERROR(__xludf.DUMMYFUNCTION("""COMPUTED_VALUE"""),0.8)</f>
        <v>0.8</v>
      </c>
      <c r="F1412" s="1">
        <f>IFERROR(__xludf.DUMMYFUNCTION("""COMPUTED_VALUE"""),228787.0)</f>
        <v>228787</v>
      </c>
    </row>
    <row r="1413">
      <c r="A1413" s="2">
        <f>IFERROR(__xludf.DUMMYFUNCTION("""COMPUTED_VALUE"""),41215.666666666664)</f>
        <v>41215.66667</v>
      </c>
      <c r="B1413" s="1">
        <f>IFERROR(__xludf.DUMMYFUNCTION("""COMPUTED_VALUE"""),0.8)</f>
        <v>0.8</v>
      </c>
      <c r="C1413" s="1">
        <f>IFERROR(__xludf.DUMMYFUNCTION("""COMPUTED_VALUE"""),0.81)</f>
        <v>0.81</v>
      </c>
      <c r="D1413" s="1">
        <f>IFERROR(__xludf.DUMMYFUNCTION("""COMPUTED_VALUE"""),0.79)</f>
        <v>0.79</v>
      </c>
      <c r="E1413" s="1">
        <f>IFERROR(__xludf.DUMMYFUNCTION("""COMPUTED_VALUE"""),0.8)</f>
        <v>0.8</v>
      </c>
      <c r="F1413" s="1">
        <f>IFERROR(__xludf.DUMMYFUNCTION("""COMPUTED_VALUE"""),307793.0)</f>
        <v>307793</v>
      </c>
    </row>
    <row r="1414">
      <c r="A1414" s="2">
        <f>IFERROR(__xludf.DUMMYFUNCTION("""COMPUTED_VALUE"""),41218.666666666664)</f>
        <v>41218.66667</v>
      </c>
      <c r="B1414" s="1">
        <f>IFERROR(__xludf.DUMMYFUNCTION("""COMPUTED_VALUE"""),0.8)</f>
        <v>0.8</v>
      </c>
      <c r="C1414" s="1">
        <f>IFERROR(__xludf.DUMMYFUNCTION("""COMPUTED_VALUE"""),0.82)</f>
        <v>0.82</v>
      </c>
      <c r="D1414" s="1">
        <f>IFERROR(__xludf.DUMMYFUNCTION("""COMPUTED_VALUE"""),0.8)</f>
        <v>0.8</v>
      </c>
      <c r="E1414" s="1">
        <f>IFERROR(__xludf.DUMMYFUNCTION("""COMPUTED_VALUE"""),0.8)</f>
        <v>0.8</v>
      </c>
      <c r="F1414" s="1">
        <f>IFERROR(__xludf.DUMMYFUNCTION("""COMPUTED_VALUE"""),145591.0)</f>
        <v>145591</v>
      </c>
    </row>
    <row r="1415">
      <c r="A1415" s="2">
        <f>IFERROR(__xludf.DUMMYFUNCTION("""COMPUTED_VALUE"""),41219.666666666664)</f>
        <v>41219.66667</v>
      </c>
      <c r="B1415" s="1">
        <f>IFERROR(__xludf.DUMMYFUNCTION("""COMPUTED_VALUE"""),0.81)</f>
        <v>0.81</v>
      </c>
      <c r="C1415" s="1">
        <f>IFERROR(__xludf.DUMMYFUNCTION("""COMPUTED_VALUE"""),0.82)</f>
        <v>0.82</v>
      </c>
      <c r="D1415" s="1">
        <f>IFERROR(__xludf.DUMMYFUNCTION("""COMPUTED_VALUE"""),0.8)</f>
        <v>0.8</v>
      </c>
      <c r="E1415" s="1">
        <f>IFERROR(__xludf.DUMMYFUNCTION("""COMPUTED_VALUE"""),0.82)</f>
        <v>0.82</v>
      </c>
      <c r="F1415" s="1">
        <f>IFERROR(__xludf.DUMMYFUNCTION("""COMPUTED_VALUE"""),176587.0)</f>
        <v>176587</v>
      </c>
    </row>
    <row r="1416">
      <c r="A1416" s="2">
        <f>IFERROR(__xludf.DUMMYFUNCTION("""COMPUTED_VALUE"""),41220.666666666664)</f>
        <v>41220.66667</v>
      </c>
      <c r="B1416" s="1">
        <f>IFERROR(__xludf.DUMMYFUNCTION("""COMPUTED_VALUE"""),0.81)</f>
        <v>0.81</v>
      </c>
      <c r="C1416" s="1">
        <f>IFERROR(__xludf.DUMMYFUNCTION("""COMPUTED_VALUE"""),0.81)</f>
        <v>0.81</v>
      </c>
      <c r="D1416" s="1">
        <f>IFERROR(__xludf.DUMMYFUNCTION("""COMPUTED_VALUE"""),0.79)</f>
        <v>0.79</v>
      </c>
      <c r="E1416" s="1">
        <f>IFERROR(__xludf.DUMMYFUNCTION("""COMPUTED_VALUE"""),0.8)</f>
        <v>0.8</v>
      </c>
      <c r="F1416" s="1">
        <f>IFERROR(__xludf.DUMMYFUNCTION("""COMPUTED_VALUE"""),199681.0)</f>
        <v>199681</v>
      </c>
    </row>
    <row r="1417">
      <c r="A1417" s="2">
        <f>IFERROR(__xludf.DUMMYFUNCTION("""COMPUTED_VALUE"""),41221.666666666664)</f>
        <v>41221.66667</v>
      </c>
      <c r="B1417" s="1">
        <f>IFERROR(__xludf.DUMMYFUNCTION("""COMPUTED_VALUE"""),0.8)</f>
        <v>0.8</v>
      </c>
      <c r="C1417" s="1">
        <f>IFERROR(__xludf.DUMMYFUNCTION("""COMPUTED_VALUE"""),0.8)</f>
        <v>0.8</v>
      </c>
      <c r="D1417" s="1">
        <f>IFERROR(__xludf.DUMMYFUNCTION("""COMPUTED_VALUE"""),0.79)</f>
        <v>0.79</v>
      </c>
      <c r="E1417" s="1">
        <f>IFERROR(__xludf.DUMMYFUNCTION("""COMPUTED_VALUE"""),0.79)</f>
        <v>0.79</v>
      </c>
      <c r="F1417" s="1">
        <f>IFERROR(__xludf.DUMMYFUNCTION("""COMPUTED_VALUE"""),139394.0)</f>
        <v>139394</v>
      </c>
    </row>
    <row r="1418">
      <c r="A1418" s="2">
        <f>IFERROR(__xludf.DUMMYFUNCTION("""COMPUTED_VALUE"""),41222.666666666664)</f>
        <v>41222.66667</v>
      </c>
      <c r="B1418" s="1">
        <f>IFERROR(__xludf.DUMMYFUNCTION("""COMPUTED_VALUE"""),0.79)</f>
        <v>0.79</v>
      </c>
      <c r="C1418" s="1">
        <f>IFERROR(__xludf.DUMMYFUNCTION("""COMPUTED_VALUE"""),0.81)</f>
        <v>0.81</v>
      </c>
      <c r="D1418" s="1">
        <f>IFERROR(__xludf.DUMMYFUNCTION("""COMPUTED_VALUE"""),0.79)</f>
        <v>0.79</v>
      </c>
      <c r="E1418" s="1">
        <f>IFERROR(__xludf.DUMMYFUNCTION("""COMPUTED_VALUE"""),0.81)</f>
        <v>0.81</v>
      </c>
      <c r="F1418" s="1">
        <f>IFERROR(__xludf.DUMMYFUNCTION("""COMPUTED_VALUE"""),165829.0)</f>
        <v>165829</v>
      </c>
    </row>
    <row r="1419">
      <c r="A1419" s="2">
        <f>IFERROR(__xludf.DUMMYFUNCTION("""COMPUTED_VALUE"""),41225.666666666664)</f>
        <v>41225.66667</v>
      </c>
      <c r="B1419" s="1">
        <f>IFERROR(__xludf.DUMMYFUNCTION("""COMPUTED_VALUE"""),0.81)</f>
        <v>0.81</v>
      </c>
      <c r="C1419" s="1">
        <f>IFERROR(__xludf.DUMMYFUNCTION("""COMPUTED_VALUE"""),0.81)</f>
        <v>0.81</v>
      </c>
      <c r="D1419" s="1">
        <f>IFERROR(__xludf.DUMMYFUNCTION("""COMPUTED_VALUE"""),0.79)</f>
        <v>0.79</v>
      </c>
      <c r="E1419" s="1">
        <f>IFERROR(__xludf.DUMMYFUNCTION("""COMPUTED_VALUE"""),0.8)</f>
        <v>0.8</v>
      </c>
      <c r="F1419" s="1">
        <f>IFERROR(__xludf.DUMMYFUNCTION("""COMPUTED_VALUE"""),157531.0)</f>
        <v>157531</v>
      </c>
    </row>
    <row r="1420">
      <c r="A1420" s="2">
        <f>IFERROR(__xludf.DUMMYFUNCTION("""COMPUTED_VALUE"""),41226.666666666664)</f>
        <v>41226.66667</v>
      </c>
      <c r="B1420" s="1">
        <f>IFERROR(__xludf.DUMMYFUNCTION("""COMPUTED_VALUE"""),0.8)</f>
        <v>0.8</v>
      </c>
      <c r="C1420" s="1">
        <f>IFERROR(__xludf.DUMMYFUNCTION("""COMPUTED_VALUE"""),0.81)</f>
        <v>0.81</v>
      </c>
      <c r="D1420" s="1">
        <f>IFERROR(__xludf.DUMMYFUNCTION("""COMPUTED_VALUE"""),0.79)</f>
        <v>0.79</v>
      </c>
      <c r="E1420" s="1">
        <f>IFERROR(__xludf.DUMMYFUNCTION("""COMPUTED_VALUE"""),0.8)</f>
        <v>0.8</v>
      </c>
      <c r="F1420" s="1">
        <f>IFERROR(__xludf.DUMMYFUNCTION("""COMPUTED_VALUE"""),193034.0)</f>
        <v>193034</v>
      </c>
    </row>
    <row r="1421">
      <c r="A1421" s="2">
        <f>IFERROR(__xludf.DUMMYFUNCTION("""COMPUTED_VALUE"""),41227.666666666664)</f>
        <v>41227.66667</v>
      </c>
      <c r="B1421" s="1">
        <f>IFERROR(__xludf.DUMMYFUNCTION("""COMPUTED_VALUE"""),0.8)</f>
        <v>0.8</v>
      </c>
      <c r="C1421" s="1">
        <f>IFERROR(__xludf.DUMMYFUNCTION("""COMPUTED_VALUE"""),0.81)</f>
        <v>0.81</v>
      </c>
      <c r="D1421" s="1">
        <f>IFERROR(__xludf.DUMMYFUNCTION("""COMPUTED_VALUE"""),0.79)</f>
        <v>0.79</v>
      </c>
      <c r="E1421" s="1">
        <f>IFERROR(__xludf.DUMMYFUNCTION("""COMPUTED_VALUE"""),0.8)</f>
        <v>0.8</v>
      </c>
      <c r="F1421" s="1">
        <f>IFERROR(__xludf.DUMMYFUNCTION("""COMPUTED_VALUE"""),213691.0)</f>
        <v>213691</v>
      </c>
    </row>
    <row r="1422">
      <c r="A1422" s="2">
        <f>IFERROR(__xludf.DUMMYFUNCTION("""COMPUTED_VALUE"""),41228.666666666664)</f>
        <v>41228.66667</v>
      </c>
      <c r="B1422" s="1">
        <f>IFERROR(__xludf.DUMMYFUNCTION("""COMPUTED_VALUE"""),0.8)</f>
        <v>0.8</v>
      </c>
      <c r="C1422" s="1">
        <f>IFERROR(__xludf.DUMMYFUNCTION("""COMPUTED_VALUE"""),0.83)</f>
        <v>0.83</v>
      </c>
      <c r="D1422" s="1">
        <f>IFERROR(__xludf.DUMMYFUNCTION("""COMPUTED_VALUE"""),0.8)</f>
        <v>0.8</v>
      </c>
      <c r="E1422" s="1">
        <f>IFERROR(__xludf.DUMMYFUNCTION("""COMPUTED_VALUE"""),0.82)</f>
        <v>0.82</v>
      </c>
      <c r="F1422" s="1">
        <f>IFERROR(__xludf.DUMMYFUNCTION("""COMPUTED_VALUE"""),563299.0)</f>
        <v>563299</v>
      </c>
    </row>
    <row r="1423">
      <c r="A1423" s="2">
        <f>IFERROR(__xludf.DUMMYFUNCTION("""COMPUTED_VALUE"""),41229.666666666664)</f>
        <v>41229.66667</v>
      </c>
      <c r="B1423" s="1">
        <f>IFERROR(__xludf.DUMMYFUNCTION("""COMPUTED_VALUE"""),0.82)</f>
        <v>0.82</v>
      </c>
      <c r="C1423" s="1">
        <f>IFERROR(__xludf.DUMMYFUNCTION("""COMPUTED_VALUE"""),0.82)</f>
        <v>0.82</v>
      </c>
      <c r="D1423" s="1">
        <f>IFERROR(__xludf.DUMMYFUNCTION("""COMPUTED_VALUE"""),0.79)</f>
        <v>0.79</v>
      </c>
      <c r="E1423" s="1">
        <f>IFERROR(__xludf.DUMMYFUNCTION("""COMPUTED_VALUE"""),0.81)</f>
        <v>0.81</v>
      </c>
      <c r="F1423" s="1">
        <f>IFERROR(__xludf.DUMMYFUNCTION("""COMPUTED_VALUE"""),343133.0)</f>
        <v>343133</v>
      </c>
    </row>
    <row r="1424">
      <c r="A1424" s="2">
        <f>IFERROR(__xludf.DUMMYFUNCTION("""COMPUTED_VALUE"""),41232.666666666664)</f>
        <v>41232.66667</v>
      </c>
      <c r="B1424" s="1">
        <f>IFERROR(__xludf.DUMMYFUNCTION("""COMPUTED_VALUE"""),0.82)</f>
        <v>0.82</v>
      </c>
      <c r="C1424" s="1">
        <f>IFERROR(__xludf.DUMMYFUNCTION("""COMPUTED_VALUE"""),0.85)</f>
        <v>0.85</v>
      </c>
      <c r="D1424" s="1">
        <f>IFERROR(__xludf.DUMMYFUNCTION("""COMPUTED_VALUE"""),0.82)</f>
        <v>0.82</v>
      </c>
      <c r="E1424" s="1">
        <f>IFERROR(__xludf.DUMMYFUNCTION("""COMPUTED_VALUE"""),0.84)</f>
        <v>0.84</v>
      </c>
      <c r="F1424" s="1">
        <f>IFERROR(__xludf.DUMMYFUNCTION("""COMPUTED_VALUE"""),185990.0)</f>
        <v>185990</v>
      </c>
    </row>
    <row r="1425">
      <c r="A1425" s="2">
        <f>IFERROR(__xludf.DUMMYFUNCTION("""COMPUTED_VALUE"""),41233.666666666664)</f>
        <v>41233.66667</v>
      </c>
      <c r="B1425" s="1">
        <f>IFERROR(__xludf.DUMMYFUNCTION("""COMPUTED_VALUE"""),0.84)</f>
        <v>0.84</v>
      </c>
      <c r="C1425" s="1">
        <f>IFERROR(__xludf.DUMMYFUNCTION("""COMPUTED_VALUE"""),0.84)</f>
        <v>0.84</v>
      </c>
      <c r="D1425" s="1">
        <f>IFERROR(__xludf.DUMMYFUNCTION("""COMPUTED_VALUE"""),0.82)</f>
        <v>0.82</v>
      </c>
      <c r="E1425" s="1">
        <f>IFERROR(__xludf.DUMMYFUNCTION("""COMPUTED_VALUE"""),0.83)</f>
        <v>0.83</v>
      </c>
      <c r="F1425" s="1">
        <f>IFERROR(__xludf.DUMMYFUNCTION("""COMPUTED_VALUE"""),127233.0)</f>
        <v>127233</v>
      </c>
    </row>
    <row r="1426">
      <c r="A1426" s="2">
        <f>IFERROR(__xludf.DUMMYFUNCTION("""COMPUTED_VALUE"""),41234.666666666664)</f>
        <v>41234.66667</v>
      </c>
      <c r="B1426" s="1">
        <f>IFERROR(__xludf.DUMMYFUNCTION("""COMPUTED_VALUE"""),0.83)</f>
        <v>0.83</v>
      </c>
      <c r="C1426" s="1">
        <f>IFERROR(__xludf.DUMMYFUNCTION("""COMPUTED_VALUE"""),0.85)</f>
        <v>0.85</v>
      </c>
      <c r="D1426" s="1">
        <f>IFERROR(__xludf.DUMMYFUNCTION("""COMPUTED_VALUE"""),0.82)</f>
        <v>0.82</v>
      </c>
      <c r="E1426" s="1">
        <f>IFERROR(__xludf.DUMMYFUNCTION("""COMPUTED_VALUE"""),0.84)</f>
        <v>0.84</v>
      </c>
      <c r="F1426" s="1">
        <f>IFERROR(__xludf.DUMMYFUNCTION("""COMPUTED_VALUE"""),100480.0)</f>
        <v>100480</v>
      </c>
    </row>
    <row r="1427">
      <c r="A1427" s="2">
        <f>IFERROR(__xludf.DUMMYFUNCTION("""COMPUTED_VALUE"""),41236.666666666664)</f>
        <v>41236.66667</v>
      </c>
      <c r="B1427" s="1">
        <f>IFERROR(__xludf.DUMMYFUNCTION("""COMPUTED_VALUE"""),0.85)</f>
        <v>0.85</v>
      </c>
      <c r="C1427" s="1">
        <f>IFERROR(__xludf.DUMMYFUNCTION("""COMPUTED_VALUE"""),0.87)</f>
        <v>0.87</v>
      </c>
      <c r="D1427" s="1">
        <f>IFERROR(__xludf.DUMMYFUNCTION("""COMPUTED_VALUE"""),0.85)</f>
        <v>0.85</v>
      </c>
      <c r="E1427" s="1">
        <f>IFERROR(__xludf.DUMMYFUNCTION("""COMPUTED_VALUE"""),0.86)</f>
        <v>0.86</v>
      </c>
      <c r="F1427" s="1">
        <f>IFERROR(__xludf.DUMMYFUNCTION("""COMPUTED_VALUE"""),73973.0)</f>
        <v>73973</v>
      </c>
    </row>
    <row r="1428">
      <c r="A1428" s="2">
        <f>IFERROR(__xludf.DUMMYFUNCTION("""COMPUTED_VALUE"""),41239.666666666664)</f>
        <v>41239.66667</v>
      </c>
      <c r="B1428" s="1">
        <f>IFERROR(__xludf.DUMMYFUNCTION("""COMPUTED_VALUE"""),0.86)</f>
        <v>0.86</v>
      </c>
      <c r="C1428" s="1">
        <f>IFERROR(__xludf.DUMMYFUNCTION("""COMPUTED_VALUE"""),0.9)</f>
        <v>0.9</v>
      </c>
      <c r="D1428" s="1">
        <f>IFERROR(__xludf.DUMMYFUNCTION("""COMPUTED_VALUE"""),0.86)</f>
        <v>0.86</v>
      </c>
      <c r="E1428" s="1">
        <f>IFERROR(__xludf.DUMMYFUNCTION("""COMPUTED_VALUE"""),0.88)</f>
        <v>0.88</v>
      </c>
      <c r="F1428" s="1">
        <f>IFERROR(__xludf.DUMMYFUNCTION("""COMPUTED_VALUE"""),208350.0)</f>
        <v>208350</v>
      </c>
    </row>
    <row r="1429">
      <c r="A1429" s="2">
        <f>IFERROR(__xludf.DUMMYFUNCTION("""COMPUTED_VALUE"""),41240.666666666664)</f>
        <v>41240.66667</v>
      </c>
      <c r="B1429" s="1">
        <f>IFERROR(__xludf.DUMMYFUNCTION("""COMPUTED_VALUE"""),0.88)</f>
        <v>0.88</v>
      </c>
      <c r="C1429" s="1">
        <f>IFERROR(__xludf.DUMMYFUNCTION("""COMPUTED_VALUE"""),0.9)</f>
        <v>0.9</v>
      </c>
      <c r="D1429" s="1">
        <f>IFERROR(__xludf.DUMMYFUNCTION("""COMPUTED_VALUE"""),0.87)</f>
        <v>0.87</v>
      </c>
      <c r="E1429" s="1">
        <f>IFERROR(__xludf.DUMMYFUNCTION("""COMPUTED_VALUE"""),0.89)</f>
        <v>0.89</v>
      </c>
      <c r="F1429" s="1">
        <f>IFERROR(__xludf.DUMMYFUNCTION("""COMPUTED_VALUE"""),133024.0)</f>
        <v>133024</v>
      </c>
    </row>
    <row r="1430">
      <c r="A1430" s="2">
        <f>IFERROR(__xludf.DUMMYFUNCTION("""COMPUTED_VALUE"""),41241.666666666664)</f>
        <v>41241.66667</v>
      </c>
      <c r="B1430" s="1">
        <f>IFERROR(__xludf.DUMMYFUNCTION("""COMPUTED_VALUE"""),0.88)</f>
        <v>0.88</v>
      </c>
      <c r="C1430" s="1">
        <f>IFERROR(__xludf.DUMMYFUNCTION("""COMPUTED_VALUE"""),0.9)</f>
        <v>0.9</v>
      </c>
      <c r="D1430" s="1">
        <f>IFERROR(__xludf.DUMMYFUNCTION("""COMPUTED_VALUE"""),0.87)</f>
        <v>0.87</v>
      </c>
      <c r="E1430" s="1">
        <f>IFERROR(__xludf.DUMMYFUNCTION("""COMPUTED_VALUE"""),0.9)</f>
        <v>0.9</v>
      </c>
      <c r="F1430" s="1">
        <f>IFERROR(__xludf.DUMMYFUNCTION("""COMPUTED_VALUE"""),133727.0)</f>
        <v>133727</v>
      </c>
    </row>
    <row r="1431">
      <c r="A1431" s="2">
        <f>IFERROR(__xludf.DUMMYFUNCTION("""COMPUTED_VALUE"""),41242.666666666664)</f>
        <v>41242.66667</v>
      </c>
      <c r="B1431" s="1">
        <f>IFERROR(__xludf.DUMMYFUNCTION("""COMPUTED_VALUE"""),0.9)</f>
        <v>0.9</v>
      </c>
      <c r="C1431" s="1">
        <f>IFERROR(__xludf.DUMMYFUNCTION("""COMPUTED_VALUE"""),0.95)</f>
        <v>0.95</v>
      </c>
      <c r="D1431" s="1">
        <f>IFERROR(__xludf.DUMMYFUNCTION("""COMPUTED_VALUE"""),0.9)</f>
        <v>0.9</v>
      </c>
      <c r="E1431" s="1">
        <f>IFERROR(__xludf.DUMMYFUNCTION("""COMPUTED_VALUE"""),0.93)</f>
        <v>0.93</v>
      </c>
      <c r="F1431" s="1">
        <f>IFERROR(__xludf.DUMMYFUNCTION("""COMPUTED_VALUE"""),183722.0)</f>
        <v>183722</v>
      </c>
    </row>
    <row r="1432">
      <c r="A1432" s="2">
        <f>IFERROR(__xludf.DUMMYFUNCTION("""COMPUTED_VALUE"""),41243.666666666664)</f>
        <v>41243.66667</v>
      </c>
      <c r="B1432" s="1">
        <f>IFERROR(__xludf.DUMMYFUNCTION("""COMPUTED_VALUE"""),0.94)</f>
        <v>0.94</v>
      </c>
      <c r="C1432" s="1">
        <f>IFERROR(__xludf.DUMMYFUNCTION("""COMPUTED_VALUE"""),0.94)</f>
        <v>0.94</v>
      </c>
      <c r="D1432" s="1">
        <f>IFERROR(__xludf.DUMMYFUNCTION("""COMPUTED_VALUE"""),0.92)</f>
        <v>0.92</v>
      </c>
      <c r="E1432" s="1">
        <f>IFERROR(__xludf.DUMMYFUNCTION("""COMPUTED_VALUE"""),0.93)</f>
        <v>0.93</v>
      </c>
      <c r="F1432" s="1">
        <f>IFERROR(__xludf.DUMMYFUNCTION("""COMPUTED_VALUE"""),412826.0)</f>
        <v>412826</v>
      </c>
    </row>
    <row r="1433">
      <c r="A1433" s="2">
        <f>IFERROR(__xludf.DUMMYFUNCTION("""COMPUTED_VALUE"""),41246.666666666664)</f>
        <v>41246.66667</v>
      </c>
      <c r="B1433" s="1">
        <f>IFERROR(__xludf.DUMMYFUNCTION("""COMPUTED_VALUE"""),0.94)</f>
        <v>0.94</v>
      </c>
      <c r="C1433" s="1">
        <f>IFERROR(__xludf.DUMMYFUNCTION("""COMPUTED_VALUE"""),0.94)</f>
        <v>0.94</v>
      </c>
      <c r="D1433" s="1">
        <f>IFERROR(__xludf.DUMMYFUNCTION("""COMPUTED_VALUE"""),0.87)</f>
        <v>0.87</v>
      </c>
      <c r="E1433" s="1">
        <f>IFERROR(__xludf.DUMMYFUNCTION("""COMPUTED_VALUE"""),0.87)</f>
        <v>0.87</v>
      </c>
      <c r="F1433" s="1">
        <f>IFERROR(__xludf.DUMMYFUNCTION("""COMPUTED_VALUE"""),241766.0)</f>
        <v>241766</v>
      </c>
    </row>
    <row r="1434">
      <c r="A1434" s="2">
        <f>IFERROR(__xludf.DUMMYFUNCTION("""COMPUTED_VALUE"""),41247.666666666664)</f>
        <v>41247.66667</v>
      </c>
      <c r="B1434" s="1">
        <f>IFERROR(__xludf.DUMMYFUNCTION("""COMPUTED_VALUE"""),0.88)</f>
        <v>0.88</v>
      </c>
      <c r="C1434" s="1">
        <f>IFERROR(__xludf.DUMMYFUNCTION("""COMPUTED_VALUE"""),0.91)</f>
        <v>0.91</v>
      </c>
      <c r="D1434" s="1">
        <f>IFERROR(__xludf.DUMMYFUNCTION("""COMPUTED_VALUE"""),0.85)</f>
        <v>0.85</v>
      </c>
      <c r="E1434" s="1">
        <f>IFERROR(__xludf.DUMMYFUNCTION("""COMPUTED_VALUE"""),0.91)</f>
        <v>0.91</v>
      </c>
      <c r="F1434" s="1">
        <f>IFERROR(__xludf.DUMMYFUNCTION("""COMPUTED_VALUE"""),104876.0)</f>
        <v>104876</v>
      </c>
    </row>
    <row r="1435">
      <c r="A1435" s="2">
        <f>IFERROR(__xludf.DUMMYFUNCTION("""COMPUTED_VALUE"""),41248.666666666664)</f>
        <v>41248.66667</v>
      </c>
      <c r="B1435" s="1">
        <f>IFERROR(__xludf.DUMMYFUNCTION("""COMPUTED_VALUE"""),0.91)</f>
        <v>0.91</v>
      </c>
      <c r="C1435" s="1">
        <f>IFERROR(__xludf.DUMMYFUNCTION("""COMPUTED_VALUE"""),0.92)</f>
        <v>0.92</v>
      </c>
      <c r="D1435" s="1">
        <f>IFERROR(__xludf.DUMMYFUNCTION("""COMPUTED_VALUE"""),0.9)</f>
        <v>0.9</v>
      </c>
      <c r="E1435" s="1">
        <f>IFERROR(__xludf.DUMMYFUNCTION("""COMPUTED_VALUE"""),0.9)</f>
        <v>0.9</v>
      </c>
      <c r="F1435" s="1">
        <f>IFERROR(__xludf.DUMMYFUNCTION("""COMPUTED_VALUE"""),89064.0)</f>
        <v>89064</v>
      </c>
    </row>
    <row r="1436">
      <c r="A1436" s="2">
        <f>IFERROR(__xludf.DUMMYFUNCTION("""COMPUTED_VALUE"""),41249.666666666664)</f>
        <v>41249.66667</v>
      </c>
      <c r="B1436" s="1">
        <f>IFERROR(__xludf.DUMMYFUNCTION("""COMPUTED_VALUE"""),0.9)</f>
        <v>0.9</v>
      </c>
      <c r="C1436" s="1">
        <f>IFERROR(__xludf.DUMMYFUNCTION("""COMPUTED_VALUE"""),0.92)</f>
        <v>0.92</v>
      </c>
      <c r="D1436" s="1">
        <f>IFERROR(__xludf.DUMMYFUNCTION("""COMPUTED_VALUE"""),0.9)</f>
        <v>0.9</v>
      </c>
      <c r="E1436" s="1">
        <f>IFERROR(__xludf.DUMMYFUNCTION("""COMPUTED_VALUE"""),0.92)</f>
        <v>0.92</v>
      </c>
      <c r="F1436" s="1">
        <f>IFERROR(__xludf.DUMMYFUNCTION("""COMPUTED_VALUE"""),70660.0)</f>
        <v>70660</v>
      </c>
    </row>
    <row r="1437">
      <c r="A1437" s="2">
        <f>IFERROR(__xludf.DUMMYFUNCTION("""COMPUTED_VALUE"""),41250.666666666664)</f>
        <v>41250.66667</v>
      </c>
      <c r="B1437" s="1">
        <f>IFERROR(__xludf.DUMMYFUNCTION("""COMPUTED_VALUE"""),0.92)</f>
        <v>0.92</v>
      </c>
      <c r="C1437" s="1">
        <f>IFERROR(__xludf.DUMMYFUNCTION("""COMPUTED_VALUE"""),0.92)</f>
        <v>0.92</v>
      </c>
      <c r="D1437" s="1">
        <f>IFERROR(__xludf.DUMMYFUNCTION("""COMPUTED_VALUE"""),0.91)</f>
        <v>0.91</v>
      </c>
      <c r="E1437" s="1">
        <f>IFERROR(__xludf.DUMMYFUNCTION("""COMPUTED_VALUE"""),0.92)</f>
        <v>0.92</v>
      </c>
      <c r="F1437" s="1">
        <f>IFERROR(__xludf.DUMMYFUNCTION("""COMPUTED_VALUE"""),150697.0)</f>
        <v>150697</v>
      </c>
    </row>
    <row r="1438">
      <c r="A1438" s="2">
        <f>IFERROR(__xludf.DUMMYFUNCTION("""COMPUTED_VALUE"""),41253.666666666664)</f>
        <v>41253.66667</v>
      </c>
      <c r="B1438" s="1">
        <f>IFERROR(__xludf.DUMMYFUNCTION("""COMPUTED_VALUE"""),0.92)</f>
        <v>0.92</v>
      </c>
      <c r="C1438" s="1">
        <f>IFERROR(__xludf.DUMMYFUNCTION("""COMPUTED_VALUE"""),0.92)</f>
        <v>0.92</v>
      </c>
      <c r="D1438" s="1">
        <f>IFERROR(__xludf.DUMMYFUNCTION("""COMPUTED_VALUE"""),0.91)</f>
        <v>0.91</v>
      </c>
      <c r="E1438" s="1">
        <f>IFERROR(__xludf.DUMMYFUNCTION("""COMPUTED_VALUE"""),0.92)</f>
        <v>0.92</v>
      </c>
      <c r="F1438" s="1">
        <f>IFERROR(__xludf.DUMMYFUNCTION("""COMPUTED_VALUE"""),116270.0)</f>
        <v>116270</v>
      </c>
    </row>
    <row r="1439">
      <c r="A1439" s="2">
        <f>IFERROR(__xludf.DUMMYFUNCTION("""COMPUTED_VALUE"""),41254.666666666664)</f>
        <v>41254.66667</v>
      </c>
      <c r="B1439" s="1">
        <f>IFERROR(__xludf.DUMMYFUNCTION("""COMPUTED_VALUE"""),0.92)</f>
        <v>0.92</v>
      </c>
      <c r="C1439" s="1">
        <f>IFERROR(__xludf.DUMMYFUNCTION("""COMPUTED_VALUE"""),0.95)</f>
        <v>0.95</v>
      </c>
      <c r="D1439" s="1">
        <f>IFERROR(__xludf.DUMMYFUNCTION("""COMPUTED_VALUE"""),0.91)</f>
        <v>0.91</v>
      </c>
      <c r="E1439" s="1">
        <f>IFERROR(__xludf.DUMMYFUNCTION("""COMPUTED_VALUE"""),0.94)</f>
        <v>0.94</v>
      </c>
      <c r="F1439" s="1">
        <f>IFERROR(__xludf.DUMMYFUNCTION("""COMPUTED_VALUE"""),203159.0)</f>
        <v>203159</v>
      </c>
    </row>
    <row r="1440">
      <c r="A1440" s="2">
        <f>IFERROR(__xludf.DUMMYFUNCTION("""COMPUTED_VALUE"""),41255.666666666664)</f>
        <v>41255.66667</v>
      </c>
      <c r="B1440" s="1">
        <f>IFERROR(__xludf.DUMMYFUNCTION("""COMPUTED_VALUE"""),0.94)</f>
        <v>0.94</v>
      </c>
      <c r="C1440" s="1">
        <f>IFERROR(__xludf.DUMMYFUNCTION("""COMPUTED_VALUE"""),0.97)</f>
        <v>0.97</v>
      </c>
      <c r="D1440" s="1">
        <f>IFERROR(__xludf.DUMMYFUNCTION("""COMPUTED_VALUE"""),0.94)</f>
        <v>0.94</v>
      </c>
      <c r="E1440" s="1">
        <f>IFERROR(__xludf.DUMMYFUNCTION("""COMPUTED_VALUE"""),0.94)</f>
        <v>0.94</v>
      </c>
      <c r="F1440" s="1">
        <f>IFERROR(__xludf.DUMMYFUNCTION("""COMPUTED_VALUE"""),163271.0)</f>
        <v>163271</v>
      </c>
    </row>
    <row r="1441">
      <c r="A1441" s="2">
        <f>IFERROR(__xludf.DUMMYFUNCTION("""COMPUTED_VALUE"""),41256.666666666664)</f>
        <v>41256.66667</v>
      </c>
      <c r="B1441" s="1">
        <f>IFERROR(__xludf.DUMMYFUNCTION("""COMPUTED_VALUE"""),0.94)</f>
        <v>0.94</v>
      </c>
      <c r="C1441" s="1">
        <f>IFERROR(__xludf.DUMMYFUNCTION("""COMPUTED_VALUE"""),0.95)</f>
        <v>0.95</v>
      </c>
      <c r="D1441" s="1">
        <f>IFERROR(__xludf.DUMMYFUNCTION("""COMPUTED_VALUE"""),0.93)</f>
        <v>0.93</v>
      </c>
      <c r="E1441" s="1">
        <f>IFERROR(__xludf.DUMMYFUNCTION("""COMPUTED_VALUE"""),0.93)</f>
        <v>0.93</v>
      </c>
      <c r="F1441" s="1">
        <f>IFERROR(__xludf.DUMMYFUNCTION("""COMPUTED_VALUE"""),142836.0)</f>
        <v>142836</v>
      </c>
    </row>
    <row r="1442">
      <c r="A1442" s="2">
        <f>IFERROR(__xludf.DUMMYFUNCTION("""COMPUTED_VALUE"""),41257.666666666664)</f>
        <v>41257.66667</v>
      </c>
      <c r="B1442" s="1">
        <f>IFERROR(__xludf.DUMMYFUNCTION("""COMPUTED_VALUE"""),0.92)</f>
        <v>0.92</v>
      </c>
      <c r="C1442" s="1">
        <f>IFERROR(__xludf.DUMMYFUNCTION("""COMPUTED_VALUE"""),0.93)</f>
        <v>0.93</v>
      </c>
      <c r="D1442" s="1">
        <f>IFERROR(__xludf.DUMMYFUNCTION("""COMPUTED_VALUE"""),0.9)</f>
        <v>0.9</v>
      </c>
      <c r="E1442" s="1">
        <f>IFERROR(__xludf.DUMMYFUNCTION("""COMPUTED_VALUE"""),0.91)</f>
        <v>0.91</v>
      </c>
      <c r="F1442" s="1">
        <f>IFERROR(__xludf.DUMMYFUNCTION("""COMPUTED_VALUE"""),121372.0)</f>
        <v>121372</v>
      </c>
    </row>
    <row r="1443">
      <c r="A1443" s="2">
        <f>IFERROR(__xludf.DUMMYFUNCTION("""COMPUTED_VALUE"""),41260.666666666664)</f>
        <v>41260.66667</v>
      </c>
      <c r="B1443" s="1">
        <f>IFERROR(__xludf.DUMMYFUNCTION("""COMPUTED_VALUE"""),0.92)</f>
        <v>0.92</v>
      </c>
      <c r="C1443" s="1">
        <f>IFERROR(__xludf.DUMMYFUNCTION("""COMPUTED_VALUE"""),0.94)</f>
        <v>0.94</v>
      </c>
      <c r="D1443" s="1">
        <f>IFERROR(__xludf.DUMMYFUNCTION("""COMPUTED_VALUE"""),0.91)</f>
        <v>0.91</v>
      </c>
      <c r="E1443" s="1">
        <f>IFERROR(__xludf.DUMMYFUNCTION("""COMPUTED_VALUE"""),0.94)</f>
        <v>0.94</v>
      </c>
      <c r="F1443" s="1">
        <f>IFERROR(__xludf.DUMMYFUNCTION("""COMPUTED_VALUE"""),115604.0)</f>
        <v>115604</v>
      </c>
    </row>
    <row r="1444">
      <c r="A1444" s="2">
        <f>IFERROR(__xludf.DUMMYFUNCTION("""COMPUTED_VALUE"""),41261.666666666664)</f>
        <v>41261.66667</v>
      </c>
      <c r="B1444" s="1">
        <f>IFERROR(__xludf.DUMMYFUNCTION("""COMPUTED_VALUE"""),0.95)</f>
        <v>0.95</v>
      </c>
      <c r="C1444" s="1">
        <f>IFERROR(__xludf.DUMMYFUNCTION("""COMPUTED_VALUE"""),1.0)</f>
        <v>1</v>
      </c>
      <c r="D1444" s="1">
        <f>IFERROR(__xludf.DUMMYFUNCTION("""COMPUTED_VALUE"""),0.94)</f>
        <v>0.94</v>
      </c>
      <c r="E1444" s="1">
        <f>IFERROR(__xludf.DUMMYFUNCTION("""COMPUTED_VALUE"""),1.0)</f>
        <v>1</v>
      </c>
      <c r="F1444" s="1">
        <f>IFERROR(__xludf.DUMMYFUNCTION("""COMPUTED_VALUE"""),187254.0)</f>
        <v>187254</v>
      </c>
    </row>
    <row r="1445">
      <c r="A1445" s="2">
        <f>IFERROR(__xludf.DUMMYFUNCTION("""COMPUTED_VALUE"""),41262.666666666664)</f>
        <v>41262.66667</v>
      </c>
      <c r="B1445" s="1">
        <f>IFERROR(__xludf.DUMMYFUNCTION("""COMPUTED_VALUE"""),0.99)</f>
        <v>0.99</v>
      </c>
      <c r="C1445" s="1">
        <f>IFERROR(__xludf.DUMMYFUNCTION("""COMPUTED_VALUE"""),1.01)</f>
        <v>1.01</v>
      </c>
      <c r="D1445" s="1">
        <f>IFERROR(__xludf.DUMMYFUNCTION("""COMPUTED_VALUE"""),0.98)</f>
        <v>0.98</v>
      </c>
      <c r="E1445" s="1">
        <f>IFERROR(__xludf.DUMMYFUNCTION("""COMPUTED_VALUE"""),1.0)</f>
        <v>1</v>
      </c>
      <c r="F1445" s="1">
        <f>IFERROR(__xludf.DUMMYFUNCTION("""COMPUTED_VALUE"""),182131.0)</f>
        <v>182131</v>
      </c>
    </row>
    <row r="1446">
      <c r="A1446" s="2">
        <f>IFERROR(__xludf.DUMMYFUNCTION("""COMPUTED_VALUE"""),41263.666666666664)</f>
        <v>41263.66667</v>
      </c>
      <c r="B1446" s="1">
        <f>IFERROR(__xludf.DUMMYFUNCTION("""COMPUTED_VALUE"""),1.0)</f>
        <v>1</v>
      </c>
      <c r="C1446" s="1">
        <f>IFERROR(__xludf.DUMMYFUNCTION("""COMPUTED_VALUE"""),1.01)</f>
        <v>1.01</v>
      </c>
      <c r="D1446" s="1">
        <f>IFERROR(__xludf.DUMMYFUNCTION("""COMPUTED_VALUE"""),0.99)</f>
        <v>0.99</v>
      </c>
      <c r="E1446" s="1">
        <f>IFERROR(__xludf.DUMMYFUNCTION("""COMPUTED_VALUE"""),1.0)</f>
        <v>1</v>
      </c>
      <c r="F1446" s="1">
        <f>IFERROR(__xludf.DUMMYFUNCTION("""COMPUTED_VALUE"""),190441.0)</f>
        <v>190441</v>
      </c>
    </row>
    <row r="1447">
      <c r="A1447" s="2">
        <f>IFERROR(__xludf.DUMMYFUNCTION("""COMPUTED_VALUE"""),41264.666666666664)</f>
        <v>41264.66667</v>
      </c>
      <c r="B1447" s="1">
        <f>IFERROR(__xludf.DUMMYFUNCTION("""COMPUTED_VALUE"""),0.99)</f>
        <v>0.99</v>
      </c>
      <c r="C1447" s="1">
        <f>IFERROR(__xludf.DUMMYFUNCTION("""COMPUTED_VALUE"""),1.01)</f>
        <v>1.01</v>
      </c>
      <c r="D1447" s="1">
        <f>IFERROR(__xludf.DUMMYFUNCTION("""COMPUTED_VALUE"""),0.98)</f>
        <v>0.98</v>
      </c>
      <c r="E1447" s="1">
        <f>IFERROR(__xludf.DUMMYFUNCTION("""COMPUTED_VALUE"""),1.0)</f>
        <v>1</v>
      </c>
      <c r="F1447" s="1">
        <f>IFERROR(__xludf.DUMMYFUNCTION("""COMPUTED_VALUE"""),409743.0)</f>
        <v>409743</v>
      </c>
    </row>
    <row r="1448">
      <c r="A1448" s="2">
        <f>IFERROR(__xludf.DUMMYFUNCTION("""COMPUTED_VALUE"""),41267.666666666664)</f>
        <v>41267.66667</v>
      </c>
      <c r="B1448" s="1">
        <f>IFERROR(__xludf.DUMMYFUNCTION("""COMPUTED_VALUE"""),1.0)</f>
        <v>1</v>
      </c>
      <c r="C1448" s="1">
        <f>IFERROR(__xludf.DUMMYFUNCTION("""COMPUTED_VALUE"""),1.03)</f>
        <v>1.03</v>
      </c>
      <c r="D1448" s="1">
        <f>IFERROR(__xludf.DUMMYFUNCTION("""COMPUTED_VALUE"""),0.99)</f>
        <v>0.99</v>
      </c>
      <c r="E1448" s="1">
        <f>IFERROR(__xludf.DUMMYFUNCTION("""COMPUTED_VALUE"""),1.01)</f>
        <v>1.01</v>
      </c>
      <c r="F1448" s="1">
        <f>IFERROR(__xludf.DUMMYFUNCTION("""COMPUTED_VALUE"""),52588.0)</f>
        <v>52588</v>
      </c>
    </row>
    <row r="1449">
      <c r="A1449" s="2">
        <f>IFERROR(__xludf.DUMMYFUNCTION("""COMPUTED_VALUE"""),41269.666666666664)</f>
        <v>41269.66667</v>
      </c>
      <c r="B1449" s="1">
        <f>IFERROR(__xludf.DUMMYFUNCTION("""COMPUTED_VALUE"""),1.01)</f>
        <v>1.01</v>
      </c>
      <c r="C1449" s="1">
        <f>IFERROR(__xludf.DUMMYFUNCTION("""COMPUTED_VALUE"""),1.02)</f>
        <v>1.02</v>
      </c>
      <c r="D1449" s="1">
        <f>IFERROR(__xludf.DUMMYFUNCTION("""COMPUTED_VALUE"""),0.99)</f>
        <v>0.99</v>
      </c>
      <c r="E1449" s="1">
        <f>IFERROR(__xludf.DUMMYFUNCTION("""COMPUTED_VALUE"""),1.01)</f>
        <v>1.01</v>
      </c>
      <c r="F1449" s="1">
        <f>IFERROR(__xludf.DUMMYFUNCTION("""COMPUTED_VALUE"""),93895.0)</f>
        <v>93895</v>
      </c>
    </row>
    <row r="1450">
      <c r="A1450" s="2">
        <f>IFERROR(__xludf.DUMMYFUNCTION("""COMPUTED_VALUE"""),41270.666666666664)</f>
        <v>41270.66667</v>
      </c>
      <c r="B1450" s="1">
        <f>IFERROR(__xludf.DUMMYFUNCTION("""COMPUTED_VALUE"""),1.0)</f>
        <v>1</v>
      </c>
      <c r="C1450" s="1">
        <f>IFERROR(__xludf.DUMMYFUNCTION("""COMPUTED_VALUE"""),1.0)</f>
        <v>1</v>
      </c>
      <c r="D1450" s="1">
        <f>IFERROR(__xludf.DUMMYFUNCTION("""COMPUTED_VALUE"""),0.97)</f>
        <v>0.97</v>
      </c>
      <c r="E1450" s="1">
        <f>IFERROR(__xludf.DUMMYFUNCTION("""COMPUTED_VALUE"""),0.98)</f>
        <v>0.98</v>
      </c>
      <c r="F1450" s="1">
        <f>IFERROR(__xludf.DUMMYFUNCTION("""COMPUTED_VALUE"""),56889.0)</f>
        <v>56889</v>
      </c>
    </row>
    <row r="1451">
      <c r="A1451" s="2">
        <f>IFERROR(__xludf.DUMMYFUNCTION("""COMPUTED_VALUE"""),41271.666666666664)</f>
        <v>41271.66667</v>
      </c>
      <c r="B1451" s="1">
        <f>IFERROR(__xludf.DUMMYFUNCTION("""COMPUTED_VALUE"""),0.97)</f>
        <v>0.97</v>
      </c>
      <c r="C1451" s="1">
        <f>IFERROR(__xludf.DUMMYFUNCTION("""COMPUTED_VALUE"""),0.99)</f>
        <v>0.99</v>
      </c>
      <c r="D1451" s="1">
        <f>IFERROR(__xludf.DUMMYFUNCTION("""COMPUTED_VALUE"""),0.96)</f>
        <v>0.96</v>
      </c>
      <c r="E1451" s="1">
        <f>IFERROR(__xludf.DUMMYFUNCTION("""COMPUTED_VALUE"""),0.96)</f>
        <v>0.96</v>
      </c>
      <c r="F1451" s="1">
        <f>IFERROR(__xludf.DUMMYFUNCTION("""COMPUTED_VALUE"""),57215.0)</f>
        <v>57215</v>
      </c>
    </row>
    <row r="1452">
      <c r="A1452" s="2">
        <f>IFERROR(__xludf.DUMMYFUNCTION("""COMPUTED_VALUE"""),41274.666666666664)</f>
        <v>41274.66667</v>
      </c>
      <c r="B1452" s="1">
        <f>IFERROR(__xludf.DUMMYFUNCTION("""COMPUTED_VALUE"""),0.96)</f>
        <v>0.96</v>
      </c>
      <c r="C1452" s="1">
        <f>IFERROR(__xludf.DUMMYFUNCTION("""COMPUTED_VALUE"""),1.03)</f>
        <v>1.03</v>
      </c>
      <c r="D1452" s="1">
        <f>IFERROR(__xludf.DUMMYFUNCTION("""COMPUTED_VALUE"""),0.96)</f>
        <v>0.96</v>
      </c>
      <c r="E1452" s="1">
        <f>IFERROR(__xludf.DUMMYFUNCTION("""COMPUTED_VALUE"""),1.02)</f>
        <v>1.02</v>
      </c>
      <c r="F1452" s="1">
        <f>IFERROR(__xludf.DUMMYFUNCTION("""COMPUTED_VALUE"""),318789.0)</f>
        <v>318789</v>
      </c>
    </row>
    <row r="1453">
      <c r="A1453" s="2">
        <f>IFERROR(__xludf.DUMMYFUNCTION("""COMPUTED_VALUE"""),41276.666666666664)</f>
        <v>41276.66667</v>
      </c>
      <c r="B1453" s="1">
        <f>IFERROR(__xludf.DUMMYFUNCTION("""COMPUTED_VALUE"""),1.05)</f>
        <v>1.05</v>
      </c>
      <c r="C1453" s="1">
        <f>IFERROR(__xludf.DUMMYFUNCTION("""COMPUTED_VALUE"""),1.07)</f>
        <v>1.07</v>
      </c>
      <c r="D1453" s="1">
        <f>IFERROR(__xludf.DUMMYFUNCTION("""COMPUTED_VALUE"""),1.02)</f>
        <v>1.02</v>
      </c>
      <c r="E1453" s="1">
        <f>IFERROR(__xludf.DUMMYFUNCTION("""COMPUTED_VALUE"""),1.05)</f>
        <v>1.05</v>
      </c>
      <c r="F1453" s="1">
        <f>IFERROR(__xludf.DUMMYFUNCTION("""COMPUTED_VALUE"""),328825.0)</f>
        <v>328825</v>
      </c>
    </row>
    <row r="1454">
      <c r="A1454" s="2">
        <f>IFERROR(__xludf.DUMMYFUNCTION("""COMPUTED_VALUE"""),41277.666666666664)</f>
        <v>41277.66667</v>
      </c>
      <c r="B1454" s="1">
        <f>IFERROR(__xludf.DUMMYFUNCTION("""COMPUTED_VALUE"""),1.05)</f>
        <v>1.05</v>
      </c>
      <c r="C1454" s="1">
        <f>IFERROR(__xludf.DUMMYFUNCTION("""COMPUTED_VALUE"""),1.05)</f>
        <v>1.05</v>
      </c>
      <c r="D1454" s="1">
        <f>IFERROR(__xludf.DUMMYFUNCTION("""COMPUTED_VALUE"""),1.01)</f>
        <v>1.01</v>
      </c>
      <c r="E1454" s="1">
        <f>IFERROR(__xludf.DUMMYFUNCTION("""COMPUTED_VALUE"""),1.03)</f>
        <v>1.03</v>
      </c>
      <c r="F1454" s="1">
        <f>IFERROR(__xludf.DUMMYFUNCTION("""COMPUTED_VALUE"""),319135.0)</f>
        <v>319135</v>
      </c>
    </row>
    <row r="1455">
      <c r="A1455" s="2">
        <f>IFERROR(__xludf.DUMMYFUNCTION("""COMPUTED_VALUE"""),41278.666666666664)</f>
        <v>41278.66667</v>
      </c>
      <c r="B1455" s="1">
        <f>IFERROR(__xludf.DUMMYFUNCTION("""COMPUTED_VALUE"""),1.03)</f>
        <v>1.03</v>
      </c>
      <c r="C1455" s="1">
        <f>IFERROR(__xludf.DUMMYFUNCTION("""COMPUTED_VALUE"""),1.05)</f>
        <v>1.05</v>
      </c>
      <c r="D1455" s="1">
        <f>IFERROR(__xludf.DUMMYFUNCTION("""COMPUTED_VALUE"""),1.02)</f>
        <v>1.02</v>
      </c>
      <c r="E1455" s="1">
        <f>IFERROR(__xludf.DUMMYFUNCTION("""COMPUTED_VALUE"""),1.04)</f>
        <v>1.04</v>
      </c>
      <c r="F1455" s="1">
        <f>IFERROR(__xludf.DUMMYFUNCTION("""COMPUTED_VALUE"""),131421.0)</f>
        <v>131421</v>
      </c>
    </row>
    <row r="1456">
      <c r="A1456" s="2">
        <f>IFERROR(__xludf.DUMMYFUNCTION("""COMPUTED_VALUE"""),41281.666666666664)</f>
        <v>41281.66667</v>
      </c>
      <c r="B1456" s="1">
        <f>IFERROR(__xludf.DUMMYFUNCTION("""COMPUTED_VALUE"""),1.04)</f>
        <v>1.04</v>
      </c>
      <c r="C1456" s="1">
        <f>IFERROR(__xludf.DUMMYFUNCTION("""COMPUTED_VALUE"""),1.05)</f>
        <v>1.05</v>
      </c>
      <c r="D1456" s="1">
        <f>IFERROR(__xludf.DUMMYFUNCTION("""COMPUTED_VALUE"""),1.04)</f>
        <v>1.04</v>
      </c>
      <c r="E1456" s="1">
        <f>IFERROR(__xludf.DUMMYFUNCTION("""COMPUTED_VALUE"""),1.05)</f>
        <v>1.05</v>
      </c>
      <c r="F1456" s="1">
        <f>IFERROR(__xludf.DUMMYFUNCTION("""COMPUTED_VALUE"""),104159.0)</f>
        <v>104159</v>
      </c>
    </row>
    <row r="1457">
      <c r="A1457" s="2">
        <f>IFERROR(__xludf.DUMMYFUNCTION("""COMPUTED_VALUE"""),41282.666666666664)</f>
        <v>41282.66667</v>
      </c>
      <c r="B1457" s="1">
        <f>IFERROR(__xludf.DUMMYFUNCTION("""COMPUTED_VALUE"""),1.04)</f>
        <v>1.04</v>
      </c>
      <c r="C1457" s="1">
        <f>IFERROR(__xludf.DUMMYFUNCTION("""COMPUTED_VALUE"""),1.04)</f>
        <v>1.04</v>
      </c>
      <c r="D1457" s="1">
        <f>IFERROR(__xludf.DUMMYFUNCTION("""COMPUTED_VALUE"""),1.0)</f>
        <v>1</v>
      </c>
      <c r="E1457" s="1">
        <f>IFERROR(__xludf.DUMMYFUNCTION("""COMPUTED_VALUE"""),1.0)</f>
        <v>1</v>
      </c>
      <c r="F1457" s="1">
        <f>IFERROR(__xludf.DUMMYFUNCTION("""COMPUTED_VALUE"""),135666.0)</f>
        <v>135666</v>
      </c>
    </row>
    <row r="1458">
      <c r="A1458" s="2">
        <f>IFERROR(__xludf.DUMMYFUNCTION("""COMPUTED_VALUE"""),41283.666666666664)</f>
        <v>41283.66667</v>
      </c>
      <c r="B1458" s="1">
        <f>IFERROR(__xludf.DUMMYFUNCTION("""COMPUTED_VALUE"""),1.0)</f>
        <v>1</v>
      </c>
      <c r="C1458" s="1">
        <f>IFERROR(__xludf.DUMMYFUNCTION("""COMPUTED_VALUE"""),1.02)</f>
        <v>1.02</v>
      </c>
      <c r="D1458" s="1">
        <f>IFERROR(__xludf.DUMMYFUNCTION("""COMPUTED_VALUE"""),1.0)</f>
        <v>1</v>
      </c>
      <c r="E1458" s="1">
        <f>IFERROR(__xludf.DUMMYFUNCTION("""COMPUTED_VALUE"""),1.01)</f>
        <v>1.01</v>
      </c>
      <c r="F1458" s="1">
        <f>IFERROR(__xludf.DUMMYFUNCTION("""COMPUTED_VALUE"""),166518.0)</f>
        <v>166518</v>
      </c>
    </row>
    <row r="1459">
      <c r="A1459" s="2">
        <f>IFERROR(__xludf.DUMMYFUNCTION("""COMPUTED_VALUE"""),41284.666666666664)</f>
        <v>41284.66667</v>
      </c>
      <c r="B1459" s="1">
        <f>IFERROR(__xludf.DUMMYFUNCTION("""COMPUTED_VALUE"""),1.02)</f>
        <v>1.02</v>
      </c>
      <c r="C1459" s="1">
        <f>IFERROR(__xludf.DUMMYFUNCTION("""COMPUTED_VALUE"""),1.02)</f>
        <v>1.02</v>
      </c>
      <c r="D1459" s="1">
        <f>IFERROR(__xludf.DUMMYFUNCTION("""COMPUTED_VALUE"""),1.0)</f>
        <v>1</v>
      </c>
      <c r="E1459" s="1">
        <f>IFERROR(__xludf.DUMMYFUNCTION("""COMPUTED_VALUE"""),1.0)</f>
        <v>1</v>
      </c>
      <c r="F1459" s="1">
        <f>IFERROR(__xludf.DUMMYFUNCTION("""COMPUTED_VALUE"""),84761.0)</f>
        <v>84761</v>
      </c>
    </row>
    <row r="1460">
      <c r="A1460" s="2">
        <f>IFERROR(__xludf.DUMMYFUNCTION("""COMPUTED_VALUE"""),41285.666666666664)</f>
        <v>41285.66667</v>
      </c>
      <c r="B1460" s="1">
        <f>IFERROR(__xludf.DUMMYFUNCTION("""COMPUTED_VALUE"""),1.0)</f>
        <v>1</v>
      </c>
      <c r="C1460" s="1">
        <f>IFERROR(__xludf.DUMMYFUNCTION("""COMPUTED_VALUE"""),1.01)</f>
        <v>1.01</v>
      </c>
      <c r="D1460" s="1">
        <f>IFERROR(__xludf.DUMMYFUNCTION("""COMPUTED_VALUE"""),0.98)</f>
        <v>0.98</v>
      </c>
      <c r="E1460" s="1">
        <f>IFERROR(__xludf.DUMMYFUNCTION("""COMPUTED_VALUE"""),1.0)</f>
        <v>1</v>
      </c>
      <c r="F1460" s="1">
        <f>IFERROR(__xludf.DUMMYFUNCTION("""COMPUTED_VALUE"""),260886.0)</f>
        <v>260886</v>
      </c>
    </row>
    <row r="1461">
      <c r="A1461" s="2">
        <f>IFERROR(__xludf.DUMMYFUNCTION("""COMPUTED_VALUE"""),41288.666666666664)</f>
        <v>41288.66667</v>
      </c>
      <c r="B1461" s="1">
        <f>IFERROR(__xludf.DUMMYFUNCTION("""COMPUTED_VALUE"""),1.0)</f>
        <v>1</v>
      </c>
      <c r="C1461" s="1">
        <f>IFERROR(__xludf.DUMMYFUNCTION("""COMPUTED_VALUE"""),1.02)</f>
        <v>1.02</v>
      </c>
      <c r="D1461" s="1">
        <f>IFERROR(__xludf.DUMMYFUNCTION("""COMPUTED_VALUE"""),0.98)</f>
        <v>0.98</v>
      </c>
      <c r="E1461" s="1">
        <f>IFERROR(__xludf.DUMMYFUNCTION("""COMPUTED_VALUE"""),1.01)</f>
        <v>1.01</v>
      </c>
      <c r="F1461" s="1">
        <f>IFERROR(__xludf.DUMMYFUNCTION("""COMPUTED_VALUE"""),165340.0)</f>
        <v>165340</v>
      </c>
    </row>
    <row r="1462">
      <c r="A1462" s="2">
        <f>IFERROR(__xludf.DUMMYFUNCTION("""COMPUTED_VALUE"""),41289.666666666664)</f>
        <v>41289.66667</v>
      </c>
      <c r="B1462" s="1">
        <f>IFERROR(__xludf.DUMMYFUNCTION("""COMPUTED_VALUE"""),1.0)</f>
        <v>1</v>
      </c>
      <c r="C1462" s="1">
        <f>IFERROR(__xludf.DUMMYFUNCTION("""COMPUTED_VALUE"""),1.02)</f>
        <v>1.02</v>
      </c>
      <c r="D1462" s="1">
        <f>IFERROR(__xludf.DUMMYFUNCTION("""COMPUTED_VALUE"""),0.99)</f>
        <v>0.99</v>
      </c>
      <c r="E1462" s="1">
        <f>IFERROR(__xludf.DUMMYFUNCTION("""COMPUTED_VALUE"""),1.0)</f>
        <v>1</v>
      </c>
      <c r="F1462" s="1">
        <f>IFERROR(__xludf.DUMMYFUNCTION("""COMPUTED_VALUE"""),165727.0)</f>
        <v>165727</v>
      </c>
    </row>
    <row r="1463">
      <c r="A1463" s="2">
        <f>IFERROR(__xludf.DUMMYFUNCTION("""COMPUTED_VALUE"""),41290.666666666664)</f>
        <v>41290.66667</v>
      </c>
      <c r="B1463" s="1">
        <f>IFERROR(__xludf.DUMMYFUNCTION("""COMPUTED_VALUE"""),0.99)</f>
        <v>0.99</v>
      </c>
      <c r="C1463" s="1">
        <f>IFERROR(__xludf.DUMMYFUNCTION("""COMPUTED_VALUE"""),1.02)</f>
        <v>1.02</v>
      </c>
      <c r="D1463" s="1">
        <f>IFERROR(__xludf.DUMMYFUNCTION("""COMPUTED_VALUE"""),0.99)</f>
        <v>0.99</v>
      </c>
      <c r="E1463" s="1">
        <f>IFERROR(__xludf.DUMMYFUNCTION("""COMPUTED_VALUE"""),1.0)</f>
        <v>1</v>
      </c>
      <c r="F1463" s="1">
        <f>IFERROR(__xludf.DUMMYFUNCTION("""COMPUTED_VALUE"""),173486.0)</f>
        <v>173486</v>
      </c>
    </row>
    <row r="1464">
      <c r="A1464" s="2">
        <f>IFERROR(__xludf.DUMMYFUNCTION("""COMPUTED_VALUE"""),41291.666666666664)</f>
        <v>41291.66667</v>
      </c>
      <c r="B1464" s="1">
        <f>IFERROR(__xludf.DUMMYFUNCTION("""COMPUTED_VALUE"""),1.01)</f>
        <v>1.01</v>
      </c>
      <c r="C1464" s="1">
        <f>IFERROR(__xludf.DUMMYFUNCTION("""COMPUTED_VALUE"""),1.02)</f>
        <v>1.02</v>
      </c>
      <c r="D1464" s="1">
        <f>IFERROR(__xludf.DUMMYFUNCTION("""COMPUTED_VALUE"""),1.0)</f>
        <v>1</v>
      </c>
      <c r="E1464" s="1">
        <f>IFERROR(__xludf.DUMMYFUNCTION("""COMPUTED_VALUE"""),1.01)</f>
        <v>1.01</v>
      </c>
      <c r="F1464" s="1">
        <f>IFERROR(__xludf.DUMMYFUNCTION("""COMPUTED_VALUE"""),107424.0)</f>
        <v>107424</v>
      </c>
    </row>
    <row r="1465">
      <c r="A1465" s="2">
        <f>IFERROR(__xludf.DUMMYFUNCTION("""COMPUTED_VALUE"""),41292.666666666664)</f>
        <v>41292.66667</v>
      </c>
      <c r="B1465" s="1">
        <f>IFERROR(__xludf.DUMMYFUNCTION("""COMPUTED_VALUE"""),1.01)</f>
        <v>1.01</v>
      </c>
      <c r="C1465" s="1">
        <f>IFERROR(__xludf.DUMMYFUNCTION("""COMPUTED_VALUE"""),1.03)</f>
        <v>1.03</v>
      </c>
      <c r="D1465" s="1">
        <f>IFERROR(__xludf.DUMMYFUNCTION("""COMPUTED_VALUE"""),1.01)</f>
        <v>1.01</v>
      </c>
      <c r="E1465" s="1">
        <f>IFERROR(__xludf.DUMMYFUNCTION("""COMPUTED_VALUE"""),1.03)</f>
        <v>1.03</v>
      </c>
      <c r="F1465" s="1">
        <f>IFERROR(__xludf.DUMMYFUNCTION("""COMPUTED_VALUE"""),134692.0)</f>
        <v>134692</v>
      </c>
    </row>
    <row r="1466">
      <c r="A1466" s="2">
        <f>IFERROR(__xludf.DUMMYFUNCTION("""COMPUTED_VALUE"""),41296.666666666664)</f>
        <v>41296.66667</v>
      </c>
      <c r="B1466" s="1">
        <f>IFERROR(__xludf.DUMMYFUNCTION("""COMPUTED_VALUE"""),1.03)</f>
        <v>1.03</v>
      </c>
      <c r="C1466" s="1">
        <f>IFERROR(__xludf.DUMMYFUNCTION("""COMPUTED_VALUE"""),1.06)</f>
        <v>1.06</v>
      </c>
      <c r="D1466" s="1">
        <f>IFERROR(__xludf.DUMMYFUNCTION("""COMPUTED_VALUE"""),1.02)</f>
        <v>1.02</v>
      </c>
      <c r="E1466" s="1">
        <f>IFERROR(__xludf.DUMMYFUNCTION("""COMPUTED_VALUE"""),1.05)</f>
        <v>1.05</v>
      </c>
      <c r="F1466" s="1">
        <f>IFERROR(__xludf.DUMMYFUNCTION("""COMPUTED_VALUE"""),150572.0)</f>
        <v>150572</v>
      </c>
    </row>
    <row r="1467">
      <c r="A1467" s="2">
        <f>IFERROR(__xludf.DUMMYFUNCTION("""COMPUTED_VALUE"""),41297.666666666664)</f>
        <v>41297.66667</v>
      </c>
      <c r="B1467" s="1">
        <f>IFERROR(__xludf.DUMMYFUNCTION("""COMPUTED_VALUE"""),1.15)</f>
        <v>1.15</v>
      </c>
      <c r="C1467" s="1">
        <f>IFERROR(__xludf.DUMMYFUNCTION("""COMPUTED_VALUE"""),1.25)</f>
        <v>1.25</v>
      </c>
      <c r="D1467" s="1">
        <f>IFERROR(__xludf.DUMMYFUNCTION("""COMPUTED_VALUE"""),1.12)</f>
        <v>1.12</v>
      </c>
      <c r="E1467" s="1">
        <f>IFERROR(__xludf.DUMMYFUNCTION("""COMPUTED_VALUE"""),1.25)</f>
        <v>1.25</v>
      </c>
      <c r="F1467" s="1">
        <f>IFERROR(__xludf.DUMMYFUNCTION("""COMPUTED_VALUE"""),1573183.0)</f>
        <v>1573183</v>
      </c>
    </row>
    <row r="1468">
      <c r="A1468" s="2">
        <f>IFERROR(__xludf.DUMMYFUNCTION("""COMPUTED_VALUE"""),41298.666666666664)</f>
        <v>41298.66667</v>
      </c>
      <c r="B1468" s="1">
        <f>IFERROR(__xludf.DUMMYFUNCTION("""COMPUTED_VALUE"""),1.25)</f>
        <v>1.25</v>
      </c>
      <c r="C1468" s="1">
        <f>IFERROR(__xludf.DUMMYFUNCTION("""COMPUTED_VALUE"""),1.32)</f>
        <v>1.32</v>
      </c>
      <c r="D1468" s="1">
        <f>IFERROR(__xludf.DUMMYFUNCTION("""COMPUTED_VALUE"""),1.22)</f>
        <v>1.22</v>
      </c>
      <c r="E1468" s="1">
        <f>IFERROR(__xludf.DUMMYFUNCTION("""COMPUTED_VALUE"""),1.25)</f>
        <v>1.25</v>
      </c>
      <c r="F1468" s="1">
        <f>IFERROR(__xludf.DUMMYFUNCTION("""COMPUTED_VALUE"""),582342.0)</f>
        <v>582342</v>
      </c>
    </row>
    <row r="1469">
      <c r="A1469" s="2">
        <f>IFERROR(__xludf.DUMMYFUNCTION("""COMPUTED_VALUE"""),41299.666666666664)</f>
        <v>41299.66667</v>
      </c>
      <c r="B1469" s="1">
        <f>IFERROR(__xludf.DUMMYFUNCTION("""COMPUTED_VALUE"""),1.26)</f>
        <v>1.26</v>
      </c>
      <c r="C1469" s="1">
        <f>IFERROR(__xludf.DUMMYFUNCTION("""COMPUTED_VALUE"""),1.27)</f>
        <v>1.27</v>
      </c>
      <c r="D1469" s="1">
        <f>IFERROR(__xludf.DUMMYFUNCTION("""COMPUTED_VALUE"""),1.22)</f>
        <v>1.22</v>
      </c>
      <c r="E1469" s="1">
        <f>IFERROR(__xludf.DUMMYFUNCTION("""COMPUTED_VALUE"""),1.24)</f>
        <v>1.24</v>
      </c>
      <c r="F1469" s="1">
        <f>IFERROR(__xludf.DUMMYFUNCTION("""COMPUTED_VALUE"""),248845.0)</f>
        <v>248845</v>
      </c>
    </row>
    <row r="1470">
      <c r="A1470" s="2">
        <f>IFERROR(__xludf.DUMMYFUNCTION("""COMPUTED_VALUE"""),41302.666666666664)</f>
        <v>41302.66667</v>
      </c>
      <c r="B1470" s="1">
        <f>IFERROR(__xludf.DUMMYFUNCTION("""COMPUTED_VALUE"""),1.24)</f>
        <v>1.24</v>
      </c>
      <c r="C1470" s="1">
        <f>IFERROR(__xludf.DUMMYFUNCTION("""COMPUTED_VALUE"""),1.26)</f>
        <v>1.26</v>
      </c>
      <c r="D1470" s="1">
        <f>IFERROR(__xludf.DUMMYFUNCTION("""COMPUTED_VALUE"""),1.22)</f>
        <v>1.22</v>
      </c>
      <c r="E1470" s="1">
        <f>IFERROR(__xludf.DUMMYFUNCTION("""COMPUTED_VALUE"""),1.26)</f>
        <v>1.26</v>
      </c>
      <c r="F1470" s="1">
        <f>IFERROR(__xludf.DUMMYFUNCTION("""COMPUTED_VALUE"""),288532.0)</f>
        <v>288532</v>
      </c>
    </row>
    <row r="1471">
      <c r="A1471" s="2">
        <f>IFERROR(__xludf.DUMMYFUNCTION("""COMPUTED_VALUE"""),41303.666666666664)</f>
        <v>41303.66667</v>
      </c>
      <c r="B1471" s="1">
        <f>IFERROR(__xludf.DUMMYFUNCTION("""COMPUTED_VALUE"""),1.25)</f>
        <v>1.25</v>
      </c>
      <c r="C1471" s="1">
        <f>IFERROR(__xludf.DUMMYFUNCTION("""COMPUTED_VALUE"""),1.25)</f>
        <v>1.25</v>
      </c>
      <c r="D1471" s="1">
        <f>IFERROR(__xludf.DUMMYFUNCTION("""COMPUTED_VALUE"""),1.23)</f>
        <v>1.23</v>
      </c>
      <c r="E1471" s="1">
        <f>IFERROR(__xludf.DUMMYFUNCTION("""COMPUTED_VALUE"""),1.25)</f>
        <v>1.25</v>
      </c>
      <c r="F1471" s="1">
        <f>IFERROR(__xludf.DUMMYFUNCTION("""COMPUTED_VALUE"""),307023.0)</f>
        <v>307023</v>
      </c>
    </row>
    <row r="1472">
      <c r="A1472" s="2">
        <f>IFERROR(__xludf.DUMMYFUNCTION("""COMPUTED_VALUE"""),41304.666666666664)</f>
        <v>41304.66667</v>
      </c>
      <c r="B1472" s="1">
        <f>IFERROR(__xludf.DUMMYFUNCTION("""COMPUTED_VALUE"""),1.25)</f>
        <v>1.25</v>
      </c>
      <c r="C1472" s="1">
        <f>IFERROR(__xludf.DUMMYFUNCTION("""COMPUTED_VALUE"""),1.26)</f>
        <v>1.26</v>
      </c>
      <c r="D1472" s="1">
        <f>IFERROR(__xludf.DUMMYFUNCTION("""COMPUTED_VALUE"""),1.21)</f>
        <v>1.21</v>
      </c>
      <c r="E1472" s="1">
        <f>IFERROR(__xludf.DUMMYFUNCTION("""COMPUTED_VALUE"""),1.23)</f>
        <v>1.23</v>
      </c>
      <c r="F1472" s="1">
        <f>IFERROR(__xludf.DUMMYFUNCTION("""COMPUTED_VALUE"""),222910.0)</f>
        <v>222910</v>
      </c>
    </row>
    <row r="1473">
      <c r="A1473" s="2">
        <f>IFERROR(__xludf.DUMMYFUNCTION("""COMPUTED_VALUE"""),41305.666666666664)</f>
        <v>41305.66667</v>
      </c>
      <c r="B1473" s="1">
        <f>IFERROR(__xludf.DUMMYFUNCTION("""COMPUTED_VALUE"""),1.23)</f>
        <v>1.23</v>
      </c>
      <c r="C1473" s="1">
        <f>IFERROR(__xludf.DUMMYFUNCTION("""COMPUTED_VALUE"""),1.25)</f>
        <v>1.25</v>
      </c>
      <c r="D1473" s="1">
        <f>IFERROR(__xludf.DUMMYFUNCTION("""COMPUTED_VALUE"""),1.2)</f>
        <v>1.2</v>
      </c>
      <c r="E1473" s="1">
        <f>IFERROR(__xludf.DUMMYFUNCTION("""COMPUTED_VALUE"""),1.24)</f>
        <v>1.24</v>
      </c>
      <c r="F1473" s="1">
        <f>IFERROR(__xludf.DUMMYFUNCTION("""COMPUTED_VALUE"""),208279.0)</f>
        <v>208279</v>
      </c>
    </row>
    <row r="1474">
      <c r="A1474" s="2">
        <f>IFERROR(__xludf.DUMMYFUNCTION("""COMPUTED_VALUE"""),41306.666666666664)</f>
        <v>41306.66667</v>
      </c>
      <c r="B1474" s="1">
        <f>IFERROR(__xludf.DUMMYFUNCTION("""COMPUTED_VALUE"""),1.25)</f>
        <v>1.25</v>
      </c>
      <c r="C1474" s="1">
        <f>IFERROR(__xludf.DUMMYFUNCTION("""COMPUTED_VALUE"""),1.26)</f>
        <v>1.26</v>
      </c>
      <c r="D1474" s="1">
        <f>IFERROR(__xludf.DUMMYFUNCTION("""COMPUTED_VALUE"""),1.22)</f>
        <v>1.22</v>
      </c>
      <c r="E1474" s="1">
        <f>IFERROR(__xludf.DUMMYFUNCTION("""COMPUTED_VALUE"""),1.26)</f>
        <v>1.26</v>
      </c>
      <c r="F1474" s="1">
        <f>IFERROR(__xludf.DUMMYFUNCTION("""COMPUTED_VALUE"""),270604.0)</f>
        <v>270604</v>
      </c>
    </row>
    <row r="1475">
      <c r="A1475" s="2">
        <f>IFERROR(__xludf.DUMMYFUNCTION("""COMPUTED_VALUE"""),41309.666666666664)</f>
        <v>41309.66667</v>
      </c>
      <c r="B1475" s="1">
        <f>IFERROR(__xludf.DUMMYFUNCTION("""COMPUTED_VALUE"""),1.25)</f>
        <v>1.25</v>
      </c>
      <c r="C1475" s="1">
        <f>IFERROR(__xludf.DUMMYFUNCTION("""COMPUTED_VALUE"""),1.26)</f>
        <v>1.26</v>
      </c>
      <c r="D1475" s="1">
        <f>IFERROR(__xludf.DUMMYFUNCTION("""COMPUTED_VALUE"""),1.22)</f>
        <v>1.22</v>
      </c>
      <c r="E1475" s="1">
        <f>IFERROR(__xludf.DUMMYFUNCTION("""COMPUTED_VALUE"""),1.23)</f>
        <v>1.23</v>
      </c>
      <c r="F1475" s="1">
        <f>IFERROR(__xludf.DUMMYFUNCTION("""COMPUTED_VALUE"""),300419.0)</f>
        <v>300419</v>
      </c>
    </row>
    <row r="1476">
      <c r="A1476" s="2">
        <f>IFERROR(__xludf.DUMMYFUNCTION("""COMPUTED_VALUE"""),41310.666666666664)</f>
        <v>41310.66667</v>
      </c>
      <c r="B1476" s="1">
        <f>IFERROR(__xludf.DUMMYFUNCTION("""COMPUTED_VALUE"""),1.24)</f>
        <v>1.24</v>
      </c>
      <c r="C1476" s="1">
        <f>IFERROR(__xludf.DUMMYFUNCTION("""COMPUTED_VALUE"""),1.27)</f>
        <v>1.27</v>
      </c>
      <c r="D1476" s="1">
        <f>IFERROR(__xludf.DUMMYFUNCTION("""COMPUTED_VALUE"""),1.23)</f>
        <v>1.23</v>
      </c>
      <c r="E1476" s="1">
        <f>IFERROR(__xludf.DUMMYFUNCTION("""COMPUTED_VALUE"""),1.24)</f>
        <v>1.24</v>
      </c>
      <c r="F1476" s="1">
        <f>IFERROR(__xludf.DUMMYFUNCTION("""COMPUTED_VALUE"""),384552.0)</f>
        <v>384552</v>
      </c>
    </row>
    <row r="1477">
      <c r="A1477" s="2">
        <f>IFERROR(__xludf.DUMMYFUNCTION("""COMPUTED_VALUE"""),41311.666666666664)</f>
        <v>41311.66667</v>
      </c>
      <c r="B1477" s="1">
        <f>IFERROR(__xludf.DUMMYFUNCTION("""COMPUTED_VALUE"""),1.24)</f>
        <v>1.24</v>
      </c>
      <c r="C1477" s="1">
        <f>IFERROR(__xludf.DUMMYFUNCTION("""COMPUTED_VALUE"""),1.27)</f>
        <v>1.27</v>
      </c>
      <c r="D1477" s="1">
        <f>IFERROR(__xludf.DUMMYFUNCTION("""COMPUTED_VALUE"""),1.23)</f>
        <v>1.23</v>
      </c>
      <c r="E1477" s="1">
        <f>IFERROR(__xludf.DUMMYFUNCTION("""COMPUTED_VALUE"""),1.27)</f>
        <v>1.27</v>
      </c>
      <c r="F1477" s="1">
        <f>IFERROR(__xludf.DUMMYFUNCTION("""COMPUTED_VALUE"""),299702.0)</f>
        <v>299702</v>
      </c>
    </row>
    <row r="1478">
      <c r="A1478" s="2">
        <f>IFERROR(__xludf.DUMMYFUNCTION("""COMPUTED_VALUE"""),41312.666666666664)</f>
        <v>41312.66667</v>
      </c>
      <c r="B1478" s="1">
        <f>IFERROR(__xludf.DUMMYFUNCTION("""COMPUTED_VALUE"""),1.26)</f>
        <v>1.26</v>
      </c>
      <c r="C1478" s="1">
        <f>IFERROR(__xludf.DUMMYFUNCTION("""COMPUTED_VALUE"""),1.27)</f>
        <v>1.27</v>
      </c>
      <c r="D1478" s="1">
        <f>IFERROR(__xludf.DUMMYFUNCTION("""COMPUTED_VALUE"""),1.25)</f>
        <v>1.25</v>
      </c>
      <c r="E1478" s="1">
        <f>IFERROR(__xludf.DUMMYFUNCTION("""COMPUTED_VALUE"""),1.27)</f>
        <v>1.27</v>
      </c>
      <c r="F1478" s="1">
        <f>IFERROR(__xludf.DUMMYFUNCTION("""COMPUTED_VALUE"""),266413.0)</f>
        <v>266413</v>
      </c>
    </row>
    <row r="1479">
      <c r="A1479" s="2">
        <f>IFERROR(__xludf.DUMMYFUNCTION("""COMPUTED_VALUE"""),41313.666666666664)</f>
        <v>41313.66667</v>
      </c>
      <c r="B1479" s="1">
        <f>IFERROR(__xludf.DUMMYFUNCTION("""COMPUTED_VALUE"""),1.27)</f>
        <v>1.27</v>
      </c>
      <c r="C1479" s="1">
        <f>IFERROR(__xludf.DUMMYFUNCTION("""COMPUTED_VALUE"""),1.28)</f>
        <v>1.28</v>
      </c>
      <c r="D1479" s="1">
        <f>IFERROR(__xludf.DUMMYFUNCTION("""COMPUTED_VALUE"""),1.26)</f>
        <v>1.26</v>
      </c>
      <c r="E1479" s="1">
        <f>IFERROR(__xludf.DUMMYFUNCTION("""COMPUTED_VALUE"""),1.27)</f>
        <v>1.27</v>
      </c>
      <c r="F1479" s="1">
        <f>IFERROR(__xludf.DUMMYFUNCTION("""COMPUTED_VALUE"""),175439.0)</f>
        <v>175439</v>
      </c>
    </row>
    <row r="1480">
      <c r="A1480" s="2">
        <f>IFERROR(__xludf.DUMMYFUNCTION("""COMPUTED_VALUE"""),41316.666666666664)</f>
        <v>41316.66667</v>
      </c>
      <c r="B1480" s="1">
        <f>IFERROR(__xludf.DUMMYFUNCTION("""COMPUTED_VALUE"""),1.26)</f>
        <v>1.26</v>
      </c>
      <c r="C1480" s="1">
        <f>IFERROR(__xludf.DUMMYFUNCTION("""COMPUTED_VALUE"""),1.27)</f>
        <v>1.27</v>
      </c>
      <c r="D1480" s="1">
        <f>IFERROR(__xludf.DUMMYFUNCTION("""COMPUTED_VALUE"""),1.24)</f>
        <v>1.24</v>
      </c>
      <c r="E1480" s="1">
        <f>IFERROR(__xludf.DUMMYFUNCTION("""COMPUTED_VALUE"""),1.27)</f>
        <v>1.27</v>
      </c>
      <c r="F1480" s="1">
        <f>IFERROR(__xludf.DUMMYFUNCTION("""COMPUTED_VALUE"""),105583.0)</f>
        <v>105583</v>
      </c>
    </row>
    <row r="1481">
      <c r="A1481" s="2">
        <f>IFERROR(__xludf.DUMMYFUNCTION("""COMPUTED_VALUE"""),41317.666666666664)</f>
        <v>41317.66667</v>
      </c>
      <c r="B1481" s="1">
        <f>IFERROR(__xludf.DUMMYFUNCTION("""COMPUTED_VALUE"""),1.26)</f>
        <v>1.26</v>
      </c>
      <c r="C1481" s="1">
        <f>IFERROR(__xludf.DUMMYFUNCTION("""COMPUTED_VALUE"""),1.27)</f>
        <v>1.27</v>
      </c>
      <c r="D1481" s="1">
        <f>IFERROR(__xludf.DUMMYFUNCTION("""COMPUTED_VALUE"""),1.24)</f>
        <v>1.24</v>
      </c>
      <c r="E1481" s="1">
        <f>IFERROR(__xludf.DUMMYFUNCTION("""COMPUTED_VALUE"""),1.24)</f>
        <v>1.24</v>
      </c>
      <c r="F1481" s="1">
        <f>IFERROR(__xludf.DUMMYFUNCTION("""COMPUTED_VALUE"""),92124.0)</f>
        <v>92124</v>
      </c>
    </row>
    <row r="1482">
      <c r="A1482" s="2">
        <f>IFERROR(__xludf.DUMMYFUNCTION("""COMPUTED_VALUE"""),41318.666666666664)</f>
        <v>41318.66667</v>
      </c>
      <c r="B1482" s="1">
        <f>IFERROR(__xludf.DUMMYFUNCTION("""COMPUTED_VALUE"""),1.24)</f>
        <v>1.24</v>
      </c>
      <c r="C1482" s="1">
        <f>IFERROR(__xludf.DUMMYFUNCTION("""COMPUTED_VALUE"""),1.25)</f>
        <v>1.25</v>
      </c>
      <c r="D1482" s="1">
        <f>IFERROR(__xludf.DUMMYFUNCTION("""COMPUTED_VALUE"""),1.23)</f>
        <v>1.23</v>
      </c>
      <c r="E1482" s="1">
        <f>IFERROR(__xludf.DUMMYFUNCTION("""COMPUTED_VALUE"""),1.25)</f>
        <v>1.25</v>
      </c>
      <c r="F1482" s="1">
        <f>IFERROR(__xludf.DUMMYFUNCTION("""COMPUTED_VALUE"""),90940.0)</f>
        <v>90940</v>
      </c>
    </row>
    <row r="1483">
      <c r="A1483" s="2">
        <f>IFERROR(__xludf.DUMMYFUNCTION("""COMPUTED_VALUE"""),41319.666666666664)</f>
        <v>41319.66667</v>
      </c>
      <c r="B1483" s="1">
        <f>IFERROR(__xludf.DUMMYFUNCTION("""COMPUTED_VALUE"""),1.24)</f>
        <v>1.24</v>
      </c>
      <c r="C1483" s="1">
        <f>IFERROR(__xludf.DUMMYFUNCTION("""COMPUTED_VALUE"""),1.25)</f>
        <v>1.25</v>
      </c>
      <c r="D1483" s="1">
        <f>IFERROR(__xludf.DUMMYFUNCTION("""COMPUTED_VALUE"""),1.22)</f>
        <v>1.22</v>
      </c>
      <c r="E1483" s="1">
        <f>IFERROR(__xludf.DUMMYFUNCTION("""COMPUTED_VALUE"""),1.24)</f>
        <v>1.24</v>
      </c>
      <c r="F1483" s="1">
        <f>IFERROR(__xludf.DUMMYFUNCTION("""COMPUTED_VALUE"""),64217.0)</f>
        <v>64217</v>
      </c>
    </row>
    <row r="1484">
      <c r="A1484" s="2">
        <f>IFERROR(__xludf.DUMMYFUNCTION("""COMPUTED_VALUE"""),41320.666666666664)</f>
        <v>41320.66667</v>
      </c>
      <c r="B1484" s="1">
        <f>IFERROR(__xludf.DUMMYFUNCTION("""COMPUTED_VALUE"""),1.25)</f>
        <v>1.25</v>
      </c>
      <c r="C1484" s="1">
        <f>IFERROR(__xludf.DUMMYFUNCTION("""COMPUTED_VALUE"""),1.25)</f>
        <v>1.25</v>
      </c>
      <c r="D1484" s="1">
        <f>IFERROR(__xludf.DUMMYFUNCTION("""COMPUTED_VALUE"""),1.21)</f>
        <v>1.21</v>
      </c>
      <c r="E1484" s="1">
        <f>IFERROR(__xludf.DUMMYFUNCTION("""COMPUTED_VALUE"""),1.25)</f>
        <v>1.25</v>
      </c>
      <c r="F1484" s="1">
        <f>IFERROR(__xludf.DUMMYFUNCTION("""COMPUTED_VALUE"""),154826.0)</f>
        <v>154826</v>
      </c>
    </row>
    <row r="1485">
      <c r="A1485" s="2">
        <f>IFERROR(__xludf.DUMMYFUNCTION("""COMPUTED_VALUE"""),41324.666666666664)</f>
        <v>41324.66667</v>
      </c>
      <c r="B1485" s="1">
        <f>IFERROR(__xludf.DUMMYFUNCTION("""COMPUTED_VALUE"""),1.25)</f>
        <v>1.25</v>
      </c>
      <c r="C1485" s="1">
        <f>IFERROR(__xludf.DUMMYFUNCTION("""COMPUTED_VALUE"""),1.25)</f>
        <v>1.25</v>
      </c>
      <c r="D1485" s="1">
        <f>IFERROR(__xludf.DUMMYFUNCTION("""COMPUTED_VALUE"""),1.24)</f>
        <v>1.24</v>
      </c>
      <c r="E1485" s="1">
        <f>IFERROR(__xludf.DUMMYFUNCTION("""COMPUTED_VALUE"""),1.25)</f>
        <v>1.25</v>
      </c>
      <c r="F1485" s="1">
        <f>IFERROR(__xludf.DUMMYFUNCTION("""COMPUTED_VALUE"""),119479.0)</f>
        <v>119479</v>
      </c>
    </row>
    <row r="1486">
      <c r="A1486" s="2">
        <f>IFERROR(__xludf.DUMMYFUNCTION("""COMPUTED_VALUE"""),41325.666666666664)</f>
        <v>41325.66667</v>
      </c>
      <c r="B1486" s="1">
        <f>IFERROR(__xludf.DUMMYFUNCTION("""COMPUTED_VALUE"""),1.25)</f>
        <v>1.25</v>
      </c>
      <c r="C1486" s="1">
        <f>IFERROR(__xludf.DUMMYFUNCTION("""COMPUTED_VALUE"""),1.25)</f>
        <v>1.25</v>
      </c>
      <c r="D1486" s="1">
        <f>IFERROR(__xludf.DUMMYFUNCTION("""COMPUTED_VALUE"""),1.24)</f>
        <v>1.24</v>
      </c>
      <c r="E1486" s="1">
        <f>IFERROR(__xludf.DUMMYFUNCTION("""COMPUTED_VALUE"""),1.24)</f>
        <v>1.24</v>
      </c>
      <c r="F1486" s="1">
        <f>IFERROR(__xludf.DUMMYFUNCTION("""COMPUTED_VALUE"""),361028.0)</f>
        <v>361028</v>
      </c>
    </row>
    <row r="1487">
      <c r="A1487" s="2">
        <f>IFERROR(__xludf.DUMMYFUNCTION("""COMPUTED_VALUE"""),41326.666666666664)</f>
        <v>41326.66667</v>
      </c>
      <c r="B1487" s="1">
        <f>IFERROR(__xludf.DUMMYFUNCTION("""COMPUTED_VALUE"""),1.24)</f>
        <v>1.24</v>
      </c>
      <c r="C1487" s="1">
        <f>IFERROR(__xludf.DUMMYFUNCTION("""COMPUTED_VALUE"""),1.24)</f>
        <v>1.24</v>
      </c>
      <c r="D1487" s="1">
        <f>IFERROR(__xludf.DUMMYFUNCTION("""COMPUTED_VALUE"""),1.17)</f>
        <v>1.17</v>
      </c>
      <c r="E1487" s="1">
        <f>IFERROR(__xludf.DUMMYFUNCTION("""COMPUTED_VALUE"""),1.18)</f>
        <v>1.18</v>
      </c>
      <c r="F1487" s="1">
        <f>IFERROR(__xludf.DUMMYFUNCTION("""COMPUTED_VALUE"""),387491.0)</f>
        <v>387491</v>
      </c>
    </row>
    <row r="1488">
      <c r="A1488" s="2">
        <f>IFERROR(__xludf.DUMMYFUNCTION("""COMPUTED_VALUE"""),41327.666666666664)</f>
        <v>41327.66667</v>
      </c>
      <c r="B1488" s="1">
        <f>IFERROR(__xludf.DUMMYFUNCTION("""COMPUTED_VALUE"""),1.19)</f>
        <v>1.19</v>
      </c>
      <c r="C1488" s="1">
        <f>IFERROR(__xludf.DUMMYFUNCTION("""COMPUTED_VALUE"""),1.19)</f>
        <v>1.19</v>
      </c>
      <c r="D1488" s="1">
        <f>IFERROR(__xludf.DUMMYFUNCTION("""COMPUTED_VALUE"""),1.16)</f>
        <v>1.16</v>
      </c>
      <c r="E1488" s="1">
        <f>IFERROR(__xludf.DUMMYFUNCTION("""COMPUTED_VALUE"""),1.19)</f>
        <v>1.19</v>
      </c>
      <c r="F1488" s="1">
        <f>IFERROR(__xludf.DUMMYFUNCTION("""COMPUTED_VALUE"""),266313.0)</f>
        <v>266313</v>
      </c>
    </row>
    <row r="1489">
      <c r="A1489" s="2">
        <f>IFERROR(__xludf.DUMMYFUNCTION("""COMPUTED_VALUE"""),41330.666666666664)</f>
        <v>41330.66667</v>
      </c>
      <c r="B1489" s="1">
        <f>IFERROR(__xludf.DUMMYFUNCTION("""COMPUTED_VALUE"""),1.2)</f>
        <v>1.2</v>
      </c>
      <c r="C1489" s="1">
        <f>IFERROR(__xludf.DUMMYFUNCTION("""COMPUTED_VALUE"""),1.21)</f>
        <v>1.21</v>
      </c>
      <c r="D1489" s="1">
        <f>IFERROR(__xludf.DUMMYFUNCTION("""COMPUTED_VALUE"""),1.18)</f>
        <v>1.18</v>
      </c>
      <c r="E1489" s="1">
        <f>IFERROR(__xludf.DUMMYFUNCTION("""COMPUTED_VALUE"""),1.18)</f>
        <v>1.18</v>
      </c>
      <c r="F1489" s="1">
        <f>IFERROR(__xludf.DUMMYFUNCTION("""COMPUTED_VALUE"""),170176.0)</f>
        <v>170176</v>
      </c>
    </row>
    <row r="1490">
      <c r="A1490" s="2">
        <f>IFERROR(__xludf.DUMMYFUNCTION("""COMPUTED_VALUE"""),41331.666666666664)</f>
        <v>41331.66667</v>
      </c>
      <c r="B1490" s="1">
        <f>IFERROR(__xludf.DUMMYFUNCTION("""COMPUTED_VALUE"""),1.19)</f>
        <v>1.19</v>
      </c>
      <c r="C1490" s="1">
        <f>IFERROR(__xludf.DUMMYFUNCTION("""COMPUTED_VALUE"""),1.2)</f>
        <v>1.2</v>
      </c>
      <c r="D1490" s="1">
        <f>IFERROR(__xludf.DUMMYFUNCTION("""COMPUTED_VALUE"""),1.18)</f>
        <v>1.18</v>
      </c>
      <c r="E1490" s="1">
        <f>IFERROR(__xludf.DUMMYFUNCTION("""COMPUTED_VALUE"""),1.19)</f>
        <v>1.19</v>
      </c>
      <c r="F1490" s="1">
        <f>IFERROR(__xludf.DUMMYFUNCTION("""COMPUTED_VALUE"""),71848.0)</f>
        <v>71848</v>
      </c>
    </row>
    <row r="1491">
      <c r="A1491" s="2">
        <f>IFERROR(__xludf.DUMMYFUNCTION("""COMPUTED_VALUE"""),41332.666666666664)</f>
        <v>41332.66667</v>
      </c>
      <c r="B1491" s="1">
        <f>IFERROR(__xludf.DUMMYFUNCTION("""COMPUTED_VALUE"""),1.18)</f>
        <v>1.18</v>
      </c>
      <c r="C1491" s="1">
        <f>IFERROR(__xludf.DUMMYFUNCTION("""COMPUTED_VALUE"""),1.2)</f>
        <v>1.2</v>
      </c>
      <c r="D1491" s="1">
        <f>IFERROR(__xludf.DUMMYFUNCTION("""COMPUTED_VALUE"""),1.18)</f>
        <v>1.18</v>
      </c>
      <c r="E1491" s="1">
        <f>IFERROR(__xludf.DUMMYFUNCTION("""COMPUTED_VALUE"""),1.19)</f>
        <v>1.19</v>
      </c>
      <c r="F1491" s="1">
        <f>IFERROR(__xludf.DUMMYFUNCTION("""COMPUTED_VALUE"""),87923.0)</f>
        <v>87923</v>
      </c>
    </row>
    <row r="1492">
      <c r="A1492" s="2">
        <f>IFERROR(__xludf.DUMMYFUNCTION("""COMPUTED_VALUE"""),41333.666666666664)</f>
        <v>41333.66667</v>
      </c>
      <c r="B1492" s="1">
        <f>IFERROR(__xludf.DUMMYFUNCTION("""COMPUTED_VALUE"""),1.18)</f>
        <v>1.18</v>
      </c>
      <c r="C1492" s="1">
        <f>IFERROR(__xludf.DUMMYFUNCTION("""COMPUTED_VALUE"""),1.19)</f>
        <v>1.19</v>
      </c>
      <c r="D1492" s="1">
        <f>IFERROR(__xludf.DUMMYFUNCTION("""COMPUTED_VALUE"""),1.17)</f>
        <v>1.17</v>
      </c>
      <c r="E1492" s="1">
        <f>IFERROR(__xludf.DUMMYFUNCTION("""COMPUTED_VALUE"""),1.17)</f>
        <v>1.17</v>
      </c>
      <c r="F1492" s="1">
        <f>IFERROR(__xludf.DUMMYFUNCTION("""COMPUTED_VALUE"""),181020.0)</f>
        <v>181020</v>
      </c>
    </row>
    <row r="1493">
      <c r="A1493" s="2">
        <f>IFERROR(__xludf.DUMMYFUNCTION("""COMPUTED_VALUE"""),41334.666666666664)</f>
        <v>41334.66667</v>
      </c>
      <c r="B1493" s="1">
        <f>IFERROR(__xludf.DUMMYFUNCTION("""COMPUTED_VALUE"""),1.16)</f>
        <v>1.16</v>
      </c>
      <c r="C1493" s="1">
        <f>IFERROR(__xludf.DUMMYFUNCTION("""COMPUTED_VALUE"""),1.19)</f>
        <v>1.19</v>
      </c>
      <c r="D1493" s="1">
        <f>IFERROR(__xludf.DUMMYFUNCTION("""COMPUTED_VALUE"""),1.14)</f>
        <v>1.14</v>
      </c>
      <c r="E1493" s="1">
        <f>IFERROR(__xludf.DUMMYFUNCTION("""COMPUTED_VALUE"""),1.19)</f>
        <v>1.19</v>
      </c>
      <c r="F1493" s="1">
        <f>IFERROR(__xludf.DUMMYFUNCTION("""COMPUTED_VALUE"""),194347.0)</f>
        <v>194347</v>
      </c>
    </row>
    <row r="1494">
      <c r="A1494" s="2">
        <f>IFERROR(__xludf.DUMMYFUNCTION("""COMPUTED_VALUE"""),41337.666666666664)</f>
        <v>41337.66667</v>
      </c>
      <c r="B1494" s="1">
        <f>IFERROR(__xludf.DUMMYFUNCTION("""COMPUTED_VALUE"""),1.18)</f>
        <v>1.18</v>
      </c>
      <c r="C1494" s="1">
        <f>IFERROR(__xludf.DUMMYFUNCTION("""COMPUTED_VALUE"""),1.19)</f>
        <v>1.19</v>
      </c>
      <c r="D1494" s="1">
        <f>IFERROR(__xludf.DUMMYFUNCTION("""COMPUTED_VALUE"""),1.15)</f>
        <v>1.15</v>
      </c>
      <c r="E1494" s="1">
        <f>IFERROR(__xludf.DUMMYFUNCTION("""COMPUTED_VALUE"""),1.16)</f>
        <v>1.16</v>
      </c>
      <c r="F1494" s="1">
        <f>IFERROR(__xludf.DUMMYFUNCTION("""COMPUTED_VALUE"""),116770.0)</f>
        <v>116770</v>
      </c>
    </row>
    <row r="1495">
      <c r="A1495" s="2">
        <f>IFERROR(__xludf.DUMMYFUNCTION("""COMPUTED_VALUE"""),41338.666666666664)</f>
        <v>41338.66667</v>
      </c>
      <c r="B1495" s="1">
        <f>IFERROR(__xludf.DUMMYFUNCTION("""COMPUTED_VALUE"""),1.17)</f>
        <v>1.17</v>
      </c>
      <c r="C1495" s="1">
        <f>IFERROR(__xludf.DUMMYFUNCTION("""COMPUTED_VALUE"""),1.17)</f>
        <v>1.17</v>
      </c>
      <c r="D1495" s="1">
        <f>IFERROR(__xludf.DUMMYFUNCTION("""COMPUTED_VALUE"""),1.14)</f>
        <v>1.14</v>
      </c>
      <c r="E1495" s="1">
        <f>IFERROR(__xludf.DUMMYFUNCTION("""COMPUTED_VALUE"""),1.16)</f>
        <v>1.16</v>
      </c>
      <c r="F1495" s="1">
        <f>IFERROR(__xludf.DUMMYFUNCTION("""COMPUTED_VALUE"""),129369.0)</f>
        <v>129369</v>
      </c>
    </row>
    <row r="1496">
      <c r="A1496" s="2">
        <f>IFERROR(__xludf.DUMMYFUNCTION("""COMPUTED_VALUE"""),41339.666666666664)</f>
        <v>41339.66667</v>
      </c>
      <c r="B1496" s="1">
        <f>IFERROR(__xludf.DUMMYFUNCTION("""COMPUTED_VALUE"""),1.17)</f>
        <v>1.17</v>
      </c>
      <c r="C1496" s="1">
        <f>IFERROR(__xludf.DUMMYFUNCTION("""COMPUTED_VALUE"""),1.18)</f>
        <v>1.18</v>
      </c>
      <c r="D1496" s="1">
        <f>IFERROR(__xludf.DUMMYFUNCTION("""COMPUTED_VALUE"""),1.15)</f>
        <v>1.15</v>
      </c>
      <c r="E1496" s="1">
        <f>IFERROR(__xludf.DUMMYFUNCTION("""COMPUTED_VALUE"""),1.16)</f>
        <v>1.16</v>
      </c>
      <c r="F1496" s="1">
        <f>IFERROR(__xludf.DUMMYFUNCTION("""COMPUTED_VALUE"""),102749.0)</f>
        <v>102749</v>
      </c>
    </row>
    <row r="1497">
      <c r="A1497" s="2">
        <f>IFERROR(__xludf.DUMMYFUNCTION("""COMPUTED_VALUE"""),41340.666666666664)</f>
        <v>41340.66667</v>
      </c>
      <c r="B1497" s="1">
        <f>IFERROR(__xludf.DUMMYFUNCTION("""COMPUTED_VALUE"""),1.16)</f>
        <v>1.16</v>
      </c>
      <c r="C1497" s="1">
        <f>IFERROR(__xludf.DUMMYFUNCTION("""COMPUTED_VALUE"""),1.16)</f>
        <v>1.16</v>
      </c>
      <c r="D1497" s="1">
        <f>IFERROR(__xludf.DUMMYFUNCTION("""COMPUTED_VALUE"""),1.14)</f>
        <v>1.14</v>
      </c>
      <c r="E1497" s="1">
        <f>IFERROR(__xludf.DUMMYFUNCTION("""COMPUTED_VALUE"""),1.14)</f>
        <v>1.14</v>
      </c>
      <c r="F1497" s="1">
        <f>IFERROR(__xludf.DUMMYFUNCTION("""COMPUTED_VALUE"""),160236.0)</f>
        <v>160236</v>
      </c>
    </row>
    <row r="1498">
      <c r="A1498" s="2">
        <f>IFERROR(__xludf.DUMMYFUNCTION("""COMPUTED_VALUE"""),41341.666666666664)</f>
        <v>41341.66667</v>
      </c>
      <c r="B1498" s="1">
        <f>IFERROR(__xludf.DUMMYFUNCTION("""COMPUTED_VALUE"""),1.15)</f>
        <v>1.15</v>
      </c>
      <c r="C1498" s="1">
        <f>IFERROR(__xludf.DUMMYFUNCTION("""COMPUTED_VALUE"""),1.16)</f>
        <v>1.16</v>
      </c>
      <c r="D1498" s="1">
        <f>IFERROR(__xludf.DUMMYFUNCTION("""COMPUTED_VALUE"""),1.12)</f>
        <v>1.12</v>
      </c>
      <c r="E1498" s="1">
        <f>IFERROR(__xludf.DUMMYFUNCTION("""COMPUTED_VALUE"""),1.16)</f>
        <v>1.16</v>
      </c>
      <c r="F1498" s="1">
        <f>IFERROR(__xludf.DUMMYFUNCTION("""COMPUTED_VALUE"""),99807.0)</f>
        <v>99807</v>
      </c>
    </row>
    <row r="1499">
      <c r="A1499" s="2">
        <f>IFERROR(__xludf.DUMMYFUNCTION("""COMPUTED_VALUE"""),41344.666666666664)</f>
        <v>41344.66667</v>
      </c>
      <c r="B1499" s="1">
        <f>IFERROR(__xludf.DUMMYFUNCTION("""COMPUTED_VALUE"""),1.15)</f>
        <v>1.15</v>
      </c>
      <c r="C1499" s="1">
        <f>IFERROR(__xludf.DUMMYFUNCTION("""COMPUTED_VALUE"""),1.17)</f>
        <v>1.17</v>
      </c>
      <c r="D1499" s="1">
        <f>IFERROR(__xludf.DUMMYFUNCTION("""COMPUTED_VALUE"""),1.15)</f>
        <v>1.15</v>
      </c>
      <c r="E1499" s="1">
        <f>IFERROR(__xludf.DUMMYFUNCTION("""COMPUTED_VALUE"""),1.16)</f>
        <v>1.16</v>
      </c>
      <c r="F1499" s="1">
        <f>IFERROR(__xludf.DUMMYFUNCTION("""COMPUTED_VALUE"""),83353.0)</f>
        <v>83353</v>
      </c>
    </row>
    <row r="1500">
      <c r="A1500" s="2">
        <f>IFERROR(__xludf.DUMMYFUNCTION("""COMPUTED_VALUE"""),41345.666666666664)</f>
        <v>41345.66667</v>
      </c>
      <c r="B1500" s="1">
        <f>IFERROR(__xludf.DUMMYFUNCTION("""COMPUTED_VALUE"""),1.15)</f>
        <v>1.15</v>
      </c>
      <c r="C1500" s="1">
        <f>IFERROR(__xludf.DUMMYFUNCTION("""COMPUTED_VALUE"""),1.17)</f>
        <v>1.17</v>
      </c>
      <c r="D1500" s="1">
        <f>IFERROR(__xludf.DUMMYFUNCTION("""COMPUTED_VALUE"""),1.14)</f>
        <v>1.14</v>
      </c>
      <c r="E1500" s="1">
        <f>IFERROR(__xludf.DUMMYFUNCTION("""COMPUTED_VALUE"""),1.16)</f>
        <v>1.16</v>
      </c>
      <c r="F1500" s="1">
        <f>IFERROR(__xludf.DUMMYFUNCTION("""COMPUTED_VALUE"""),163245.0)</f>
        <v>163245</v>
      </c>
    </row>
    <row r="1501">
      <c r="A1501" s="2">
        <f>IFERROR(__xludf.DUMMYFUNCTION("""COMPUTED_VALUE"""),41346.666666666664)</f>
        <v>41346.66667</v>
      </c>
      <c r="B1501" s="1">
        <f>IFERROR(__xludf.DUMMYFUNCTION("""COMPUTED_VALUE"""),1.16)</f>
        <v>1.16</v>
      </c>
      <c r="C1501" s="1">
        <f>IFERROR(__xludf.DUMMYFUNCTION("""COMPUTED_VALUE"""),1.18)</f>
        <v>1.18</v>
      </c>
      <c r="D1501" s="1">
        <f>IFERROR(__xludf.DUMMYFUNCTION("""COMPUTED_VALUE"""),1.16)</f>
        <v>1.16</v>
      </c>
      <c r="E1501" s="1">
        <f>IFERROR(__xludf.DUMMYFUNCTION("""COMPUTED_VALUE"""),1.16)</f>
        <v>1.16</v>
      </c>
      <c r="F1501" s="1">
        <f>IFERROR(__xludf.DUMMYFUNCTION("""COMPUTED_VALUE"""),94819.0)</f>
        <v>94819</v>
      </c>
    </row>
    <row r="1502">
      <c r="A1502" s="2">
        <f>IFERROR(__xludf.DUMMYFUNCTION("""COMPUTED_VALUE"""),41347.666666666664)</f>
        <v>41347.66667</v>
      </c>
      <c r="B1502" s="1">
        <f>IFERROR(__xludf.DUMMYFUNCTION("""COMPUTED_VALUE"""),1.17)</f>
        <v>1.17</v>
      </c>
      <c r="C1502" s="1">
        <f>IFERROR(__xludf.DUMMYFUNCTION("""COMPUTED_VALUE"""),1.18)</f>
        <v>1.18</v>
      </c>
      <c r="D1502" s="1">
        <f>IFERROR(__xludf.DUMMYFUNCTION("""COMPUTED_VALUE"""),1.15)</f>
        <v>1.15</v>
      </c>
      <c r="E1502" s="1">
        <f>IFERROR(__xludf.DUMMYFUNCTION("""COMPUTED_VALUE"""),1.16)</f>
        <v>1.16</v>
      </c>
      <c r="F1502" s="1">
        <f>IFERROR(__xludf.DUMMYFUNCTION("""COMPUTED_VALUE"""),192887.0)</f>
        <v>192887</v>
      </c>
    </row>
    <row r="1503">
      <c r="A1503" s="2">
        <f>IFERROR(__xludf.DUMMYFUNCTION("""COMPUTED_VALUE"""),41348.666666666664)</f>
        <v>41348.66667</v>
      </c>
      <c r="B1503" s="1">
        <f>IFERROR(__xludf.DUMMYFUNCTION("""COMPUTED_VALUE"""),1.16)</f>
        <v>1.16</v>
      </c>
      <c r="C1503" s="1">
        <f>IFERROR(__xludf.DUMMYFUNCTION("""COMPUTED_VALUE"""),1.18)</f>
        <v>1.18</v>
      </c>
      <c r="D1503" s="1">
        <f>IFERROR(__xludf.DUMMYFUNCTION("""COMPUTED_VALUE"""),1.14)</f>
        <v>1.14</v>
      </c>
      <c r="E1503" s="1">
        <f>IFERROR(__xludf.DUMMYFUNCTION("""COMPUTED_VALUE"""),1.17)</f>
        <v>1.17</v>
      </c>
      <c r="F1503" s="1">
        <f>IFERROR(__xludf.DUMMYFUNCTION("""COMPUTED_VALUE"""),369668.0)</f>
        <v>369668</v>
      </c>
    </row>
    <row r="1504">
      <c r="A1504" s="2">
        <f>IFERROR(__xludf.DUMMYFUNCTION("""COMPUTED_VALUE"""),41351.666666666664)</f>
        <v>41351.66667</v>
      </c>
      <c r="B1504" s="1">
        <f>IFERROR(__xludf.DUMMYFUNCTION("""COMPUTED_VALUE"""),1.16)</f>
        <v>1.16</v>
      </c>
      <c r="C1504" s="1">
        <f>IFERROR(__xludf.DUMMYFUNCTION("""COMPUTED_VALUE"""),1.18)</f>
        <v>1.18</v>
      </c>
      <c r="D1504" s="1">
        <f>IFERROR(__xludf.DUMMYFUNCTION("""COMPUTED_VALUE"""),1.16)</f>
        <v>1.16</v>
      </c>
      <c r="E1504" s="1">
        <f>IFERROR(__xludf.DUMMYFUNCTION("""COMPUTED_VALUE"""),1.17)</f>
        <v>1.17</v>
      </c>
      <c r="F1504" s="1">
        <f>IFERROR(__xludf.DUMMYFUNCTION("""COMPUTED_VALUE"""),107560.0)</f>
        <v>107560</v>
      </c>
    </row>
    <row r="1505">
      <c r="A1505" s="2">
        <f>IFERROR(__xludf.DUMMYFUNCTION("""COMPUTED_VALUE"""),41352.666666666664)</f>
        <v>41352.66667</v>
      </c>
      <c r="B1505" s="1">
        <f>IFERROR(__xludf.DUMMYFUNCTION("""COMPUTED_VALUE"""),1.18)</f>
        <v>1.18</v>
      </c>
      <c r="C1505" s="1">
        <f>IFERROR(__xludf.DUMMYFUNCTION("""COMPUTED_VALUE"""),1.2)</f>
        <v>1.2</v>
      </c>
      <c r="D1505" s="1">
        <f>IFERROR(__xludf.DUMMYFUNCTION("""COMPUTED_VALUE"""),1.17)</f>
        <v>1.17</v>
      </c>
      <c r="E1505" s="1">
        <f>IFERROR(__xludf.DUMMYFUNCTION("""COMPUTED_VALUE"""),1.19)</f>
        <v>1.19</v>
      </c>
      <c r="F1505" s="1">
        <f>IFERROR(__xludf.DUMMYFUNCTION("""COMPUTED_VALUE"""),108808.0)</f>
        <v>108808</v>
      </c>
    </row>
    <row r="1506">
      <c r="A1506" s="2">
        <f>IFERROR(__xludf.DUMMYFUNCTION("""COMPUTED_VALUE"""),41353.666666666664)</f>
        <v>41353.66667</v>
      </c>
      <c r="B1506" s="1">
        <f>IFERROR(__xludf.DUMMYFUNCTION("""COMPUTED_VALUE"""),1.2)</f>
        <v>1.2</v>
      </c>
      <c r="C1506" s="1">
        <f>IFERROR(__xludf.DUMMYFUNCTION("""COMPUTED_VALUE"""),1.23)</f>
        <v>1.23</v>
      </c>
      <c r="D1506" s="1">
        <f>IFERROR(__xludf.DUMMYFUNCTION("""COMPUTED_VALUE"""),1.2)</f>
        <v>1.2</v>
      </c>
      <c r="E1506" s="1">
        <f>IFERROR(__xludf.DUMMYFUNCTION("""COMPUTED_VALUE"""),1.21)</f>
        <v>1.21</v>
      </c>
      <c r="F1506" s="1">
        <f>IFERROR(__xludf.DUMMYFUNCTION("""COMPUTED_VALUE"""),104570.0)</f>
        <v>104570</v>
      </c>
    </row>
    <row r="1507">
      <c r="A1507" s="2">
        <f>IFERROR(__xludf.DUMMYFUNCTION("""COMPUTED_VALUE"""),41354.666666666664)</f>
        <v>41354.66667</v>
      </c>
      <c r="B1507" s="1">
        <f>IFERROR(__xludf.DUMMYFUNCTION("""COMPUTED_VALUE"""),1.2)</f>
        <v>1.2</v>
      </c>
      <c r="C1507" s="1">
        <f>IFERROR(__xludf.DUMMYFUNCTION("""COMPUTED_VALUE"""),1.21)</f>
        <v>1.21</v>
      </c>
      <c r="D1507" s="1">
        <f>IFERROR(__xludf.DUMMYFUNCTION("""COMPUTED_VALUE"""),1.18)</f>
        <v>1.18</v>
      </c>
      <c r="E1507" s="1">
        <f>IFERROR(__xludf.DUMMYFUNCTION("""COMPUTED_VALUE"""),1.19)</f>
        <v>1.19</v>
      </c>
      <c r="F1507" s="1">
        <f>IFERROR(__xludf.DUMMYFUNCTION("""COMPUTED_VALUE"""),76082.0)</f>
        <v>76082</v>
      </c>
    </row>
    <row r="1508">
      <c r="A1508" s="2">
        <f>IFERROR(__xludf.DUMMYFUNCTION("""COMPUTED_VALUE"""),41355.666666666664)</f>
        <v>41355.66667</v>
      </c>
      <c r="B1508" s="1">
        <f>IFERROR(__xludf.DUMMYFUNCTION("""COMPUTED_VALUE"""),1.19)</f>
        <v>1.19</v>
      </c>
      <c r="C1508" s="1">
        <f>IFERROR(__xludf.DUMMYFUNCTION("""COMPUTED_VALUE"""),1.19)</f>
        <v>1.19</v>
      </c>
      <c r="D1508" s="1">
        <f>IFERROR(__xludf.DUMMYFUNCTION("""COMPUTED_VALUE"""),1.16)</f>
        <v>1.16</v>
      </c>
      <c r="E1508" s="1">
        <f>IFERROR(__xludf.DUMMYFUNCTION("""COMPUTED_VALUE"""),1.17)</f>
        <v>1.17</v>
      </c>
      <c r="F1508" s="1">
        <f>IFERROR(__xludf.DUMMYFUNCTION("""COMPUTED_VALUE"""),106984.0)</f>
        <v>106984</v>
      </c>
    </row>
    <row r="1509">
      <c r="A1509" s="2">
        <f>IFERROR(__xludf.DUMMYFUNCTION("""COMPUTED_VALUE"""),41358.666666666664)</f>
        <v>41358.66667</v>
      </c>
      <c r="B1509" s="1">
        <f>IFERROR(__xludf.DUMMYFUNCTION("""COMPUTED_VALUE"""),1.17)</f>
        <v>1.17</v>
      </c>
      <c r="C1509" s="1">
        <f>IFERROR(__xludf.DUMMYFUNCTION("""COMPUTED_VALUE"""),1.19)</f>
        <v>1.19</v>
      </c>
      <c r="D1509" s="1">
        <f>IFERROR(__xludf.DUMMYFUNCTION("""COMPUTED_VALUE"""),1.16)</f>
        <v>1.16</v>
      </c>
      <c r="E1509" s="1">
        <f>IFERROR(__xludf.DUMMYFUNCTION("""COMPUTED_VALUE"""),1.17)</f>
        <v>1.17</v>
      </c>
      <c r="F1509" s="1">
        <f>IFERROR(__xludf.DUMMYFUNCTION("""COMPUTED_VALUE"""),96314.0)</f>
        <v>96314</v>
      </c>
    </row>
    <row r="1510">
      <c r="A1510" s="2">
        <f>IFERROR(__xludf.DUMMYFUNCTION("""COMPUTED_VALUE"""),41359.666666666664)</f>
        <v>41359.66667</v>
      </c>
      <c r="B1510" s="1">
        <f>IFERROR(__xludf.DUMMYFUNCTION("""COMPUTED_VALUE"""),1.17)</f>
        <v>1.17</v>
      </c>
      <c r="C1510" s="1">
        <f>IFERROR(__xludf.DUMMYFUNCTION("""COMPUTED_VALUE"""),1.18)</f>
        <v>1.18</v>
      </c>
      <c r="D1510" s="1">
        <f>IFERROR(__xludf.DUMMYFUNCTION("""COMPUTED_VALUE"""),1.12)</f>
        <v>1.12</v>
      </c>
      <c r="E1510" s="1">
        <f>IFERROR(__xludf.DUMMYFUNCTION("""COMPUTED_VALUE"""),1.14)</f>
        <v>1.14</v>
      </c>
      <c r="F1510" s="1">
        <f>IFERROR(__xludf.DUMMYFUNCTION("""COMPUTED_VALUE"""),160363.0)</f>
        <v>160363</v>
      </c>
    </row>
    <row r="1511">
      <c r="A1511" s="2">
        <f>IFERROR(__xludf.DUMMYFUNCTION("""COMPUTED_VALUE"""),41360.666666666664)</f>
        <v>41360.66667</v>
      </c>
      <c r="B1511" s="1">
        <f>IFERROR(__xludf.DUMMYFUNCTION("""COMPUTED_VALUE"""),1.14)</f>
        <v>1.14</v>
      </c>
      <c r="C1511" s="1">
        <f>IFERROR(__xludf.DUMMYFUNCTION("""COMPUTED_VALUE"""),1.17)</f>
        <v>1.17</v>
      </c>
      <c r="D1511" s="1">
        <f>IFERROR(__xludf.DUMMYFUNCTION("""COMPUTED_VALUE"""),1.13)</f>
        <v>1.13</v>
      </c>
      <c r="E1511" s="1">
        <f>IFERROR(__xludf.DUMMYFUNCTION("""COMPUTED_VALUE"""),1.16)</f>
        <v>1.16</v>
      </c>
      <c r="F1511" s="1">
        <f>IFERROR(__xludf.DUMMYFUNCTION("""COMPUTED_VALUE"""),83643.0)</f>
        <v>83643</v>
      </c>
    </row>
    <row r="1512">
      <c r="A1512" s="2">
        <f>IFERROR(__xludf.DUMMYFUNCTION("""COMPUTED_VALUE"""),41361.666666666664)</f>
        <v>41361.66667</v>
      </c>
      <c r="B1512" s="1">
        <f>IFERROR(__xludf.DUMMYFUNCTION("""COMPUTED_VALUE"""),1.16)</f>
        <v>1.16</v>
      </c>
      <c r="C1512" s="1">
        <f>IFERROR(__xludf.DUMMYFUNCTION("""COMPUTED_VALUE"""),1.17)</f>
        <v>1.17</v>
      </c>
      <c r="D1512" s="1">
        <f>IFERROR(__xludf.DUMMYFUNCTION("""COMPUTED_VALUE"""),1.13)</f>
        <v>1.13</v>
      </c>
      <c r="E1512" s="1">
        <f>IFERROR(__xludf.DUMMYFUNCTION("""COMPUTED_VALUE"""),1.13)</f>
        <v>1.13</v>
      </c>
      <c r="F1512" s="1">
        <f>IFERROR(__xludf.DUMMYFUNCTION("""COMPUTED_VALUE"""),97904.0)</f>
        <v>97904</v>
      </c>
    </row>
    <row r="1513">
      <c r="A1513" s="2">
        <f>IFERROR(__xludf.DUMMYFUNCTION("""COMPUTED_VALUE"""),41365.666666666664)</f>
        <v>41365.66667</v>
      </c>
      <c r="B1513" s="1">
        <f>IFERROR(__xludf.DUMMYFUNCTION("""COMPUTED_VALUE"""),1.13)</f>
        <v>1.13</v>
      </c>
      <c r="C1513" s="1">
        <f>IFERROR(__xludf.DUMMYFUNCTION("""COMPUTED_VALUE"""),1.14)</f>
        <v>1.14</v>
      </c>
      <c r="D1513" s="1">
        <f>IFERROR(__xludf.DUMMYFUNCTION("""COMPUTED_VALUE"""),1.07)</f>
        <v>1.07</v>
      </c>
      <c r="E1513" s="1">
        <f>IFERROR(__xludf.DUMMYFUNCTION("""COMPUTED_VALUE"""),1.09)</f>
        <v>1.09</v>
      </c>
      <c r="F1513" s="1">
        <f>IFERROR(__xludf.DUMMYFUNCTION("""COMPUTED_VALUE"""),154833.0)</f>
        <v>154833</v>
      </c>
    </row>
    <row r="1514">
      <c r="A1514" s="2">
        <f>IFERROR(__xludf.DUMMYFUNCTION("""COMPUTED_VALUE"""),41366.666666666664)</f>
        <v>41366.66667</v>
      </c>
      <c r="B1514" s="1">
        <f>IFERROR(__xludf.DUMMYFUNCTION("""COMPUTED_VALUE"""),1.09)</f>
        <v>1.09</v>
      </c>
      <c r="C1514" s="1">
        <f>IFERROR(__xludf.DUMMYFUNCTION("""COMPUTED_VALUE"""),1.1)</f>
        <v>1.1</v>
      </c>
      <c r="D1514" s="1">
        <f>IFERROR(__xludf.DUMMYFUNCTION("""COMPUTED_VALUE"""),1.07)</f>
        <v>1.07</v>
      </c>
      <c r="E1514" s="1">
        <f>IFERROR(__xludf.DUMMYFUNCTION("""COMPUTED_VALUE"""),1.07)</f>
        <v>1.07</v>
      </c>
      <c r="F1514" s="1">
        <f>IFERROR(__xludf.DUMMYFUNCTION("""COMPUTED_VALUE"""),75614.0)</f>
        <v>75614</v>
      </c>
    </row>
    <row r="1515">
      <c r="A1515" s="2">
        <f>IFERROR(__xludf.DUMMYFUNCTION("""COMPUTED_VALUE"""),41367.666666666664)</f>
        <v>41367.66667</v>
      </c>
      <c r="B1515" s="1">
        <f>IFERROR(__xludf.DUMMYFUNCTION("""COMPUTED_VALUE"""),1.07)</f>
        <v>1.07</v>
      </c>
      <c r="C1515" s="1">
        <f>IFERROR(__xludf.DUMMYFUNCTION("""COMPUTED_VALUE"""),1.09)</f>
        <v>1.09</v>
      </c>
      <c r="D1515" s="1">
        <f>IFERROR(__xludf.DUMMYFUNCTION("""COMPUTED_VALUE"""),1.04)</f>
        <v>1.04</v>
      </c>
      <c r="E1515" s="1">
        <f>IFERROR(__xludf.DUMMYFUNCTION("""COMPUTED_VALUE"""),1.04)</f>
        <v>1.04</v>
      </c>
      <c r="F1515" s="1">
        <f>IFERROR(__xludf.DUMMYFUNCTION("""COMPUTED_VALUE"""),86824.0)</f>
        <v>86824</v>
      </c>
    </row>
    <row r="1516">
      <c r="A1516" s="2">
        <f>IFERROR(__xludf.DUMMYFUNCTION("""COMPUTED_VALUE"""),41368.666666666664)</f>
        <v>41368.66667</v>
      </c>
      <c r="B1516" s="1">
        <f>IFERROR(__xludf.DUMMYFUNCTION("""COMPUTED_VALUE"""),1.04)</f>
        <v>1.04</v>
      </c>
      <c r="C1516" s="1">
        <f>IFERROR(__xludf.DUMMYFUNCTION("""COMPUTED_VALUE"""),1.06)</f>
        <v>1.06</v>
      </c>
      <c r="D1516" s="1">
        <f>IFERROR(__xludf.DUMMYFUNCTION("""COMPUTED_VALUE"""),1.02)</f>
        <v>1.02</v>
      </c>
      <c r="E1516" s="1">
        <f>IFERROR(__xludf.DUMMYFUNCTION("""COMPUTED_VALUE"""),1.06)</f>
        <v>1.06</v>
      </c>
      <c r="F1516" s="1">
        <f>IFERROR(__xludf.DUMMYFUNCTION("""COMPUTED_VALUE"""),130548.0)</f>
        <v>130548</v>
      </c>
    </row>
    <row r="1517">
      <c r="A1517" s="2">
        <f>IFERROR(__xludf.DUMMYFUNCTION("""COMPUTED_VALUE"""),41369.666666666664)</f>
        <v>41369.66667</v>
      </c>
      <c r="B1517" s="1">
        <f>IFERROR(__xludf.DUMMYFUNCTION("""COMPUTED_VALUE"""),1.04)</f>
        <v>1.04</v>
      </c>
      <c r="C1517" s="1">
        <f>IFERROR(__xludf.DUMMYFUNCTION("""COMPUTED_VALUE"""),1.06)</f>
        <v>1.06</v>
      </c>
      <c r="D1517" s="1">
        <f>IFERROR(__xludf.DUMMYFUNCTION("""COMPUTED_VALUE"""),1.03)</f>
        <v>1.03</v>
      </c>
      <c r="E1517" s="1">
        <f>IFERROR(__xludf.DUMMYFUNCTION("""COMPUTED_VALUE"""),1.03)</f>
        <v>1.03</v>
      </c>
      <c r="F1517" s="1">
        <f>IFERROR(__xludf.DUMMYFUNCTION("""COMPUTED_VALUE"""),138487.0)</f>
        <v>138487</v>
      </c>
    </row>
    <row r="1518">
      <c r="A1518" s="2">
        <f>IFERROR(__xludf.DUMMYFUNCTION("""COMPUTED_VALUE"""),41372.666666666664)</f>
        <v>41372.66667</v>
      </c>
      <c r="B1518" s="1">
        <f>IFERROR(__xludf.DUMMYFUNCTION("""COMPUTED_VALUE"""),1.04)</f>
        <v>1.04</v>
      </c>
      <c r="C1518" s="1">
        <f>IFERROR(__xludf.DUMMYFUNCTION("""COMPUTED_VALUE"""),1.04)</f>
        <v>1.04</v>
      </c>
      <c r="D1518" s="1">
        <f>IFERROR(__xludf.DUMMYFUNCTION("""COMPUTED_VALUE"""),0.98)</f>
        <v>0.98</v>
      </c>
      <c r="E1518" s="1">
        <f>IFERROR(__xludf.DUMMYFUNCTION("""COMPUTED_VALUE"""),1.01)</f>
        <v>1.01</v>
      </c>
      <c r="F1518" s="1">
        <f>IFERROR(__xludf.DUMMYFUNCTION("""COMPUTED_VALUE"""),111341.0)</f>
        <v>111341</v>
      </c>
    </row>
    <row r="1519">
      <c r="A1519" s="2">
        <f>IFERROR(__xludf.DUMMYFUNCTION("""COMPUTED_VALUE"""),41373.666666666664)</f>
        <v>41373.66667</v>
      </c>
      <c r="B1519" s="1">
        <f>IFERROR(__xludf.DUMMYFUNCTION("""COMPUTED_VALUE"""),1.02)</f>
        <v>1.02</v>
      </c>
      <c r="C1519" s="1">
        <f>IFERROR(__xludf.DUMMYFUNCTION("""COMPUTED_VALUE"""),1.03)</f>
        <v>1.03</v>
      </c>
      <c r="D1519" s="1">
        <f>IFERROR(__xludf.DUMMYFUNCTION("""COMPUTED_VALUE"""),1.01)</f>
        <v>1.01</v>
      </c>
      <c r="E1519" s="1">
        <f>IFERROR(__xludf.DUMMYFUNCTION("""COMPUTED_VALUE"""),1.01)</f>
        <v>1.01</v>
      </c>
      <c r="F1519" s="1">
        <f>IFERROR(__xludf.DUMMYFUNCTION("""COMPUTED_VALUE"""),94926.0)</f>
        <v>94926</v>
      </c>
    </row>
    <row r="1520">
      <c r="A1520" s="2">
        <f>IFERROR(__xludf.DUMMYFUNCTION("""COMPUTED_VALUE"""),41374.666666666664)</f>
        <v>41374.66667</v>
      </c>
      <c r="B1520" s="1">
        <f>IFERROR(__xludf.DUMMYFUNCTION("""COMPUTED_VALUE"""),1.02)</f>
        <v>1.02</v>
      </c>
      <c r="C1520" s="1">
        <f>IFERROR(__xludf.DUMMYFUNCTION("""COMPUTED_VALUE"""),1.05)</f>
        <v>1.05</v>
      </c>
      <c r="D1520" s="1">
        <f>IFERROR(__xludf.DUMMYFUNCTION("""COMPUTED_VALUE"""),1.02)</f>
        <v>1.02</v>
      </c>
      <c r="E1520" s="1">
        <f>IFERROR(__xludf.DUMMYFUNCTION("""COMPUTED_VALUE"""),1.04)</f>
        <v>1.04</v>
      </c>
      <c r="F1520" s="1">
        <f>IFERROR(__xludf.DUMMYFUNCTION("""COMPUTED_VALUE"""),161627.0)</f>
        <v>161627</v>
      </c>
    </row>
    <row r="1521">
      <c r="A1521" s="2">
        <f>IFERROR(__xludf.DUMMYFUNCTION("""COMPUTED_VALUE"""),41375.666666666664)</f>
        <v>41375.66667</v>
      </c>
      <c r="B1521" s="1">
        <f>IFERROR(__xludf.DUMMYFUNCTION("""COMPUTED_VALUE"""),1.04)</f>
        <v>1.04</v>
      </c>
      <c r="C1521" s="1">
        <f>IFERROR(__xludf.DUMMYFUNCTION("""COMPUTED_VALUE"""),1.04)</f>
        <v>1.04</v>
      </c>
      <c r="D1521" s="1">
        <f>IFERROR(__xludf.DUMMYFUNCTION("""COMPUTED_VALUE"""),1.03)</f>
        <v>1.03</v>
      </c>
      <c r="E1521" s="1">
        <f>IFERROR(__xludf.DUMMYFUNCTION("""COMPUTED_VALUE"""),1.03)</f>
        <v>1.03</v>
      </c>
      <c r="F1521" s="1">
        <f>IFERROR(__xludf.DUMMYFUNCTION("""COMPUTED_VALUE"""),145548.0)</f>
        <v>145548</v>
      </c>
    </row>
    <row r="1522">
      <c r="A1522" s="2">
        <f>IFERROR(__xludf.DUMMYFUNCTION("""COMPUTED_VALUE"""),41376.666666666664)</f>
        <v>41376.66667</v>
      </c>
      <c r="B1522" s="1">
        <f>IFERROR(__xludf.DUMMYFUNCTION("""COMPUTED_VALUE"""),1.03)</f>
        <v>1.03</v>
      </c>
      <c r="C1522" s="1">
        <f>IFERROR(__xludf.DUMMYFUNCTION("""COMPUTED_VALUE"""),1.04)</f>
        <v>1.04</v>
      </c>
      <c r="D1522" s="1">
        <f>IFERROR(__xludf.DUMMYFUNCTION("""COMPUTED_VALUE"""),0.99)</f>
        <v>0.99</v>
      </c>
      <c r="E1522" s="1">
        <f>IFERROR(__xludf.DUMMYFUNCTION("""COMPUTED_VALUE"""),1.01)</f>
        <v>1.01</v>
      </c>
      <c r="F1522" s="1">
        <f>IFERROR(__xludf.DUMMYFUNCTION("""COMPUTED_VALUE"""),276372.0)</f>
        <v>276372</v>
      </c>
    </row>
    <row r="1523">
      <c r="A1523" s="2">
        <f>IFERROR(__xludf.DUMMYFUNCTION("""COMPUTED_VALUE"""),41379.666666666664)</f>
        <v>41379.66667</v>
      </c>
      <c r="B1523" s="1">
        <f>IFERROR(__xludf.DUMMYFUNCTION("""COMPUTED_VALUE"""),1.0)</f>
        <v>1</v>
      </c>
      <c r="C1523" s="1">
        <f>IFERROR(__xludf.DUMMYFUNCTION("""COMPUTED_VALUE"""),1.01)</f>
        <v>1.01</v>
      </c>
      <c r="D1523" s="1">
        <f>IFERROR(__xludf.DUMMYFUNCTION("""COMPUTED_VALUE"""),0.95)</f>
        <v>0.95</v>
      </c>
      <c r="E1523" s="1">
        <f>IFERROR(__xludf.DUMMYFUNCTION("""COMPUTED_VALUE"""),0.97)</f>
        <v>0.97</v>
      </c>
      <c r="F1523" s="1">
        <f>IFERROR(__xludf.DUMMYFUNCTION("""COMPUTED_VALUE"""),381932.0)</f>
        <v>381932</v>
      </c>
    </row>
    <row r="1524">
      <c r="A1524" s="2">
        <f>IFERROR(__xludf.DUMMYFUNCTION("""COMPUTED_VALUE"""),41380.666666666664)</f>
        <v>41380.66667</v>
      </c>
      <c r="B1524" s="1">
        <f>IFERROR(__xludf.DUMMYFUNCTION("""COMPUTED_VALUE"""),0.98)</f>
        <v>0.98</v>
      </c>
      <c r="C1524" s="1">
        <f>IFERROR(__xludf.DUMMYFUNCTION("""COMPUTED_VALUE"""),1.03)</f>
        <v>1.03</v>
      </c>
      <c r="D1524" s="1">
        <f>IFERROR(__xludf.DUMMYFUNCTION("""COMPUTED_VALUE"""),0.97)</f>
        <v>0.97</v>
      </c>
      <c r="E1524" s="1">
        <f>IFERROR(__xludf.DUMMYFUNCTION("""COMPUTED_VALUE"""),1.02)</f>
        <v>1.02</v>
      </c>
      <c r="F1524" s="1">
        <f>IFERROR(__xludf.DUMMYFUNCTION("""COMPUTED_VALUE"""),211261.0)</f>
        <v>211261</v>
      </c>
    </row>
    <row r="1525">
      <c r="A1525" s="2">
        <f>IFERROR(__xludf.DUMMYFUNCTION("""COMPUTED_VALUE"""),41381.666666666664)</f>
        <v>41381.66667</v>
      </c>
      <c r="B1525" s="1">
        <f>IFERROR(__xludf.DUMMYFUNCTION("""COMPUTED_VALUE"""),1.01)</f>
        <v>1.01</v>
      </c>
      <c r="C1525" s="1">
        <f>IFERROR(__xludf.DUMMYFUNCTION("""COMPUTED_VALUE"""),1.02)</f>
        <v>1.02</v>
      </c>
      <c r="D1525" s="1">
        <f>IFERROR(__xludf.DUMMYFUNCTION("""COMPUTED_VALUE"""),0.99)</f>
        <v>0.99</v>
      </c>
      <c r="E1525" s="1">
        <f>IFERROR(__xludf.DUMMYFUNCTION("""COMPUTED_VALUE"""),0.99)</f>
        <v>0.99</v>
      </c>
      <c r="F1525" s="1">
        <f>IFERROR(__xludf.DUMMYFUNCTION("""COMPUTED_VALUE"""),220625.0)</f>
        <v>220625</v>
      </c>
    </row>
    <row r="1526">
      <c r="A1526" s="2">
        <f>IFERROR(__xludf.DUMMYFUNCTION("""COMPUTED_VALUE"""),41382.666666666664)</f>
        <v>41382.66667</v>
      </c>
      <c r="B1526" s="1">
        <f>IFERROR(__xludf.DUMMYFUNCTION("""COMPUTED_VALUE"""),0.99)</f>
        <v>0.99</v>
      </c>
      <c r="C1526" s="1">
        <f>IFERROR(__xludf.DUMMYFUNCTION("""COMPUTED_VALUE"""),1.0)</f>
        <v>1</v>
      </c>
      <c r="D1526" s="1">
        <f>IFERROR(__xludf.DUMMYFUNCTION("""COMPUTED_VALUE"""),0.96)</f>
        <v>0.96</v>
      </c>
      <c r="E1526" s="1">
        <f>IFERROR(__xludf.DUMMYFUNCTION("""COMPUTED_VALUE"""),0.98)</f>
        <v>0.98</v>
      </c>
      <c r="F1526" s="1">
        <f>IFERROR(__xludf.DUMMYFUNCTION("""COMPUTED_VALUE"""),162057.0)</f>
        <v>162057</v>
      </c>
    </row>
    <row r="1527">
      <c r="A1527" s="2">
        <f>IFERROR(__xludf.DUMMYFUNCTION("""COMPUTED_VALUE"""),41383.666666666664)</f>
        <v>41383.66667</v>
      </c>
      <c r="B1527" s="1">
        <f>IFERROR(__xludf.DUMMYFUNCTION("""COMPUTED_VALUE"""),0.98)</f>
        <v>0.98</v>
      </c>
      <c r="C1527" s="1">
        <f>IFERROR(__xludf.DUMMYFUNCTION("""COMPUTED_VALUE"""),0.98)</f>
        <v>0.98</v>
      </c>
      <c r="D1527" s="1">
        <f>IFERROR(__xludf.DUMMYFUNCTION("""COMPUTED_VALUE"""),0.95)</f>
        <v>0.95</v>
      </c>
      <c r="E1527" s="1">
        <f>IFERROR(__xludf.DUMMYFUNCTION("""COMPUTED_VALUE"""),0.98)</f>
        <v>0.98</v>
      </c>
      <c r="F1527" s="1">
        <f>IFERROR(__xludf.DUMMYFUNCTION("""COMPUTED_VALUE"""),183384.0)</f>
        <v>183384</v>
      </c>
    </row>
    <row r="1528">
      <c r="A1528" s="2">
        <f>IFERROR(__xludf.DUMMYFUNCTION("""COMPUTED_VALUE"""),41386.666666666664)</f>
        <v>41386.66667</v>
      </c>
      <c r="B1528" s="1">
        <f>IFERROR(__xludf.DUMMYFUNCTION("""COMPUTED_VALUE"""),0.97)</f>
        <v>0.97</v>
      </c>
      <c r="C1528" s="1">
        <f>IFERROR(__xludf.DUMMYFUNCTION("""COMPUTED_VALUE"""),0.98)</f>
        <v>0.98</v>
      </c>
      <c r="D1528" s="1">
        <f>IFERROR(__xludf.DUMMYFUNCTION("""COMPUTED_VALUE"""),0.94)</f>
        <v>0.94</v>
      </c>
      <c r="E1528" s="1">
        <f>IFERROR(__xludf.DUMMYFUNCTION("""COMPUTED_VALUE"""),0.97)</f>
        <v>0.97</v>
      </c>
      <c r="F1528" s="1">
        <f>IFERROR(__xludf.DUMMYFUNCTION("""COMPUTED_VALUE"""),186384.0)</f>
        <v>186384</v>
      </c>
    </row>
    <row r="1529">
      <c r="A1529" s="2">
        <f>IFERROR(__xludf.DUMMYFUNCTION("""COMPUTED_VALUE"""),41387.666666666664)</f>
        <v>41387.66667</v>
      </c>
      <c r="B1529" s="1">
        <f>IFERROR(__xludf.DUMMYFUNCTION("""COMPUTED_VALUE"""),0.98)</f>
        <v>0.98</v>
      </c>
      <c r="C1529" s="1">
        <f>IFERROR(__xludf.DUMMYFUNCTION("""COMPUTED_VALUE"""),1.01)</f>
        <v>1.01</v>
      </c>
      <c r="D1529" s="1">
        <f>IFERROR(__xludf.DUMMYFUNCTION("""COMPUTED_VALUE"""),0.96)</f>
        <v>0.96</v>
      </c>
      <c r="E1529" s="1">
        <f>IFERROR(__xludf.DUMMYFUNCTION("""COMPUTED_VALUE"""),1.0)</f>
        <v>1</v>
      </c>
      <c r="F1529" s="1">
        <f>IFERROR(__xludf.DUMMYFUNCTION("""COMPUTED_VALUE"""),156324.0)</f>
        <v>156324</v>
      </c>
    </row>
    <row r="1530">
      <c r="A1530" s="2">
        <f>IFERROR(__xludf.DUMMYFUNCTION("""COMPUTED_VALUE"""),41388.666666666664)</f>
        <v>41388.66667</v>
      </c>
      <c r="B1530" s="1">
        <f>IFERROR(__xludf.DUMMYFUNCTION("""COMPUTED_VALUE"""),1.0)</f>
        <v>1</v>
      </c>
      <c r="C1530" s="1">
        <f>IFERROR(__xludf.DUMMYFUNCTION("""COMPUTED_VALUE"""),1.08)</f>
        <v>1.08</v>
      </c>
      <c r="D1530" s="1">
        <f>IFERROR(__xludf.DUMMYFUNCTION("""COMPUTED_VALUE"""),0.92)</f>
        <v>0.92</v>
      </c>
      <c r="E1530" s="1">
        <f>IFERROR(__xludf.DUMMYFUNCTION("""COMPUTED_VALUE"""),0.95)</f>
        <v>0.95</v>
      </c>
      <c r="F1530" s="1">
        <f>IFERROR(__xludf.DUMMYFUNCTION("""COMPUTED_VALUE"""),624053.0)</f>
        <v>624053</v>
      </c>
    </row>
    <row r="1531">
      <c r="A1531" s="2">
        <f>IFERROR(__xludf.DUMMYFUNCTION("""COMPUTED_VALUE"""),41389.666666666664)</f>
        <v>41389.66667</v>
      </c>
      <c r="B1531" s="1">
        <f>IFERROR(__xludf.DUMMYFUNCTION("""COMPUTED_VALUE"""),0.95)</f>
        <v>0.95</v>
      </c>
      <c r="C1531" s="1">
        <f>IFERROR(__xludf.DUMMYFUNCTION("""COMPUTED_VALUE"""),1.0)</f>
        <v>1</v>
      </c>
      <c r="D1531" s="1">
        <f>IFERROR(__xludf.DUMMYFUNCTION("""COMPUTED_VALUE"""),0.95)</f>
        <v>0.95</v>
      </c>
      <c r="E1531" s="1">
        <f>IFERROR(__xludf.DUMMYFUNCTION("""COMPUTED_VALUE"""),0.98)</f>
        <v>0.98</v>
      </c>
      <c r="F1531" s="1">
        <f>IFERROR(__xludf.DUMMYFUNCTION("""COMPUTED_VALUE"""),202365.0)</f>
        <v>202365</v>
      </c>
    </row>
    <row r="1532">
      <c r="A1532" s="2">
        <f>IFERROR(__xludf.DUMMYFUNCTION("""COMPUTED_VALUE"""),41390.666666666664)</f>
        <v>41390.66667</v>
      </c>
      <c r="B1532" s="1">
        <f>IFERROR(__xludf.DUMMYFUNCTION("""COMPUTED_VALUE"""),0.97)</f>
        <v>0.97</v>
      </c>
      <c r="C1532" s="1">
        <f>IFERROR(__xludf.DUMMYFUNCTION("""COMPUTED_VALUE"""),0.98)</f>
        <v>0.98</v>
      </c>
      <c r="D1532" s="1">
        <f>IFERROR(__xludf.DUMMYFUNCTION("""COMPUTED_VALUE"""),0.95)</f>
        <v>0.95</v>
      </c>
      <c r="E1532" s="1">
        <f>IFERROR(__xludf.DUMMYFUNCTION("""COMPUTED_VALUE"""),0.98)</f>
        <v>0.98</v>
      </c>
      <c r="F1532" s="1">
        <f>IFERROR(__xludf.DUMMYFUNCTION("""COMPUTED_VALUE"""),121480.0)</f>
        <v>121480</v>
      </c>
    </row>
    <row r="1533">
      <c r="A1533" s="2">
        <f>IFERROR(__xludf.DUMMYFUNCTION("""COMPUTED_VALUE"""),41393.666666666664)</f>
        <v>41393.66667</v>
      </c>
      <c r="B1533" s="1">
        <f>IFERROR(__xludf.DUMMYFUNCTION("""COMPUTED_VALUE"""),0.98)</f>
        <v>0.98</v>
      </c>
      <c r="C1533" s="1">
        <f>IFERROR(__xludf.DUMMYFUNCTION("""COMPUTED_VALUE"""),0.99)</f>
        <v>0.99</v>
      </c>
      <c r="D1533" s="1">
        <f>IFERROR(__xludf.DUMMYFUNCTION("""COMPUTED_VALUE"""),0.97)</f>
        <v>0.97</v>
      </c>
      <c r="E1533" s="1">
        <f>IFERROR(__xludf.DUMMYFUNCTION("""COMPUTED_VALUE"""),0.97)</f>
        <v>0.97</v>
      </c>
      <c r="F1533" s="1">
        <f>IFERROR(__xludf.DUMMYFUNCTION("""COMPUTED_VALUE"""),93837.0)</f>
        <v>93837</v>
      </c>
    </row>
    <row r="1534">
      <c r="A1534" s="2">
        <f>IFERROR(__xludf.DUMMYFUNCTION("""COMPUTED_VALUE"""),41394.666666666664)</f>
        <v>41394.66667</v>
      </c>
      <c r="B1534" s="1">
        <f>IFERROR(__xludf.DUMMYFUNCTION("""COMPUTED_VALUE"""),0.96)</f>
        <v>0.96</v>
      </c>
      <c r="C1534" s="1">
        <f>IFERROR(__xludf.DUMMYFUNCTION("""COMPUTED_VALUE"""),0.98)</f>
        <v>0.98</v>
      </c>
      <c r="D1534" s="1">
        <f>IFERROR(__xludf.DUMMYFUNCTION("""COMPUTED_VALUE"""),0.95)</f>
        <v>0.95</v>
      </c>
      <c r="E1534" s="1">
        <f>IFERROR(__xludf.DUMMYFUNCTION("""COMPUTED_VALUE"""),0.96)</f>
        <v>0.96</v>
      </c>
      <c r="F1534" s="1">
        <f>IFERROR(__xludf.DUMMYFUNCTION("""COMPUTED_VALUE"""),177717.0)</f>
        <v>177717</v>
      </c>
    </row>
    <row r="1535">
      <c r="A1535" s="2">
        <f>IFERROR(__xludf.DUMMYFUNCTION("""COMPUTED_VALUE"""),41395.666666666664)</f>
        <v>41395.66667</v>
      </c>
      <c r="B1535" s="1">
        <f>IFERROR(__xludf.DUMMYFUNCTION("""COMPUTED_VALUE"""),0.96)</f>
        <v>0.96</v>
      </c>
      <c r="C1535" s="1">
        <f>IFERROR(__xludf.DUMMYFUNCTION("""COMPUTED_VALUE"""),0.97)</f>
        <v>0.97</v>
      </c>
      <c r="D1535" s="1">
        <f>IFERROR(__xludf.DUMMYFUNCTION("""COMPUTED_VALUE"""),0.94)</f>
        <v>0.94</v>
      </c>
      <c r="E1535" s="1">
        <f>IFERROR(__xludf.DUMMYFUNCTION("""COMPUTED_VALUE"""),0.94)</f>
        <v>0.94</v>
      </c>
      <c r="F1535" s="1">
        <f>IFERROR(__xludf.DUMMYFUNCTION("""COMPUTED_VALUE"""),226866.0)</f>
        <v>226866</v>
      </c>
    </row>
    <row r="1536">
      <c r="A1536" s="2">
        <f>IFERROR(__xludf.DUMMYFUNCTION("""COMPUTED_VALUE"""),41396.666666666664)</f>
        <v>41396.66667</v>
      </c>
      <c r="B1536" s="1">
        <f>IFERROR(__xludf.DUMMYFUNCTION("""COMPUTED_VALUE"""),0.95)</f>
        <v>0.95</v>
      </c>
      <c r="C1536" s="1">
        <f>IFERROR(__xludf.DUMMYFUNCTION("""COMPUTED_VALUE"""),0.97)</f>
        <v>0.97</v>
      </c>
      <c r="D1536" s="1">
        <f>IFERROR(__xludf.DUMMYFUNCTION("""COMPUTED_VALUE"""),0.94)</f>
        <v>0.94</v>
      </c>
      <c r="E1536" s="1">
        <f>IFERROR(__xludf.DUMMYFUNCTION("""COMPUTED_VALUE"""),0.96)</f>
        <v>0.96</v>
      </c>
      <c r="F1536" s="1">
        <f>IFERROR(__xludf.DUMMYFUNCTION("""COMPUTED_VALUE"""),134956.0)</f>
        <v>134956</v>
      </c>
    </row>
    <row r="1537">
      <c r="A1537" s="2">
        <f>IFERROR(__xludf.DUMMYFUNCTION("""COMPUTED_VALUE"""),41397.666666666664)</f>
        <v>41397.66667</v>
      </c>
      <c r="B1537" s="1">
        <f>IFERROR(__xludf.DUMMYFUNCTION("""COMPUTED_VALUE"""),0.98)</f>
        <v>0.98</v>
      </c>
      <c r="C1537" s="1">
        <f>IFERROR(__xludf.DUMMYFUNCTION("""COMPUTED_VALUE"""),1.0)</f>
        <v>1</v>
      </c>
      <c r="D1537" s="1">
        <f>IFERROR(__xludf.DUMMYFUNCTION("""COMPUTED_VALUE"""),0.97)</f>
        <v>0.97</v>
      </c>
      <c r="E1537" s="1">
        <f>IFERROR(__xludf.DUMMYFUNCTION("""COMPUTED_VALUE"""),1.0)</f>
        <v>1</v>
      </c>
      <c r="F1537" s="1">
        <f>IFERROR(__xludf.DUMMYFUNCTION("""COMPUTED_VALUE"""),89648.0)</f>
        <v>89648</v>
      </c>
    </row>
    <row r="1538">
      <c r="A1538" s="2">
        <f>IFERROR(__xludf.DUMMYFUNCTION("""COMPUTED_VALUE"""),41400.666666666664)</f>
        <v>41400.66667</v>
      </c>
      <c r="B1538" s="1">
        <f>IFERROR(__xludf.DUMMYFUNCTION("""COMPUTED_VALUE"""),1.0)</f>
        <v>1</v>
      </c>
      <c r="C1538" s="1">
        <f>IFERROR(__xludf.DUMMYFUNCTION("""COMPUTED_VALUE"""),1.0)</f>
        <v>1</v>
      </c>
      <c r="D1538" s="1">
        <f>IFERROR(__xludf.DUMMYFUNCTION("""COMPUTED_VALUE"""),0.98)</f>
        <v>0.98</v>
      </c>
      <c r="E1538" s="1">
        <f>IFERROR(__xludf.DUMMYFUNCTION("""COMPUTED_VALUE"""),0.99)</f>
        <v>0.99</v>
      </c>
      <c r="F1538" s="1">
        <f>IFERROR(__xludf.DUMMYFUNCTION("""COMPUTED_VALUE"""),84283.0)</f>
        <v>84283</v>
      </c>
    </row>
    <row r="1539">
      <c r="A1539" s="2">
        <f>IFERROR(__xludf.DUMMYFUNCTION("""COMPUTED_VALUE"""),41401.666666666664)</f>
        <v>41401.66667</v>
      </c>
      <c r="B1539" s="1">
        <f>IFERROR(__xludf.DUMMYFUNCTION("""COMPUTED_VALUE"""),0.99)</f>
        <v>0.99</v>
      </c>
      <c r="C1539" s="1">
        <f>IFERROR(__xludf.DUMMYFUNCTION("""COMPUTED_VALUE"""),0.99)</f>
        <v>0.99</v>
      </c>
      <c r="D1539" s="1">
        <f>IFERROR(__xludf.DUMMYFUNCTION("""COMPUTED_VALUE"""),0.94)</f>
        <v>0.94</v>
      </c>
      <c r="E1539" s="1">
        <f>IFERROR(__xludf.DUMMYFUNCTION("""COMPUTED_VALUE"""),0.98)</f>
        <v>0.98</v>
      </c>
      <c r="F1539" s="1">
        <f>IFERROR(__xludf.DUMMYFUNCTION("""COMPUTED_VALUE"""),218284.0)</f>
        <v>218284</v>
      </c>
    </row>
    <row r="1540">
      <c r="A1540" s="2">
        <f>IFERROR(__xludf.DUMMYFUNCTION("""COMPUTED_VALUE"""),41402.666666666664)</f>
        <v>41402.66667</v>
      </c>
      <c r="B1540" s="1">
        <f>IFERROR(__xludf.DUMMYFUNCTION("""COMPUTED_VALUE"""),0.97)</f>
        <v>0.97</v>
      </c>
      <c r="C1540" s="1">
        <f>IFERROR(__xludf.DUMMYFUNCTION("""COMPUTED_VALUE"""),0.99)</f>
        <v>0.99</v>
      </c>
      <c r="D1540" s="1">
        <f>IFERROR(__xludf.DUMMYFUNCTION("""COMPUTED_VALUE"""),0.95)</f>
        <v>0.95</v>
      </c>
      <c r="E1540" s="1">
        <f>IFERROR(__xludf.DUMMYFUNCTION("""COMPUTED_VALUE"""),0.98)</f>
        <v>0.98</v>
      </c>
      <c r="F1540" s="1">
        <f>IFERROR(__xludf.DUMMYFUNCTION("""COMPUTED_VALUE"""),124519.0)</f>
        <v>124519</v>
      </c>
    </row>
    <row r="1541">
      <c r="A1541" s="2">
        <f>IFERROR(__xludf.DUMMYFUNCTION("""COMPUTED_VALUE"""),41403.666666666664)</f>
        <v>41403.66667</v>
      </c>
      <c r="B1541" s="1">
        <f>IFERROR(__xludf.DUMMYFUNCTION("""COMPUTED_VALUE"""),0.98)</f>
        <v>0.98</v>
      </c>
      <c r="C1541" s="1">
        <f>IFERROR(__xludf.DUMMYFUNCTION("""COMPUTED_VALUE"""),1.0)</f>
        <v>1</v>
      </c>
      <c r="D1541" s="1">
        <f>IFERROR(__xludf.DUMMYFUNCTION("""COMPUTED_VALUE"""),0.95)</f>
        <v>0.95</v>
      </c>
      <c r="E1541" s="1">
        <f>IFERROR(__xludf.DUMMYFUNCTION("""COMPUTED_VALUE"""),0.97)</f>
        <v>0.97</v>
      </c>
      <c r="F1541" s="1">
        <f>IFERROR(__xludf.DUMMYFUNCTION("""COMPUTED_VALUE"""),151278.0)</f>
        <v>151278</v>
      </c>
    </row>
    <row r="1542">
      <c r="A1542" s="2">
        <f>IFERROR(__xludf.DUMMYFUNCTION("""COMPUTED_VALUE"""),41404.666666666664)</f>
        <v>41404.66667</v>
      </c>
      <c r="B1542" s="1">
        <f>IFERROR(__xludf.DUMMYFUNCTION("""COMPUTED_VALUE"""),0.98)</f>
        <v>0.98</v>
      </c>
      <c r="C1542" s="1">
        <f>IFERROR(__xludf.DUMMYFUNCTION("""COMPUTED_VALUE"""),1.01)</f>
        <v>1.01</v>
      </c>
      <c r="D1542" s="1">
        <f>IFERROR(__xludf.DUMMYFUNCTION("""COMPUTED_VALUE"""),0.96)</f>
        <v>0.96</v>
      </c>
      <c r="E1542" s="1">
        <f>IFERROR(__xludf.DUMMYFUNCTION("""COMPUTED_VALUE"""),1.0)</f>
        <v>1</v>
      </c>
      <c r="F1542" s="1">
        <f>IFERROR(__xludf.DUMMYFUNCTION("""COMPUTED_VALUE"""),77124.0)</f>
        <v>77124</v>
      </c>
    </row>
    <row r="1543">
      <c r="A1543" s="2">
        <f>IFERROR(__xludf.DUMMYFUNCTION("""COMPUTED_VALUE"""),41407.666666666664)</f>
        <v>41407.66667</v>
      </c>
      <c r="B1543" s="1">
        <f>IFERROR(__xludf.DUMMYFUNCTION("""COMPUTED_VALUE"""),1.01)</f>
        <v>1.01</v>
      </c>
      <c r="C1543" s="1">
        <f>IFERROR(__xludf.DUMMYFUNCTION("""COMPUTED_VALUE"""),1.01)</f>
        <v>1.01</v>
      </c>
      <c r="D1543" s="1">
        <f>IFERROR(__xludf.DUMMYFUNCTION("""COMPUTED_VALUE"""),0.98)</f>
        <v>0.98</v>
      </c>
      <c r="E1543" s="1">
        <f>IFERROR(__xludf.DUMMYFUNCTION("""COMPUTED_VALUE"""),1.01)</f>
        <v>1.01</v>
      </c>
      <c r="F1543" s="1">
        <f>IFERROR(__xludf.DUMMYFUNCTION("""COMPUTED_VALUE"""),90139.0)</f>
        <v>90139</v>
      </c>
    </row>
    <row r="1544">
      <c r="A1544" s="2">
        <f>IFERROR(__xludf.DUMMYFUNCTION("""COMPUTED_VALUE"""),41408.666666666664)</f>
        <v>41408.66667</v>
      </c>
      <c r="B1544" s="1">
        <f>IFERROR(__xludf.DUMMYFUNCTION("""COMPUTED_VALUE"""),1.0)</f>
        <v>1</v>
      </c>
      <c r="C1544" s="1">
        <f>IFERROR(__xludf.DUMMYFUNCTION("""COMPUTED_VALUE"""),1.03)</f>
        <v>1.03</v>
      </c>
      <c r="D1544" s="1">
        <f>IFERROR(__xludf.DUMMYFUNCTION("""COMPUTED_VALUE"""),1.0)</f>
        <v>1</v>
      </c>
      <c r="E1544" s="1">
        <f>IFERROR(__xludf.DUMMYFUNCTION("""COMPUTED_VALUE"""),1.03)</f>
        <v>1.03</v>
      </c>
      <c r="F1544" s="1">
        <f>IFERROR(__xludf.DUMMYFUNCTION("""COMPUTED_VALUE"""),139871.0)</f>
        <v>139871</v>
      </c>
    </row>
    <row r="1545">
      <c r="A1545" s="2">
        <f>IFERROR(__xludf.DUMMYFUNCTION("""COMPUTED_VALUE"""),41409.666666666664)</f>
        <v>41409.66667</v>
      </c>
      <c r="B1545" s="1">
        <f>IFERROR(__xludf.DUMMYFUNCTION("""COMPUTED_VALUE"""),1.02)</f>
        <v>1.02</v>
      </c>
      <c r="C1545" s="1">
        <f>IFERROR(__xludf.DUMMYFUNCTION("""COMPUTED_VALUE"""),1.03)</f>
        <v>1.03</v>
      </c>
      <c r="D1545" s="1">
        <f>IFERROR(__xludf.DUMMYFUNCTION("""COMPUTED_VALUE"""),1.01)</f>
        <v>1.01</v>
      </c>
      <c r="E1545" s="1">
        <f>IFERROR(__xludf.DUMMYFUNCTION("""COMPUTED_VALUE"""),1.03)</f>
        <v>1.03</v>
      </c>
      <c r="F1545" s="1">
        <f>IFERROR(__xludf.DUMMYFUNCTION("""COMPUTED_VALUE"""),88620.0)</f>
        <v>88620</v>
      </c>
    </row>
    <row r="1546">
      <c r="A1546" s="2">
        <f>IFERROR(__xludf.DUMMYFUNCTION("""COMPUTED_VALUE"""),41410.666666666664)</f>
        <v>41410.66667</v>
      </c>
      <c r="B1546" s="1">
        <f>IFERROR(__xludf.DUMMYFUNCTION("""COMPUTED_VALUE"""),1.03)</f>
        <v>1.03</v>
      </c>
      <c r="C1546" s="1">
        <f>IFERROR(__xludf.DUMMYFUNCTION("""COMPUTED_VALUE"""),1.06)</f>
        <v>1.06</v>
      </c>
      <c r="D1546" s="1">
        <f>IFERROR(__xludf.DUMMYFUNCTION("""COMPUTED_VALUE"""),1.02)</f>
        <v>1.02</v>
      </c>
      <c r="E1546" s="1">
        <f>IFERROR(__xludf.DUMMYFUNCTION("""COMPUTED_VALUE"""),1.05)</f>
        <v>1.05</v>
      </c>
      <c r="F1546" s="1">
        <f>IFERROR(__xludf.DUMMYFUNCTION("""COMPUTED_VALUE"""),147051.0)</f>
        <v>147051</v>
      </c>
    </row>
    <row r="1547">
      <c r="A1547" s="2">
        <f>IFERROR(__xludf.DUMMYFUNCTION("""COMPUTED_VALUE"""),41411.666666666664)</f>
        <v>41411.66667</v>
      </c>
      <c r="B1547" s="1">
        <f>IFERROR(__xludf.DUMMYFUNCTION("""COMPUTED_VALUE"""),1.05)</f>
        <v>1.05</v>
      </c>
      <c r="C1547" s="1">
        <f>IFERROR(__xludf.DUMMYFUNCTION("""COMPUTED_VALUE"""),1.08)</f>
        <v>1.08</v>
      </c>
      <c r="D1547" s="1">
        <f>IFERROR(__xludf.DUMMYFUNCTION("""COMPUTED_VALUE"""),1.05)</f>
        <v>1.05</v>
      </c>
      <c r="E1547" s="1">
        <f>IFERROR(__xludf.DUMMYFUNCTION("""COMPUTED_VALUE"""),1.08)</f>
        <v>1.08</v>
      </c>
      <c r="F1547" s="1">
        <f>IFERROR(__xludf.DUMMYFUNCTION("""COMPUTED_VALUE"""),138984.0)</f>
        <v>138984</v>
      </c>
    </row>
    <row r="1548">
      <c r="A1548" s="2">
        <f>IFERROR(__xludf.DUMMYFUNCTION("""COMPUTED_VALUE"""),41414.666666666664)</f>
        <v>41414.66667</v>
      </c>
      <c r="B1548" s="1">
        <f>IFERROR(__xludf.DUMMYFUNCTION("""COMPUTED_VALUE"""),1.08)</f>
        <v>1.08</v>
      </c>
      <c r="C1548" s="1">
        <f>IFERROR(__xludf.DUMMYFUNCTION("""COMPUTED_VALUE"""),1.09)</f>
        <v>1.09</v>
      </c>
      <c r="D1548" s="1">
        <f>IFERROR(__xludf.DUMMYFUNCTION("""COMPUTED_VALUE"""),1.06)</f>
        <v>1.06</v>
      </c>
      <c r="E1548" s="1">
        <f>IFERROR(__xludf.DUMMYFUNCTION("""COMPUTED_VALUE"""),1.07)</f>
        <v>1.07</v>
      </c>
      <c r="F1548" s="1">
        <f>IFERROR(__xludf.DUMMYFUNCTION("""COMPUTED_VALUE"""),130545.0)</f>
        <v>130545</v>
      </c>
    </row>
    <row r="1549">
      <c r="A1549" s="2">
        <f>IFERROR(__xludf.DUMMYFUNCTION("""COMPUTED_VALUE"""),41415.666666666664)</f>
        <v>41415.66667</v>
      </c>
      <c r="B1549" s="1">
        <f>IFERROR(__xludf.DUMMYFUNCTION("""COMPUTED_VALUE"""),1.06)</f>
        <v>1.06</v>
      </c>
      <c r="C1549" s="1">
        <f>IFERROR(__xludf.DUMMYFUNCTION("""COMPUTED_VALUE"""),1.06)</f>
        <v>1.06</v>
      </c>
      <c r="D1549" s="1">
        <f>IFERROR(__xludf.DUMMYFUNCTION("""COMPUTED_VALUE"""),0.95)</f>
        <v>0.95</v>
      </c>
      <c r="E1549" s="1">
        <f>IFERROR(__xludf.DUMMYFUNCTION("""COMPUTED_VALUE"""),1.03)</f>
        <v>1.03</v>
      </c>
      <c r="F1549" s="1">
        <f>IFERROR(__xludf.DUMMYFUNCTION("""COMPUTED_VALUE"""),289599.0)</f>
        <v>289599</v>
      </c>
    </row>
    <row r="1550">
      <c r="A1550" s="2">
        <f>IFERROR(__xludf.DUMMYFUNCTION("""COMPUTED_VALUE"""),41416.666666666664)</f>
        <v>41416.66667</v>
      </c>
      <c r="B1550" s="1">
        <f>IFERROR(__xludf.DUMMYFUNCTION("""COMPUTED_VALUE"""),1.04)</f>
        <v>1.04</v>
      </c>
      <c r="C1550" s="1">
        <f>IFERROR(__xludf.DUMMYFUNCTION("""COMPUTED_VALUE"""),1.05)</f>
        <v>1.05</v>
      </c>
      <c r="D1550" s="1">
        <f>IFERROR(__xludf.DUMMYFUNCTION("""COMPUTED_VALUE"""),1.02)</f>
        <v>1.02</v>
      </c>
      <c r="E1550" s="1">
        <f>IFERROR(__xludf.DUMMYFUNCTION("""COMPUTED_VALUE"""),1.03)</f>
        <v>1.03</v>
      </c>
      <c r="F1550" s="1">
        <f>IFERROR(__xludf.DUMMYFUNCTION("""COMPUTED_VALUE"""),108322.0)</f>
        <v>108322</v>
      </c>
    </row>
    <row r="1551">
      <c r="A1551" s="2">
        <f>IFERROR(__xludf.DUMMYFUNCTION("""COMPUTED_VALUE"""),41417.666666666664)</f>
        <v>41417.66667</v>
      </c>
      <c r="B1551" s="1">
        <f>IFERROR(__xludf.DUMMYFUNCTION("""COMPUTED_VALUE"""),1.02)</f>
        <v>1.02</v>
      </c>
      <c r="C1551" s="1">
        <f>IFERROR(__xludf.DUMMYFUNCTION("""COMPUTED_VALUE"""),1.04)</f>
        <v>1.04</v>
      </c>
      <c r="D1551" s="1">
        <f>IFERROR(__xludf.DUMMYFUNCTION("""COMPUTED_VALUE"""),1.0)</f>
        <v>1</v>
      </c>
      <c r="E1551" s="1">
        <f>IFERROR(__xludf.DUMMYFUNCTION("""COMPUTED_VALUE"""),1.02)</f>
        <v>1.02</v>
      </c>
      <c r="F1551" s="1">
        <f>IFERROR(__xludf.DUMMYFUNCTION("""COMPUTED_VALUE"""),117751.0)</f>
        <v>117751</v>
      </c>
    </row>
    <row r="1552">
      <c r="A1552" s="2">
        <f>IFERROR(__xludf.DUMMYFUNCTION("""COMPUTED_VALUE"""),41418.666666666664)</f>
        <v>41418.66667</v>
      </c>
      <c r="B1552" s="1">
        <f>IFERROR(__xludf.DUMMYFUNCTION("""COMPUTED_VALUE"""),1.01)</f>
        <v>1.01</v>
      </c>
      <c r="C1552" s="1">
        <f>IFERROR(__xludf.DUMMYFUNCTION("""COMPUTED_VALUE"""),1.03)</f>
        <v>1.03</v>
      </c>
      <c r="D1552" s="1">
        <f>IFERROR(__xludf.DUMMYFUNCTION("""COMPUTED_VALUE"""),1.0)</f>
        <v>1</v>
      </c>
      <c r="E1552" s="1">
        <f>IFERROR(__xludf.DUMMYFUNCTION("""COMPUTED_VALUE"""),1.02)</f>
        <v>1.02</v>
      </c>
      <c r="F1552" s="1">
        <f>IFERROR(__xludf.DUMMYFUNCTION("""COMPUTED_VALUE"""),94849.0)</f>
        <v>94849</v>
      </c>
    </row>
    <row r="1553">
      <c r="A1553" s="2">
        <f>IFERROR(__xludf.DUMMYFUNCTION("""COMPUTED_VALUE"""),41422.666666666664)</f>
        <v>41422.66667</v>
      </c>
      <c r="B1553" s="1">
        <f>IFERROR(__xludf.DUMMYFUNCTION("""COMPUTED_VALUE"""),1.04)</f>
        <v>1.04</v>
      </c>
      <c r="C1553" s="1">
        <f>IFERROR(__xludf.DUMMYFUNCTION("""COMPUTED_VALUE"""),1.07)</f>
        <v>1.07</v>
      </c>
      <c r="D1553" s="1">
        <f>IFERROR(__xludf.DUMMYFUNCTION("""COMPUTED_VALUE"""),1.03)</f>
        <v>1.03</v>
      </c>
      <c r="E1553" s="1">
        <f>IFERROR(__xludf.DUMMYFUNCTION("""COMPUTED_VALUE"""),1.07)</f>
        <v>1.07</v>
      </c>
      <c r="F1553" s="1">
        <f>IFERROR(__xludf.DUMMYFUNCTION("""COMPUTED_VALUE"""),114605.0)</f>
        <v>114605</v>
      </c>
    </row>
    <row r="1554">
      <c r="A1554" s="2">
        <f>IFERROR(__xludf.DUMMYFUNCTION("""COMPUTED_VALUE"""),41423.666666666664)</f>
        <v>41423.66667</v>
      </c>
      <c r="B1554" s="1">
        <f>IFERROR(__xludf.DUMMYFUNCTION("""COMPUTED_VALUE"""),1.06)</f>
        <v>1.06</v>
      </c>
      <c r="C1554" s="1">
        <f>IFERROR(__xludf.DUMMYFUNCTION("""COMPUTED_VALUE"""),1.07)</f>
        <v>1.07</v>
      </c>
      <c r="D1554" s="1">
        <f>IFERROR(__xludf.DUMMYFUNCTION("""COMPUTED_VALUE"""),1.03)</f>
        <v>1.03</v>
      </c>
      <c r="E1554" s="1">
        <f>IFERROR(__xludf.DUMMYFUNCTION("""COMPUTED_VALUE"""),1.06)</f>
        <v>1.06</v>
      </c>
      <c r="F1554" s="1">
        <f>IFERROR(__xludf.DUMMYFUNCTION("""COMPUTED_VALUE"""),70991.0)</f>
        <v>70991</v>
      </c>
    </row>
    <row r="1555">
      <c r="A1555" s="2">
        <f>IFERROR(__xludf.DUMMYFUNCTION("""COMPUTED_VALUE"""),41424.666666666664)</f>
        <v>41424.66667</v>
      </c>
      <c r="B1555" s="1">
        <f>IFERROR(__xludf.DUMMYFUNCTION("""COMPUTED_VALUE"""),1.05)</f>
        <v>1.05</v>
      </c>
      <c r="C1555" s="1">
        <f>IFERROR(__xludf.DUMMYFUNCTION("""COMPUTED_VALUE"""),1.09)</f>
        <v>1.09</v>
      </c>
      <c r="D1555" s="1">
        <f>IFERROR(__xludf.DUMMYFUNCTION("""COMPUTED_VALUE"""),1.03)</f>
        <v>1.03</v>
      </c>
      <c r="E1555" s="1">
        <f>IFERROR(__xludf.DUMMYFUNCTION("""COMPUTED_VALUE"""),1.07)</f>
        <v>1.07</v>
      </c>
      <c r="F1555" s="1">
        <f>IFERROR(__xludf.DUMMYFUNCTION("""COMPUTED_VALUE"""),108559.0)</f>
        <v>108559</v>
      </c>
    </row>
    <row r="1556">
      <c r="A1556" s="2">
        <f>IFERROR(__xludf.DUMMYFUNCTION("""COMPUTED_VALUE"""),41425.666666666664)</f>
        <v>41425.66667</v>
      </c>
      <c r="B1556" s="1">
        <f>IFERROR(__xludf.DUMMYFUNCTION("""COMPUTED_VALUE"""),1.06)</f>
        <v>1.06</v>
      </c>
      <c r="C1556" s="1">
        <f>IFERROR(__xludf.DUMMYFUNCTION("""COMPUTED_VALUE"""),1.06)</f>
        <v>1.06</v>
      </c>
      <c r="D1556" s="1">
        <f>IFERROR(__xludf.DUMMYFUNCTION("""COMPUTED_VALUE"""),1.01)</f>
        <v>1.01</v>
      </c>
      <c r="E1556" s="1">
        <f>IFERROR(__xludf.DUMMYFUNCTION("""COMPUTED_VALUE"""),1.03)</f>
        <v>1.03</v>
      </c>
      <c r="F1556" s="1">
        <f>IFERROR(__xludf.DUMMYFUNCTION("""COMPUTED_VALUE"""),221229.0)</f>
        <v>221229</v>
      </c>
    </row>
    <row r="1557">
      <c r="A1557" s="2">
        <f>IFERROR(__xludf.DUMMYFUNCTION("""COMPUTED_VALUE"""),41428.666666666664)</f>
        <v>41428.66667</v>
      </c>
      <c r="B1557" s="1">
        <f>IFERROR(__xludf.DUMMYFUNCTION("""COMPUTED_VALUE"""),1.03)</f>
        <v>1.03</v>
      </c>
      <c r="C1557" s="1">
        <f>IFERROR(__xludf.DUMMYFUNCTION("""COMPUTED_VALUE"""),1.06)</f>
        <v>1.06</v>
      </c>
      <c r="D1557" s="1">
        <f>IFERROR(__xludf.DUMMYFUNCTION("""COMPUTED_VALUE"""),1.02)</f>
        <v>1.02</v>
      </c>
      <c r="E1557" s="1">
        <f>IFERROR(__xludf.DUMMYFUNCTION("""COMPUTED_VALUE"""),1.06)</f>
        <v>1.06</v>
      </c>
      <c r="F1557" s="1">
        <f>IFERROR(__xludf.DUMMYFUNCTION("""COMPUTED_VALUE"""),203605.0)</f>
        <v>203605</v>
      </c>
    </row>
    <row r="1558">
      <c r="A1558" s="2">
        <f>IFERROR(__xludf.DUMMYFUNCTION("""COMPUTED_VALUE"""),41429.666666666664)</f>
        <v>41429.66667</v>
      </c>
      <c r="B1558" s="1">
        <f>IFERROR(__xludf.DUMMYFUNCTION("""COMPUTED_VALUE"""),1.06)</f>
        <v>1.06</v>
      </c>
      <c r="C1558" s="1">
        <f>IFERROR(__xludf.DUMMYFUNCTION("""COMPUTED_VALUE"""),1.08)</f>
        <v>1.08</v>
      </c>
      <c r="D1558" s="1">
        <f>IFERROR(__xludf.DUMMYFUNCTION("""COMPUTED_VALUE"""),1.05)</f>
        <v>1.05</v>
      </c>
      <c r="E1558" s="1">
        <f>IFERROR(__xludf.DUMMYFUNCTION("""COMPUTED_VALUE"""),1.07)</f>
        <v>1.07</v>
      </c>
      <c r="F1558" s="1">
        <f>IFERROR(__xludf.DUMMYFUNCTION("""COMPUTED_VALUE"""),98409.0)</f>
        <v>98409</v>
      </c>
    </row>
    <row r="1559">
      <c r="A1559" s="2">
        <f>IFERROR(__xludf.DUMMYFUNCTION("""COMPUTED_VALUE"""),41430.666666666664)</f>
        <v>41430.66667</v>
      </c>
      <c r="B1559" s="1">
        <f>IFERROR(__xludf.DUMMYFUNCTION("""COMPUTED_VALUE"""),1.07)</f>
        <v>1.07</v>
      </c>
      <c r="C1559" s="1">
        <f>IFERROR(__xludf.DUMMYFUNCTION("""COMPUTED_VALUE"""),1.08)</f>
        <v>1.08</v>
      </c>
      <c r="D1559" s="1">
        <f>IFERROR(__xludf.DUMMYFUNCTION("""COMPUTED_VALUE"""),1.05)</f>
        <v>1.05</v>
      </c>
      <c r="E1559" s="1">
        <f>IFERROR(__xludf.DUMMYFUNCTION("""COMPUTED_VALUE"""),1.05)</f>
        <v>1.05</v>
      </c>
      <c r="F1559" s="1">
        <f>IFERROR(__xludf.DUMMYFUNCTION("""COMPUTED_VALUE"""),118911.0)</f>
        <v>118911</v>
      </c>
    </row>
    <row r="1560">
      <c r="A1560" s="2">
        <f>IFERROR(__xludf.DUMMYFUNCTION("""COMPUTED_VALUE"""),41431.666666666664)</f>
        <v>41431.66667</v>
      </c>
      <c r="B1560" s="1">
        <f>IFERROR(__xludf.DUMMYFUNCTION("""COMPUTED_VALUE"""),1.05)</f>
        <v>1.05</v>
      </c>
      <c r="C1560" s="1">
        <f>IFERROR(__xludf.DUMMYFUNCTION("""COMPUTED_VALUE"""),1.08)</f>
        <v>1.08</v>
      </c>
      <c r="D1560" s="1">
        <f>IFERROR(__xludf.DUMMYFUNCTION("""COMPUTED_VALUE"""),1.05)</f>
        <v>1.05</v>
      </c>
      <c r="E1560" s="1">
        <f>IFERROR(__xludf.DUMMYFUNCTION("""COMPUTED_VALUE"""),1.08)</f>
        <v>1.08</v>
      </c>
      <c r="F1560" s="1">
        <f>IFERROR(__xludf.DUMMYFUNCTION("""COMPUTED_VALUE"""),177276.0)</f>
        <v>177276</v>
      </c>
    </row>
    <row r="1561">
      <c r="A1561" s="2">
        <f>IFERROR(__xludf.DUMMYFUNCTION("""COMPUTED_VALUE"""),41432.666666666664)</f>
        <v>41432.66667</v>
      </c>
      <c r="B1561" s="1">
        <f>IFERROR(__xludf.DUMMYFUNCTION("""COMPUTED_VALUE"""),1.09)</f>
        <v>1.09</v>
      </c>
      <c r="C1561" s="1">
        <f>IFERROR(__xludf.DUMMYFUNCTION("""COMPUTED_VALUE"""),1.1)</f>
        <v>1.1</v>
      </c>
      <c r="D1561" s="1">
        <f>IFERROR(__xludf.DUMMYFUNCTION("""COMPUTED_VALUE"""),1.07)</f>
        <v>1.07</v>
      </c>
      <c r="E1561" s="1">
        <f>IFERROR(__xludf.DUMMYFUNCTION("""COMPUTED_VALUE"""),1.09)</f>
        <v>1.09</v>
      </c>
      <c r="F1561" s="1">
        <f>IFERROR(__xludf.DUMMYFUNCTION("""COMPUTED_VALUE"""),75618.0)</f>
        <v>75618</v>
      </c>
    </row>
    <row r="1562">
      <c r="A1562" s="2">
        <f>IFERROR(__xludf.DUMMYFUNCTION("""COMPUTED_VALUE"""),41435.666666666664)</f>
        <v>41435.66667</v>
      </c>
      <c r="B1562" s="1">
        <f>IFERROR(__xludf.DUMMYFUNCTION("""COMPUTED_VALUE"""),1.1)</f>
        <v>1.1</v>
      </c>
      <c r="C1562" s="1">
        <f>IFERROR(__xludf.DUMMYFUNCTION("""COMPUTED_VALUE"""),1.1)</f>
        <v>1.1</v>
      </c>
      <c r="D1562" s="1">
        <f>IFERROR(__xludf.DUMMYFUNCTION("""COMPUTED_VALUE"""),1.07)</f>
        <v>1.07</v>
      </c>
      <c r="E1562" s="1">
        <f>IFERROR(__xludf.DUMMYFUNCTION("""COMPUTED_VALUE"""),1.1)</f>
        <v>1.1</v>
      </c>
      <c r="F1562" s="1">
        <f>IFERROR(__xludf.DUMMYFUNCTION("""COMPUTED_VALUE"""),81605.0)</f>
        <v>81605</v>
      </c>
    </row>
    <row r="1563">
      <c r="A1563" s="2">
        <f>IFERROR(__xludf.DUMMYFUNCTION("""COMPUTED_VALUE"""),41436.666666666664)</f>
        <v>41436.66667</v>
      </c>
      <c r="B1563" s="1">
        <f>IFERROR(__xludf.DUMMYFUNCTION("""COMPUTED_VALUE"""),1.08)</f>
        <v>1.08</v>
      </c>
      <c r="C1563" s="1">
        <f>IFERROR(__xludf.DUMMYFUNCTION("""COMPUTED_VALUE"""),1.1)</f>
        <v>1.1</v>
      </c>
      <c r="D1563" s="1">
        <f>IFERROR(__xludf.DUMMYFUNCTION("""COMPUTED_VALUE"""),1.08)</f>
        <v>1.08</v>
      </c>
      <c r="E1563" s="1">
        <f>IFERROR(__xludf.DUMMYFUNCTION("""COMPUTED_VALUE"""),1.08)</f>
        <v>1.08</v>
      </c>
      <c r="F1563" s="1">
        <f>IFERROR(__xludf.DUMMYFUNCTION("""COMPUTED_VALUE"""),64725.0)</f>
        <v>64725</v>
      </c>
    </row>
    <row r="1564">
      <c r="A1564" s="2">
        <f>IFERROR(__xludf.DUMMYFUNCTION("""COMPUTED_VALUE"""),41437.666666666664)</f>
        <v>41437.66667</v>
      </c>
      <c r="B1564" s="1">
        <f>IFERROR(__xludf.DUMMYFUNCTION("""COMPUTED_VALUE"""),1.09)</f>
        <v>1.09</v>
      </c>
      <c r="C1564" s="1">
        <f>IFERROR(__xludf.DUMMYFUNCTION("""COMPUTED_VALUE"""),1.09)</f>
        <v>1.09</v>
      </c>
      <c r="D1564" s="1">
        <f>IFERROR(__xludf.DUMMYFUNCTION("""COMPUTED_VALUE"""),1.04)</f>
        <v>1.04</v>
      </c>
      <c r="E1564" s="1">
        <f>IFERROR(__xludf.DUMMYFUNCTION("""COMPUTED_VALUE"""),1.04)</f>
        <v>1.04</v>
      </c>
      <c r="F1564" s="1">
        <f>IFERROR(__xludf.DUMMYFUNCTION("""COMPUTED_VALUE"""),120757.0)</f>
        <v>120757</v>
      </c>
    </row>
    <row r="1565">
      <c r="A1565" s="2">
        <f>IFERROR(__xludf.DUMMYFUNCTION("""COMPUTED_VALUE"""),41438.666666666664)</f>
        <v>41438.66667</v>
      </c>
      <c r="B1565" s="1">
        <f>IFERROR(__xludf.DUMMYFUNCTION("""COMPUTED_VALUE"""),1.04)</f>
        <v>1.04</v>
      </c>
      <c r="C1565" s="1">
        <f>IFERROR(__xludf.DUMMYFUNCTION("""COMPUTED_VALUE"""),1.08)</f>
        <v>1.08</v>
      </c>
      <c r="D1565" s="1">
        <f>IFERROR(__xludf.DUMMYFUNCTION("""COMPUTED_VALUE"""),1.03)</f>
        <v>1.03</v>
      </c>
      <c r="E1565" s="1">
        <f>IFERROR(__xludf.DUMMYFUNCTION("""COMPUTED_VALUE"""),1.07)</f>
        <v>1.07</v>
      </c>
      <c r="F1565" s="1">
        <f>IFERROR(__xludf.DUMMYFUNCTION("""COMPUTED_VALUE"""),73896.0)</f>
        <v>73896</v>
      </c>
    </row>
    <row r="1566">
      <c r="A1566" s="2">
        <f>IFERROR(__xludf.DUMMYFUNCTION("""COMPUTED_VALUE"""),41439.666666666664)</f>
        <v>41439.66667</v>
      </c>
      <c r="B1566" s="1">
        <f>IFERROR(__xludf.DUMMYFUNCTION("""COMPUTED_VALUE"""),1.07)</f>
        <v>1.07</v>
      </c>
      <c r="C1566" s="1">
        <f>IFERROR(__xludf.DUMMYFUNCTION("""COMPUTED_VALUE"""),1.08)</f>
        <v>1.08</v>
      </c>
      <c r="D1566" s="1">
        <f>IFERROR(__xludf.DUMMYFUNCTION("""COMPUTED_VALUE"""),1.04)</f>
        <v>1.04</v>
      </c>
      <c r="E1566" s="1">
        <f>IFERROR(__xludf.DUMMYFUNCTION("""COMPUTED_VALUE"""),1.06)</f>
        <v>1.06</v>
      </c>
      <c r="F1566" s="1">
        <f>IFERROR(__xludf.DUMMYFUNCTION("""COMPUTED_VALUE"""),94931.0)</f>
        <v>94931</v>
      </c>
    </row>
    <row r="1567">
      <c r="A1567" s="2">
        <f>IFERROR(__xludf.DUMMYFUNCTION("""COMPUTED_VALUE"""),41442.666666666664)</f>
        <v>41442.66667</v>
      </c>
      <c r="B1567" s="1">
        <f>IFERROR(__xludf.DUMMYFUNCTION("""COMPUTED_VALUE"""),1.07)</f>
        <v>1.07</v>
      </c>
      <c r="C1567" s="1">
        <f>IFERROR(__xludf.DUMMYFUNCTION("""COMPUTED_VALUE"""),1.11)</f>
        <v>1.11</v>
      </c>
      <c r="D1567" s="1">
        <f>IFERROR(__xludf.DUMMYFUNCTION("""COMPUTED_VALUE"""),1.07)</f>
        <v>1.07</v>
      </c>
      <c r="E1567" s="1">
        <f>IFERROR(__xludf.DUMMYFUNCTION("""COMPUTED_VALUE"""),1.11)</f>
        <v>1.11</v>
      </c>
      <c r="F1567" s="1">
        <f>IFERROR(__xludf.DUMMYFUNCTION("""COMPUTED_VALUE"""),136423.0)</f>
        <v>136423</v>
      </c>
    </row>
    <row r="1568">
      <c r="A1568" s="2">
        <f>IFERROR(__xludf.DUMMYFUNCTION("""COMPUTED_VALUE"""),41443.666666666664)</f>
        <v>41443.66667</v>
      </c>
      <c r="B1568" s="1">
        <f>IFERROR(__xludf.DUMMYFUNCTION("""COMPUTED_VALUE"""),1.11)</f>
        <v>1.11</v>
      </c>
      <c r="C1568" s="1">
        <f>IFERROR(__xludf.DUMMYFUNCTION("""COMPUTED_VALUE"""),1.15)</f>
        <v>1.15</v>
      </c>
      <c r="D1568" s="1">
        <f>IFERROR(__xludf.DUMMYFUNCTION("""COMPUTED_VALUE"""),1.1)</f>
        <v>1.1</v>
      </c>
      <c r="E1568" s="1">
        <f>IFERROR(__xludf.DUMMYFUNCTION("""COMPUTED_VALUE"""),1.13)</f>
        <v>1.13</v>
      </c>
      <c r="F1568" s="1">
        <f>IFERROR(__xludf.DUMMYFUNCTION("""COMPUTED_VALUE"""),144812.0)</f>
        <v>144812</v>
      </c>
    </row>
    <row r="1569">
      <c r="A1569" s="2">
        <f>IFERROR(__xludf.DUMMYFUNCTION("""COMPUTED_VALUE"""),41444.666666666664)</f>
        <v>41444.66667</v>
      </c>
      <c r="B1569" s="1">
        <f>IFERROR(__xludf.DUMMYFUNCTION("""COMPUTED_VALUE"""),1.13)</f>
        <v>1.13</v>
      </c>
      <c r="C1569" s="1">
        <f>IFERROR(__xludf.DUMMYFUNCTION("""COMPUTED_VALUE"""),1.14)</f>
        <v>1.14</v>
      </c>
      <c r="D1569" s="1">
        <f>IFERROR(__xludf.DUMMYFUNCTION("""COMPUTED_VALUE"""),1.12)</f>
        <v>1.12</v>
      </c>
      <c r="E1569" s="1">
        <f>IFERROR(__xludf.DUMMYFUNCTION("""COMPUTED_VALUE"""),1.12)</f>
        <v>1.12</v>
      </c>
      <c r="F1569" s="1">
        <f>IFERROR(__xludf.DUMMYFUNCTION("""COMPUTED_VALUE"""),99023.0)</f>
        <v>99023</v>
      </c>
    </row>
    <row r="1570">
      <c r="A1570" s="2">
        <f>IFERROR(__xludf.DUMMYFUNCTION("""COMPUTED_VALUE"""),41445.666666666664)</f>
        <v>41445.66667</v>
      </c>
      <c r="B1570" s="1">
        <f>IFERROR(__xludf.DUMMYFUNCTION("""COMPUTED_VALUE"""),1.1)</f>
        <v>1.1</v>
      </c>
      <c r="C1570" s="1">
        <f>IFERROR(__xludf.DUMMYFUNCTION("""COMPUTED_VALUE"""),1.12)</f>
        <v>1.12</v>
      </c>
      <c r="D1570" s="1">
        <f>IFERROR(__xludf.DUMMYFUNCTION("""COMPUTED_VALUE"""),1.08)</f>
        <v>1.08</v>
      </c>
      <c r="E1570" s="1">
        <f>IFERROR(__xludf.DUMMYFUNCTION("""COMPUTED_VALUE"""),1.09)</f>
        <v>1.09</v>
      </c>
      <c r="F1570" s="1">
        <f>IFERROR(__xludf.DUMMYFUNCTION("""COMPUTED_VALUE"""),92957.0)</f>
        <v>92957</v>
      </c>
    </row>
    <row r="1571">
      <c r="A1571" s="2">
        <f>IFERROR(__xludf.DUMMYFUNCTION("""COMPUTED_VALUE"""),41446.666666666664)</f>
        <v>41446.66667</v>
      </c>
      <c r="B1571" s="1">
        <f>IFERROR(__xludf.DUMMYFUNCTION("""COMPUTED_VALUE"""),1.09)</f>
        <v>1.09</v>
      </c>
      <c r="C1571" s="1">
        <f>IFERROR(__xludf.DUMMYFUNCTION("""COMPUTED_VALUE"""),1.11)</f>
        <v>1.11</v>
      </c>
      <c r="D1571" s="1">
        <f>IFERROR(__xludf.DUMMYFUNCTION("""COMPUTED_VALUE"""),1.07)</f>
        <v>1.07</v>
      </c>
      <c r="E1571" s="1">
        <f>IFERROR(__xludf.DUMMYFUNCTION("""COMPUTED_VALUE"""),1.1)</f>
        <v>1.1</v>
      </c>
      <c r="F1571" s="1">
        <f>IFERROR(__xludf.DUMMYFUNCTION("""COMPUTED_VALUE"""),212029.0)</f>
        <v>212029</v>
      </c>
    </row>
    <row r="1572">
      <c r="A1572" s="2">
        <f>IFERROR(__xludf.DUMMYFUNCTION("""COMPUTED_VALUE"""),41449.666666666664)</f>
        <v>41449.66667</v>
      </c>
      <c r="B1572" s="1">
        <f>IFERROR(__xludf.DUMMYFUNCTION("""COMPUTED_VALUE"""),1.08)</f>
        <v>1.08</v>
      </c>
      <c r="C1572" s="1">
        <f>IFERROR(__xludf.DUMMYFUNCTION("""COMPUTED_VALUE"""),1.09)</f>
        <v>1.09</v>
      </c>
      <c r="D1572" s="1">
        <f>IFERROR(__xludf.DUMMYFUNCTION("""COMPUTED_VALUE"""),1.05)</f>
        <v>1.05</v>
      </c>
      <c r="E1572" s="1">
        <f>IFERROR(__xludf.DUMMYFUNCTION("""COMPUTED_VALUE"""),1.06)</f>
        <v>1.06</v>
      </c>
      <c r="F1572" s="1">
        <f>IFERROR(__xludf.DUMMYFUNCTION("""COMPUTED_VALUE"""),163387.0)</f>
        <v>163387</v>
      </c>
    </row>
    <row r="1573">
      <c r="A1573" s="2">
        <f>IFERROR(__xludf.DUMMYFUNCTION("""COMPUTED_VALUE"""),41450.666666666664)</f>
        <v>41450.66667</v>
      </c>
      <c r="B1573" s="1">
        <f>IFERROR(__xludf.DUMMYFUNCTION("""COMPUTED_VALUE"""),1.07)</f>
        <v>1.07</v>
      </c>
      <c r="C1573" s="1">
        <f>IFERROR(__xludf.DUMMYFUNCTION("""COMPUTED_VALUE"""),1.07)</f>
        <v>1.07</v>
      </c>
      <c r="D1573" s="1">
        <f>IFERROR(__xludf.DUMMYFUNCTION("""COMPUTED_VALUE"""),1.04)</f>
        <v>1.04</v>
      </c>
      <c r="E1573" s="1">
        <f>IFERROR(__xludf.DUMMYFUNCTION("""COMPUTED_VALUE"""),1.06)</f>
        <v>1.06</v>
      </c>
      <c r="F1573" s="1">
        <f>IFERROR(__xludf.DUMMYFUNCTION("""COMPUTED_VALUE"""),115177.0)</f>
        <v>115177</v>
      </c>
    </row>
    <row r="1574">
      <c r="A1574" s="2">
        <f>IFERROR(__xludf.DUMMYFUNCTION("""COMPUTED_VALUE"""),41451.666666666664)</f>
        <v>41451.66667</v>
      </c>
      <c r="B1574" s="1">
        <f>IFERROR(__xludf.DUMMYFUNCTION("""COMPUTED_VALUE"""),1.07)</f>
        <v>1.07</v>
      </c>
      <c r="C1574" s="1">
        <f>IFERROR(__xludf.DUMMYFUNCTION("""COMPUTED_VALUE"""),1.07)</f>
        <v>1.07</v>
      </c>
      <c r="D1574" s="1">
        <f>IFERROR(__xludf.DUMMYFUNCTION("""COMPUTED_VALUE"""),1.04)</f>
        <v>1.04</v>
      </c>
      <c r="E1574" s="1">
        <f>IFERROR(__xludf.DUMMYFUNCTION("""COMPUTED_VALUE"""),1.05)</f>
        <v>1.05</v>
      </c>
      <c r="F1574" s="1">
        <f>IFERROR(__xludf.DUMMYFUNCTION("""COMPUTED_VALUE"""),68255.0)</f>
        <v>68255</v>
      </c>
    </row>
    <row r="1575">
      <c r="A1575" s="2">
        <f>IFERROR(__xludf.DUMMYFUNCTION("""COMPUTED_VALUE"""),41452.666666666664)</f>
        <v>41452.66667</v>
      </c>
      <c r="B1575" s="1">
        <f>IFERROR(__xludf.DUMMYFUNCTION("""COMPUTED_VALUE"""),1.06)</f>
        <v>1.06</v>
      </c>
      <c r="C1575" s="1">
        <f>IFERROR(__xludf.DUMMYFUNCTION("""COMPUTED_VALUE"""),1.08)</f>
        <v>1.08</v>
      </c>
      <c r="D1575" s="1">
        <f>IFERROR(__xludf.DUMMYFUNCTION("""COMPUTED_VALUE"""),1.05)</f>
        <v>1.05</v>
      </c>
      <c r="E1575" s="1">
        <f>IFERROR(__xludf.DUMMYFUNCTION("""COMPUTED_VALUE"""),1.06)</f>
        <v>1.06</v>
      </c>
      <c r="F1575" s="1">
        <f>IFERROR(__xludf.DUMMYFUNCTION("""COMPUTED_VALUE"""),104940.0)</f>
        <v>104940</v>
      </c>
    </row>
    <row r="1576">
      <c r="A1576" s="2">
        <f>IFERROR(__xludf.DUMMYFUNCTION("""COMPUTED_VALUE"""),41453.666666666664)</f>
        <v>41453.66667</v>
      </c>
      <c r="B1576" s="1">
        <f>IFERROR(__xludf.DUMMYFUNCTION("""COMPUTED_VALUE"""),1.05)</f>
        <v>1.05</v>
      </c>
      <c r="C1576" s="1">
        <f>IFERROR(__xludf.DUMMYFUNCTION("""COMPUTED_VALUE"""),1.07)</f>
        <v>1.07</v>
      </c>
      <c r="D1576" s="1">
        <f>IFERROR(__xludf.DUMMYFUNCTION("""COMPUTED_VALUE"""),1.03)</f>
        <v>1.03</v>
      </c>
      <c r="E1576" s="1">
        <f>IFERROR(__xludf.DUMMYFUNCTION("""COMPUTED_VALUE"""),1.06)</f>
        <v>1.06</v>
      </c>
      <c r="F1576" s="1">
        <f>IFERROR(__xludf.DUMMYFUNCTION("""COMPUTED_VALUE"""),1330182.0)</f>
        <v>1330182</v>
      </c>
    </row>
    <row r="1577">
      <c r="A1577" s="2">
        <f>IFERROR(__xludf.DUMMYFUNCTION("""COMPUTED_VALUE"""),41456.666666666664)</f>
        <v>41456.66667</v>
      </c>
      <c r="B1577" s="1">
        <f>IFERROR(__xludf.DUMMYFUNCTION("""COMPUTED_VALUE"""),1.07)</f>
        <v>1.07</v>
      </c>
      <c r="C1577" s="1">
        <f>IFERROR(__xludf.DUMMYFUNCTION("""COMPUTED_VALUE"""),1.11)</f>
        <v>1.11</v>
      </c>
      <c r="D1577" s="1">
        <f>IFERROR(__xludf.DUMMYFUNCTION("""COMPUTED_VALUE"""),1.07)</f>
        <v>1.07</v>
      </c>
      <c r="E1577" s="1">
        <f>IFERROR(__xludf.DUMMYFUNCTION("""COMPUTED_VALUE"""),1.08)</f>
        <v>1.08</v>
      </c>
      <c r="F1577" s="1">
        <f>IFERROR(__xludf.DUMMYFUNCTION("""COMPUTED_VALUE"""),128545.0)</f>
        <v>128545</v>
      </c>
    </row>
    <row r="1578">
      <c r="A1578" s="2">
        <f>IFERROR(__xludf.DUMMYFUNCTION("""COMPUTED_VALUE"""),41457.666666666664)</f>
        <v>41457.66667</v>
      </c>
      <c r="B1578" s="1">
        <f>IFERROR(__xludf.DUMMYFUNCTION("""COMPUTED_VALUE"""),1.08)</f>
        <v>1.08</v>
      </c>
      <c r="C1578" s="1">
        <f>IFERROR(__xludf.DUMMYFUNCTION("""COMPUTED_VALUE"""),1.11)</f>
        <v>1.11</v>
      </c>
      <c r="D1578" s="1">
        <f>IFERROR(__xludf.DUMMYFUNCTION("""COMPUTED_VALUE"""),1.08)</f>
        <v>1.08</v>
      </c>
      <c r="E1578" s="1">
        <f>IFERROR(__xludf.DUMMYFUNCTION("""COMPUTED_VALUE"""),1.1)</f>
        <v>1.1</v>
      </c>
      <c r="F1578" s="1">
        <f>IFERROR(__xludf.DUMMYFUNCTION("""COMPUTED_VALUE"""),103334.0)</f>
        <v>103334</v>
      </c>
    </row>
    <row r="1579">
      <c r="A1579" s="2">
        <f>IFERROR(__xludf.DUMMYFUNCTION("""COMPUTED_VALUE"""),41458.666666666664)</f>
        <v>41458.66667</v>
      </c>
      <c r="B1579" s="1">
        <f>IFERROR(__xludf.DUMMYFUNCTION("""COMPUTED_VALUE"""),1.09)</f>
        <v>1.09</v>
      </c>
      <c r="C1579" s="1">
        <f>IFERROR(__xludf.DUMMYFUNCTION("""COMPUTED_VALUE"""),1.13)</f>
        <v>1.13</v>
      </c>
      <c r="D1579" s="1">
        <f>IFERROR(__xludf.DUMMYFUNCTION("""COMPUTED_VALUE"""),1.09)</f>
        <v>1.09</v>
      </c>
      <c r="E1579" s="1">
        <f>IFERROR(__xludf.DUMMYFUNCTION("""COMPUTED_VALUE"""),1.11)</f>
        <v>1.11</v>
      </c>
      <c r="F1579" s="1">
        <f>IFERROR(__xludf.DUMMYFUNCTION("""COMPUTED_VALUE"""),40369.0)</f>
        <v>40369</v>
      </c>
    </row>
    <row r="1580">
      <c r="A1580" s="2">
        <f>IFERROR(__xludf.DUMMYFUNCTION("""COMPUTED_VALUE"""),41460.666666666664)</f>
        <v>41460.66667</v>
      </c>
      <c r="B1580" s="1">
        <f>IFERROR(__xludf.DUMMYFUNCTION("""COMPUTED_VALUE"""),1.14)</f>
        <v>1.14</v>
      </c>
      <c r="C1580" s="1">
        <f>IFERROR(__xludf.DUMMYFUNCTION("""COMPUTED_VALUE"""),1.15)</f>
        <v>1.15</v>
      </c>
      <c r="D1580" s="1">
        <f>IFERROR(__xludf.DUMMYFUNCTION("""COMPUTED_VALUE"""),1.12)</f>
        <v>1.12</v>
      </c>
      <c r="E1580" s="1">
        <f>IFERROR(__xludf.DUMMYFUNCTION("""COMPUTED_VALUE"""),1.14)</f>
        <v>1.14</v>
      </c>
      <c r="F1580" s="1">
        <f>IFERROR(__xludf.DUMMYFUNCTION("""COMPUTED_VALUE"""),70215.0)</f>
        <v>70215</v>
      </c>
    </row>
    <row r="1581">
      <c r="A1581" s="2">
        <f>IFERROR(__xludf.DUMMYFUNCTION("""COMPUTED_VALUE"""),41463.666666666664)</f>
        <v>41463.66667</v>
      </c>
      <c r="B1581" s="1">
        <f>IFERROR(__xludf.DUMMYFUNCTION("""COMPUTED_VALUE"""),1.14)</f>
        <v>1.14</v>
      </c>
      <c r="C1581" s="1">
        <f>IFERROR(__xludf.DUMMYFUNCTION("""COMPUTED_VALUE"""),1.16)</f>
        <v>1.16</v>
      </c>
      <c r="D1581" s="1">
        <f>IFERROR(__xludf.DUMMYFUNCTION("""COMPUTED_VALUE"""),1.13)</f>
        <v>1.13</v>
      </c>
      <c r="E1581" s="1">
        <f>IFERROR(__xludf.DUMMYFUNCTION("""COMPUTED_VALUE"""),1.14)</f>
        <v>1.14</v>
      </c>
      <c r="F1581" s="1">
        <f>IFERROR(__xludf.DUMMYFUNCTION("""COMPUTED_VALUE"""),120700.0)</f>
        <v>120700</v>
      </c>
    </row>
    <row r="1582">
      <c r="A1582" s="2">
        <f>IFERROR(__xludf.DUMMYFUNCTION("""COMPUTED_VALUE"""),41464.666666666664)</f>
        <v>41464.66667</v>
      </c>
      <c r="B1582" s="1">
        <f>IFERROR(__xludf.DUMMYFUNCTION("""COMPUTED_VALUE"""),1.15)</f>
        <v>1.15</v>
      </c>
      <c r="C1582" s="1">
        <f>IFERROR(__xludf.DUMMYFUNCTION("""COMPUTED_VALUE"""),1.18)</f>
        <v>1.18</v>
      </c>
      <c r="D1582" s="1">
        <f>IFERROR(__xludf.DUMMYFUNCTION("""COMPUTED_VALUE"""),1.14)</f>
        <v>1.14</v>
      </c>
      <c r="E1582" s="1">
        <f>IFERROR(__xludf.DUMMYFUNCTION("""COMPUTED_VALUE"""),1.16)</f>
        <v>1.16</v>
      </c>
      <c r="F1582" s="1">
        <f>IFERROR(__xludf.DUMMYFUNCTION("""COMPUTED_VALUE"""),147829.0)</f>
        <v>147829</v>
      </c>
    </row>
    <row r="1583">
      <c r="A1583" s="2">
        <f>IFERROR(__xludf.DUMMYFUNCTION("""COMPUTED_VALUE"""),41465.666666666664)</f>
        <v>41465.66667</v>
      </c>
      <c r="B1583" s="1">
        <f>IFERROR(__xludf.DUMMYFUNCTION("""COMPUTED_VALUE"""),1.16)</f>
        <v>1.16</v>
      </c>
      <c r="C1583" s="1">
        <f>IFERROR(__xludf.DUMMYFUNCTION("""COMPUTED_VALUE"""),1.18)</f>
        <v>1.18</v>
      </c>
      <c r="D1583" s="1">
        <f>IFERROR(__xludf.DUMMYFUNCTION("""COMPUTED_VALUE"""),1.14)</f>
        <v>1.14</v>
      </c>
      <c r="E1583" s="1">
        <f>IFERROR(__xludf.DUMMYFUNCTION("""COMPUTED_VALUE"""),1.18)</f>
        <v>1.18</v>
      </c>
      <c r="F1583" s="1">
        <f>IFERROR(__xludf.DUMMYFUNCTION("""COMPUTED_VALUE"""),80572.0)</f>
        <v>80572</v>
      </c>
    </row>
    <row r="1584">
      <c r="A1584" s="2">
        <f>IFERROR(__xludf.DUMMYFUNCTION("""COMPUTED_VALUE"""),41466.666666666664)</f>
        <v>41466.66667</v>
      </c>
      <c r="B1584" s="1">
        <f>IFERROR(__xludf.DUMMYFUNCTION("""COMPUTED_VALUE"""),1.19)</f>
        <v>1.19</v>
      </c>
      <c r="C1584" s="1">
        <f>IFERROR(__xludf.DUMMYFUNCTION("""COMPUTED_VALUE"""),1.19)</f>
        <v>1.19</v>
      </c>
      <c r="D1584" s="1">
        <f>IFERROR(__xludf.DUMMYFUNCTION("""COMPUTED_VALUE"""),1.17)</f>
        <v>1.17</v>
      </c>
      <c r="E1584" s="1">
        <f>IFERROR(__xludf.DUMMYFUNCTION("""COMPUTED_VALUE"""),1.17)</f>
        <v>1.17</v>
      </c>
      <c r="F1584" s="1">
        <f>IFERROR(__xludf.DUMMYFUNCTION("""COMPUTED_VALUE"""),84322.0)</f>
        <v>84322</v>
      </c>
    </row>
    <row r="1585">
      <c r="A1585" s="2">
        <f>IFERROR(__xludf.DUMMYFUNCTION("""COMPUTED_VALUE"""),41467.666666666664)</f>
        <v>41467.66667</v>
      </c>
      <c r="B1585" s="1">
        <f>IFERROR(__xludf.DUMMYFUNCTION("""COMPUTED_VALUE"""),1.17)</f>
        <v>1.17</v>
      </c>
      <c r="C1585" s="1">
        <f>IFERROR(__xludf.DUMMYFUNCTION("""COMPUTED_VALUE"""),1.18)</f>
        <v>1.18</v>
      </c>
      <c r="D1585" s="1">
        <f>IFERROR(__xludf.DUMMYFUNCTION("""COMPUTED_VALUE"""),1.15)</f>
        <v>1.15</v>
      </c>
      <c r="E1585" s="1">
        <f>IFERROR(__xludf.DUMMYFUNCTION("""COMPUTED_VALUE"""),1.17)</f>
        <v>1.17</v>
      </c>
      <c r="F1585" s="1">
        <f>IFERROR(__xludf.DUMMYFUNCTION("""COMPUTED_VALUE"""),71148.0)</f>
        <v>71148</v>
      </c>
    </row>
    <row r="1586">
      <c r="A1586" s="2">
        <f>IFERROR(__xludf.DUMMYFUNCTION("""COMPUTED_VALUE"""),41470.666666666664)</f>
        <v>41470.66667</v>
      </c>
      <c r="B1586" s="1">
        <f>IFERROR(__xludf.DUMMYFUNCTION("""COMPUTED_VALUE"""),1.17)</f>
        <v>1.17</v>
      </c>
      <c r="C1586" s="1">
        <f>IFERROR(__xludf.DUMMYFUNCTION("""COMPUTED_VALUE"""),1.2)</f>
        <v>1.2</v>
      </c>
      <c r="D1586" s="1">
        <f>IFERROR(__xludf.DUMMYFUNCTION("""COMPUTED_VALUE"""),1.16)</f>
        <v>1.16</v>
      </c>
      <c r="E1586" s="1">
        <f>IFERROR(__xludf.DUMMYFUNCTION("""COMPUTED_VALUE"""),1.19)</f>
        <v>1.19</v>
      </c>
      <c r="F1586" s="1">
        <f>IFERROR(__xludf.DUMMYFUNCTION("""COMPUTED_VALUE"""),66830.0)</f>
        <v>66830</v>
      </c>
    </row>
    <row r="1587">
      <c r="A1587" s="2">
        <f>IFERROR(__xludf.DUMMYFUNCTION("""COMPUTED_VALUE"""),41471.666666666664)</f>
        <v>41471.66667</v>
      </c>
      <c r="B1587" s="1">
        <f>IFERROR(__xludf.DUMMYFUNCTION("""COMPUTED_VALUE"""),1.19)</f>
        <v>1.19</v>
      </c>
      <c r="C1587" s="1">
        <f>IFERROR(__xludf.DUMMYFUNCTION("""COMPUTED_VALUE"""),1.2)</f>
        <v>1.2</v>
      </c>
      <c r="D1587" s="1">
        <f>IFERROR(__xludf.DUMMYFUNCTION("""COMPUTED_VALUE"""),1.17)</f>
        <v>1.17</v>
      </c>
      <c r="E1587" s="1">
        <f>IFERROR(__xludf.DUMMYFUNCTION("""COMPUTED_VALUE"""),1.19)</f>
        <v>1.19</v>
      </c>
      <c r="F1587" s="1">
        <f>IFERROR(__xludf.DUMMYFUNCTION("""COMPUTED_VALUE"""),74497.0)</f>
        <v>74497</v>
      </c>
    </row>
    <row r="1588">
      <c r="A1588" s="2">
        <f>IFERROR(__xludf.DUMMYFUNCTION("""COMPUTED_VALUE"""),41472.666666666664)</f>
        <v>41472.66667</v>
      </c>
      <c r="B1588" s="1">
        <f>IFERROR(__xludf.DUMMYFUNCTION("""COMPUTED_VALUE"""),1.2)</f>
        <v>1.2</v>
      </c>
      <c r="C1588" s="1">
        <f>IFERROR(__xludf.DUMMYFUNCTION("""COMPUTED_VALUE"""),1.22)</f>
        <v>1.22</v>
      </c>
      <c r="D1588" s="1">
        <f>IFERROR(__xludf.DUMMYFUNCTION("""COMPUTED_VALUE"""),1.17)</f>
        <v>1.17</v>
      </c>
      <c r="E1588" s="1">
        <f>IFERROR(__xludf.DUMMYFUNCTION("""COMPUTED_VALUE"""),1.17)</f>
        <v>1.17</v>
      </c>
      <c r="F1588" s="1">
        <f>IFERROR(__xludf.DUMMYFUNCTION("""COMPUTED_VALUE"""),161548.0)</f>
        <v>161548</v>
      </c>
    </row>
    <row r="1589">
      <c r="A1589" s="2">
        <f>IFERROR(__xludf.DUMMYFUNCTION("""COMPUTED_VALUE"""),41473.666666666664)</f>
        <v>41473.66667</v>
      </c>
      <c r="B1589" s="1">
        <f>IFERROR(__xludf.DUMMYFUNCTION("""COMPUTED_VALUE"""),1.17)</f>
        <v>1.17</v>
      </c>
      <c r="C1589" s="1">
        <f>IFERROR(__xludf.DUMMYFUNCTION("""COMPUTED_VALUE"""),1.2)</f>
        <v>1.2</v>
      </c>
      <c r="D1589" s="1">
        <f>IFERROR(__xludf.DUMMYFUNCTION("""COMPUTED_VALUE"""),1.17)</f>
        <v>1.17</v>
      </c>
      <c r="E1589" s="1">
        <f>IFERROR(__xludf.DUMMYFUNCTION("""COMPUTED_VALUE"""),1.19)</f>
        <v>1.19</v>
      </c>
      <c r="F1589" s="1">
        <f>IFERROR(__xludf.DUMMYFUNCTION("""COMPUTED_VALUE"""),68017.0)</f>
        <v>68017</v>
      </c>
    </row>
    <row r="1590">
      <c r="A1590" s="2">
        <f>IFERROR(__xludf.DUMMYFUNCTION("""COMPUTED_VALUE"""),41474.666666666664)</f>
        <v>41474.66667</v>
      </c>
      <c r="B1590" s="1">
        <f>IFERROR(__xludf.DUMMYFUNCTION("""COMPUTED_VALUE"""),1.18)</f>
        <v>1.18</v>
      </c>
      <c r="C1590" s="1">
        <f>IFERROR(__xludf.DUMMYFUNCTION("""COMPUTED_VALUE"""),1.19)</f>
        <v>1.19</v>
      </c>
      <c r="D1590" s="1">
        <f>IFERROR(__xludf.DUMMYFUNCTION("""COMPUTED_VALUE"""),1.18)</f>
        <v>1.18</v>
      </c>
      <c r="E1590" s="1">
        <f>IFERROR(__xludf.DUMMYFUNCTION("""COMPUTED_VALUE"""),1.19)</f>
        <v>1.19</v>
      </c>
      <c r="F1590" s="1">
        <f>IFERROR(__xludf.DUMMYFUNCTION("""COMPUTED_VALUE"""),63802.0)</f>
        <v>63802</v>
      </c>
    </row>
    <row r="1591">
      <c r="A1591" s="2">
        <f>IFERROR(__xludf.DUMMYFUNCTION("""COMPUTED_VALUE"""),41477.666666666664)</f>
        <v>41477.66667</v>
      </c>
      <c r="B1591" s="1">
        <f>IFERROR(__xludf.DUMMYFUNCTION("""COMPUTED_VALUE"""),1.19)</f>
        <v>1.19</v>
      </c>
      <c r="C1591" s="1">
        <f>IFERROR(__xludf.DUMMYFUNCTION("""COMPUTED_VALUE"""),1.22)</f>
        <v>1.22</v>
      </c>
      <c r="D1591" s="1">
        <f>IFERROR(__xludf.DUMMYFUNCTION("""COMPUTED_VALUE"""),1.19)</f>
        <v>1.19</v>
      </c>
      <c r="E1591" s="1">
        <f>IFERROR(__xludf.DUMMYFUNCTION("""COMPUTED_VALUE"""),1.21)</f>
        <v>1.21</v>
      </c>
      <c r="F1591" s="1">
        <f>IFERROR(__xludf.DUMMYFUNCTION("""COMPUTED_VALUE"""),60580.0)</f>
        <v>60580</v>
      </c>
    </row>
    <row r="1592">
      <c r="A1592" s="2">
        <f>IFERROR(__xludf.DUMMYFUNCTION("""COMPUTED_VALUE"""),41478.666666666664)</f>
        <v>41478.66667</v>
      </c>
      <c r="B1592" s="1">
        <f>IFERROR(__xludf.DUMMYFUNCTION("""COMPUTED_VALUE"""),1.23)</f>
        <v>1.23</v>
      </c>
      <c r="C1592" s="1">
        <f>IFERROR(__xludf.DUMMYFUNCTION("""COMPUTED_VALUE"""),1.23)</f>
        <v>1.23</v>
      </c>
      <c r="D1592" s="1">
        <f>IFERROR(__xludf.DUMMYFUNCTION("""COMPUTED_VALUE"""),1.2)</f>
        <v>1.2</v>
      </c>
      <c r="E1592" s="1">
        <f>IFERROR(__xludf.DUMMYFUNCTION("""COMPUTED_VALUE"""),1.21)</f>
        <v>1.21</v>
      </c>
      <c r="F1592" s="1">
        <f>IFERROR(__xludf.DUMMYFUNCTION("""COMPUTED_VALUE"""),67594.0)</f>
        <v>67594</v>
      </c>
    </row>
    <row r="1593">
      <c r="A1593" s="2">
        <f>IFERROR(__xludf.DUMMYFUNCTION("""COMPUTED_VALUE"""),41479.666666666664)</f>
        <v>41479.66667</v>
      </c>
      <c r="B1593" s="1">
        <f>IFERROR(__xludf.DUMMYFUNCTION("""COMPUTED_VALUE"""),1.22)</f>
        <v>1.22</v>
      </c>
      <c r="C1593" s="1">
        <f>IFERROR(__xludf.DUMMYFUNCTION("""COMPUTED_VALUE"""),1.24)</f>
        <v>1.24</v>
      </c>
      <c r="D1593" s="1">
        <f>IFERROR(__xludf.DUMMYFUNCTION("""COMPUTED_VALUE"""),1.21)</f>
        <v>1.21</v>
      </c>
      <c r="E1593" s="1">
        <f>IFERROR(__xludf.DUMMYFUNCTION("""COMPUTED_VALUE"""),1.22)</f>
        <v>1.22</v>
      </c>
      <c r="F1593" s="1">
        <f>IFERROR(__xludf.DUMMYFUNCTION("""COMPUTED_VALUE"""),79020.0)</f>
        <v>79020</v>
      </c>
    </row>
    <row r="1594">
      <c r="A1594" s="2">
        <f>IFERROR(__xludf.DUMMYFUNCTION("""COMPUTED_VALUE"""),41480.666666666664)</f>
        <v>41480.66667</v>
      </c>
      <c r="B1594" s="1">
        <f>IFERROR(__xludf.DUMMYFUNCTION("""COMPUTED_VALUE"""),1.22)</f>
        <v>1.22</v>
      </c>
      <c r="C1594" s="1">
        <f>IFERROR(__xludf.DUMMYFUNCTION("""COMPUTED_VALUE"""),1.24)</f>
        <v>1.24</v>
      </c>
      <c r="D1594" s="1">
        <f>IFERROR(__xludf.DUMMYFUNCTION("""COMPUTED_VALUE"""),1.18)</f>
        <v>1.18</v>
      </c>
      <c r="E1594" s="1">
        <f>IFERROR(__xludf.DUMMYFUNCTION("""COMPUTED_VALUE"""),1.24)</f>
        <v>1.24</v>
      </c>
      <c r="F1594" s="1">
        <f>IFERROR(__xludf.DUMMYFUNCTION("""COMPUTED_VALUE"""),106813.0)</f>
        <v>106813</v>
      </c>
    </row>
    <row r="1595">
      <c r="A1595" s="2">
        <f>IFERROR(__xludf.DUMMYFUNCTION("""COMPUTED_VALUE"""),41481.666666666664)</f>
        <v>41481.66667</v>
      </c>
      <c r="B1595" s="1">
        <f>IFERROR(__xludf.DUMMYFUNCTION("""COMPUTED_VALUE"""),1.22)</f>
        <v>1.22</v>
      </c>
      <c r="C1595" s="1">
        <f>IFERROR(__xludf.DUMMYFUNCTION("""COMPUTED_VALUE"""),1.24)</f>
        <v>1.24</v>
      </c>
      <c r="D1595" s="1">
        <f>IFERROR(__xludf.DUMMYFUNCTION("""COMPUTED_VALUE"""),1.2)</f>
        <v>1.2</v>
      </c>
      <c r="E1595" s="1">
        <f>IFERROR(__xludf.DUMMYFUNCTION("""COMPUTED_VALUE"""),1.22)</f>
        <v>1.22</v>
      </c>
      <c r="F1595" s="1">
        <f>IFERROR(__xludf.DUMMYFUNCTION("""COMPUTED_VALUE"""),61131.0)</f>
        <v>61131</v>
      </c>
    </row>
    <row r="1596">
      <c r="A1596" s="2">
        <f>IFERROR(__xludf.DUMMYFUNCTION("""COMPUTED_VALUE"""),41484.666666666664)</f>
        <v>41484.66667</v>
      </c>
      <c r="B1596" s="1">
        <f>IFERROR(__xludf.DUMMYFUNCTION("""COMPUTED_VALUE"""),1.21)</f>
        <v>1.21</v>
      </c>
      <c r="C1596" s="1">
        <f>IFERROR(__xludf.DUMMYFUNCTION("""COMPUTED_VALUE"""),1.21)</f>
        <v>1.21</v>
      </c>
      <c r="D1596" s="1">
        <f>IFERROR(__xludf.DUMMYFUNCTION("""COMPUTED_VALUE"""),1.18)</f>
        <v>1.18</v>
      </c>
      <c r="E1596" s="1">
        <f>IFERROR(__xludf.DUMMYFUNCTION("""COMPUTED_VALUE"""),1.19)</f>
        <v>1.19</v>
      </c>
      <c r="F1596" s="1">
        <f>IFERROR(__xludf.DUMMYFUNCTION("""COMPUTED_VALUE"""),51432.0)</f>
        <v>51432</v>
      </c>
    </row>
    <row r="1597">
      <c r="A1597" s="2">
        <f>IFERROR(__xludf.DUMMYFUNCTION("""COMPUTED_VALUE"""),41485.666666666664)</f>
        <v>41485.66667</v>
      </c>
      <c r="B1597" s="1">
        <f>IFERROR(__xludf.DUMMYFUNCTION("""COMPUTED_VALUE"""),1.2)</f>
        <v>1.2</v>
      </c>
      <c r="C1597" s="1">
        <f>IFERROR(__xludf.DUMMYFUNCTION("""COMPUTED_VALUE"""),1.2)</f>
        <v>1.2</v>
      </c>
      <c r="D1597" s="1">
        <f>IFERROR(__xludf.DUMMYFUNCTION("""COMPUTED_VALUE"""),1.18)</f>
        <v>1.18</v>
      </c>
      <c r="E1597" s="1">
        <f>IFERROR(__xludf.DUMMYFUNCTION("""COMPUTED_VALUE"""),1.19)</f>
        <v>1.19</v>
      </c>
      <c r="F1597" s="1">
        <f>IFERROR(__xludf.DUMMYFUNCTION("""COMPUTED_VALUE"""),63013.0)</f>
        <v>63013</v>
      </c>
    </row>
    <row r="1598">
      <c r="A1598" s="2">
        <f>IFERROR(__xludf.DUMMYFUNCTION("""COMPUTED_VALUE"""),41486.666666666664)</f>
        <v>41486.66667</v>
      </c>
      <c r="B1598" s="1">
        <f>IFERROR(__xludf.DUMMYFUNCTION("""COMPUTED_VALUE"""),1.19)</f>
        <v>1.19</v>
      </c>
      <c r="C1598" s="1">
        <f>IFERROR(__xludf.DUMMYFUNCTION("""COMPUTED_VALUE"""),1.2)</f>
        <v>1.2</v>
      </c>
      <c r="D1598" s="1">
        <f>IFERROR(__xludf.DUMMYFUNCTION("""COMPUTED_VALUE"""),1.16)</f>
        <v>1.16</v>
      </c>
      <c r="E1598" s="1">
        <f>IFERROR(__xludf.DUMMYFUNCTION("""COMPUTED_VALUE"""),1.16)</f>
        <v>1.16</v>
      </c>
      <c r="F1598" s="1">
        <f>IFERROR(__xludf.DUMMYFUNCTION("""COMPUTED_VALUE"""),69722.0)</f>
        <v>69722</v>
      </c>
    </row>
    <row r="1599">
      <c r="A1599" s="2">
        <f>IFERROR(__xludf.DUMMYFUNCTION("""COMPUTED_VALUE"""),41487.666666666664)</f>
        <v>41487.66667</v>
      </c>
      <c r="B1599" s="1">
        <f>IFERROR(__xludf.DUMMYFUNCTION("""COMPUTED_VALUE"""),1.18)</f>
        <v>1.18</v>
      </c>
      <c r="C1599" s="1">
        <f>IFERROR(__xludf.DUMMYFUNCTION("""COMPUTED_VALUE"""),1.19)</f>
        <v>1.19</v>
      </c>
      <c r="D1599" s="1">
        <f>IFERROR(__xludf.DUMMYFUNCTION("""COMPUTED_VALUE"""),1.12)</f>
        <v>1.12</v>
      </c>
      <c r="E1599" s="1">
        <f>IFERROR(__xludf.DUMMYFUNCTION("""COMPUTED_VALUE"""),1.18)</f>
        <v>1.18</v>
      </c>
      <c r="F1599" s="1">
        <f>IFERROR(__xludf.DUMMYFUNCTION("""COMPUTED_VALUE"""),139418.0)</f>
        <v>139418</v>
      </c>
    </row>
    <row r="1600">
      <c r="A1600" s="2">
        <f>IFERROR(__xludf.DUMMYFUNCTION("""COMPUTED_VALUE"""),41488.666666666664)</f>
        <v>41488.66667</v>
      </c>
      <c r="B1600" s="1">
        <f>IFERROR(__xludf.DUMMYFUNCTION("""COMPUTED_VALUE"""),1.17)</f>
        <v>1.17</v>
      </c>
      <c r="C1600" s="1">
        <f>IFERROR(__xludf.DUMMYFUNCTION("""COMPUTED_VALUE"""),1.19)</f>
        <v>1.19</v>
      </c>
      <c r="D1600" s="1">
        <f>IFERROR(__xludf.DUMMYFUNCTION("""COMPUTED_VALUE"""),1.16)</f>
        <v>1.16</v>
      </c>
      <c r="E1600" s="1">
        <f>IFERROR(__xludf.DUMMYFUNCTION("""COMPUTED_VALUE"""),1.17)</f>
        <v>1.17</v>
      </c>
      <c r="F1600" s="1">
        <f>IFERROR(__xludf.DUMMYFUNCTION("""COMPUTED_VALUE"""),65941.0)</f>
        <v>65941</v>
      </c>
    </row>
    <row r="1601">
      <c r="A1601" s="2">
        <f>IFERROR(__xludf.DUMMYFUNCTION("""COMPUTED_VALUE"""),41491.666666666664)</f>
        <v>41491.66667</v>
      </c>
      <c r="B1601" s="1">
        <f>IFERROR(__xludf.DUMMYFUNCTION("""COMPUTED_VALUE"""),1.17)</f>
        <v>1.17</v>
      </c>
      <c r="C1601" s="1">
        <f>IFERROR(__xludf.DUMMYFUNCTION("""COMPUTED_VALUE"""),1.19)</f>
        <v>1.19</v>
      </c>
      <c r="D1601" s="1">
        <f>IFERROR(__xludf.DUMMYFUNCTION("""COMPUTED_VALUE"""),1.16)</f>
        <v>1.16</v>
      </c>
      <c r="E1601" s="1">
        <f>IFERROR(__xludf.DUMMYFUNCTION("""COMPUTED_VALUE"""),1.18)</f>
        <v>1.18</v>
      </c>
      <c r="F1601" s="1">
        <f>IFERROR(__xludf.DUMMYFUNCTION("""COMPUTED_VALUE"""),109332.0)</f>
        <v>109332</v>
      </c>
    </row>
    <row r="1602">
      <c r="A1602" s="2">
        <f>IFERROR(__xludf.DUMMYFUNCTION("""COMPUTED_VALUE"""),41492.666666666664)</f>
        <v>41492.66667</v>
      </c>
      <c r="B1602" s="1">
        <f>IFERROR(__xludf.DUMMYFUNCTION("""COMPUTED_VALUE"""),1.18)</f>
        <v>1.18</v>
      </c>
      <c r="C1602" s="1">
        <f>IFERROR(__xludf.DUMMYFUNCTION("""COMPUTED_VALUE"""),1.19)</f>
        <v>1.19</v>
      </c>
      <c r="D1602" s="1">
        <f>IFERROR(__xludf.DUMMYFUNCTION("""COMPUTED_VALUE"""),1.16)</f>
        <v>1.16</v>
      </c>
      <c r="E1602" s="1">
        <f>IFERROR(__xludf.DUMMYFUNCTION("""COMPUTED_VALUE"""),1.18)</f>
        <v>1.18</v>
      </c>
      <c r="F1602" s="1">
        <f>IFERROR(__xludf.DUMMYFUNCTION("""COMPUTED_VALUE"""),78476.0)</f>
        <v>78476</v>
      </c>
    </row>
    <row r="1603">
      <c r="A1603" s="2">
        <f>IFERROR(__xludf.DUMMYFUNCTION("""COMPUTED_VALUE"""),41493.666666666664)</f>
        <v>41493.66667</v>
      </c>
      <c r="B1603" s="1">
        <f>IFERROR(__xludf.DUMMYFUNCTION("""COMPUTED_VALUE"""),1.29)</f>
        <v>1.29</v>
      </c>
      <c r="C1603" s="1">
        <f>IFERROR(__xludf.DUMMYFUNCTION("""COMPUTED_VALUE"""),1.36)</f>
        <v>1.36</v>
      </c>
      <c r="D1603" s="1">
        <f>IFERROR(__xludf.DUMMYFUNCTION("""COMPUTED_VALUE"""),1.25)</f>
        <v>1.25</v>
      </c>
      <c r="E1603" s="1">
        <f>IFERROR(__xludf.DUMMYFUNCTION("""COMPUTED_VALUE"""),1.31)</f>
        <v>1.31</v>
      </c>
      <c r="F1603" s="1">
        <f>IFERROR(__xludf.DUMMYFUNCTION("""COMPUTED_VALUE"""),584272.0)</f>
        <v>584272</v>
      </c>
    </row>
    <row r="1604">
      <c r="A1604" s="2">
        <f>IFERROR(__xludf.DUMMYFUNCTION("""COMPUTED_VALUE"""),41494.666666666664)</f>
        <v>41494.66667</v>
      </c>
      <c r="B1604" s="1">
        <f>IFERROR(__xludf.DUMMYFUNCTION("""COMPUTED_VALUE"""),1.32)</f>
        <v>1.32</v>
      </c>
      <c r="C1604" s="1">
        <f>IFERROR(__xludf.DUMMYFUNCTION("""COMPUTED_VALUE"""),1.35)</f>
        <v>1.35</v>
      </c>
      <c r="D1604" s="1">
        <f>IFERROR(__xludf.DUMMYFUNCTION("""COMPUTED_VALUE"""),1.31)</f>
        <v>1.31</v>
      </c>
      <c r="E1604" s="1">
        <f>IFERROR(__xludf.DUMMYFUNCTION("""COMPUTED_VALUE"""),1.32)</f>
        <v>1.32</v>
      </c>
      <c r="F1604" s="1">
        <f>IFERROR(__xludf.DUMMYFUNCTION("""COMPUTED_VALUE"""),239701.0)</f>
        <v>239701</v>
      </c>
    </row>
    <row r="1605">
      <c r="A1605" s="2">
        <f>IFERROR(__xludf.DUMMYFUNCTION("""COMPUTED_VALUE"""),41495.666666666664)</f>
        <v>41495.66667</v>
      </c>
      <c r="B1605" s="1">
        <f>IFERROR(__xludf.DUMMYFUNCTION("""COMPUTED_VALUE"""),1.31)</f>
        <v>1.31</v>
      </c>
      <c r="C1605" s="1">
        <f>IFERROR(__xludf.DUMMYFUNCTION("""COMPUTED_VALUE"""),1.33)</f>
        <v>1.33</v>
      </c>
      <c r="D1605" s="1">
        <f>IFERROR(__xludf.DUMMYFUNCTION("""COMPUTED_VALUE"""),1.3)</f>
        <v>1.3</v>
      </c>
      <c r="E1605" s="1">
        <f>IFERROR(__xludf.DUMMYFUNCTION("""COMPUTED_VALUE"""),1.31)</f>
        <v>1.31</v>
      </c>
      <c r="F1605" s="1">
        <f>IFERROR(__xludf.DUMMYFUNCTION("""COMPUTED_VALUE"""),211226.0)</f>
        <v>211226</v>
      </c>
    </row>
    <row r="1606">
      <c r="A1606" s="2">
        <f>IFERROR(__xludf.DUMMYFUNCTION("""COMPUTED_VALUE"""),41498.666666666664)</f>
        <v>41498.66667</v>
      </c>
      <c r="B1606" s="1">
        <f>IFERROR(__xludf.DUMMYFUNCTION("""COMPUTED_VALUE"""),1.29)</f>
        <v>1.29</v>
      </c>
      <c r="C1606" s="1">
        <f>IFERROR(__xludf.DUMMYFUNCTION("""COMPUTED_VALUE"""),1.34)</f>
        <v>1.34</v>
      </c>
      <c r="D1606" s="1">
        <f>IFERROR(__xludf.DUMMYFUNCTION("""COMPUTED_VALUE"""),1.29)</f>
        <v>1.29</v>
      </c>
      <c r="E1606" s="1">
        <f>IFERROR(__xludf.DUMMYFUNCTION("""COMPUTED_VALUE"""),1.34)</f>
        <v>1.34</v>
      </c>
      <c r="F1606" s="1">
        <f>IFERROR(__xludf.DUMMYFUNCTION("""COMPUTED_VALUE"""),160269.0)</f>
        <v>160269</v>
      </c>
    </row>
    <row r="1607">
      <c r="A1607" s="2">
        <f>IFERROR(__xludf.DUMMYFUNCTION("""COMPUTED_VALUE"""),41499.666666666664)</f>
        <v>41499.66667</v>
      </c>
      <c r="B1607" s="1">
        <f>IFERROR(__xludf.DUMMYFUNCTION("""COMPUTED_VALUE"""),1.34)</f>
        <v>1.34</v>
      </c>
      <c r="C1607" s="1">
        <f>IFERROR(__xludf.DUMMYFUNCTION("""COMPUTED_VALUE"""),1.34)</f>
        <v>1.34</v>
      </c>
      <c r="D1607" s="1">
        <f>IFERROR(__xludf.DUMMYFUNCTION("""COMPUTED_VALUE"""),1.32)</f>
        <v>1.32</v>
      </c>
      <c r="E1607" s="1">
        <f>IFERROR(__xludf.DUMMYFUNCTION("""COMPUTED_VALUE"""),1.33)</f>
        <v>1.33</v>
      </c>
      <c r="F1607" s="1">
        <f>IFERROR(__xludf.DUMMYFUNCTION("""COMPUTED_VALUE"""),97858.0)</f>
        <v>97858</v>
      </c>
    </row>
    <row r="1608">
      <c r="A1608" s="2">
        <f>IFERROR(__xludf.DUMMYFUNCTION("""COMPUTED_VALUE"""),41500.666666666664)</f>
        <v>41500.66667</v>
      </c>
      <c r="B1608" s="1">
        <f>IFERROR(__xludf.DUMMYFUNCTION("""COMPUTED_VALUE"""),1.32)</f>
        <v>1.32</v>
      </c>
      <c r="C1608" s="1">
        <f>IFERROR(__xludf.DUMMYFUNCTION("""COMPUTED_VALUE"""),1.35)</f>
        <v>1.35</v>
      </c>
      <c r="D1608" s="1">
        <f>IFERROR(__xludf.DUMMYFUNCTION("""COMPUTED_VALUE"""),1.32)</f>
        <v>1.32</v>
      </c>
      <c r="E1608" s="1">
        <f>IFERROR(__xludf.DUMMYFUNCTION("""COMPUTED_VALUE"""),1.33)</f>
        <v>1.33</v>
      </c>
      <c r="F1608" s="1">
        <f>IFERROR(__xludf.DUMMYFUNCTION("""COMPUTED_VALUE"""),106988.0)</f>
        <v>106988</v>
      </c>
    </row>
    <row r="1609">
      <c r="A1609" s="2">
        <f>IFERROR(__xludf.DUMMYFUNCTION("""COMPUTED_VALUE"""),41501.666666666664)</f>
        <v>41501.66667</v>
      </c>
      <c r="B1609" s="1">
        <f>IFERROR(__xludf.DUMMYFUNCTION("""COMPUTED_VALUE"""),1.31)</f>
        <v>1.31</v>
      </c>
      <c r="C1609" s="1">
        <f>IFERROR(__xludf.DUMMYFUNCTION("""COMPUTED_VALUE"""),1.32)</f>
        <v>1.32</v>
      </c>
      <c r="D1609" s="1">
        <f>IFERROR(__xludf.DUMMYFUNCTION("""COMPUTED_VALUE"""),1.27)</f>
        <v>1.27</v>
      </c>
      <c r="E1609" s="1">
        <f>IFERROR(__xludf.DUMMYFUNCTION("""COMPUTED_VALUE"""),1.3)</f>
        <v>1.3</v>
      </c>
      <c r="F1609" s="1">
        <f>IFERROR(__xludf.DUMMYFUNCTION("""COMPUTED_VALUE"""),103131.0)</f>
        <v>103131</v>
      </c>
    </row>
    <row r="1610">
      <c r="A1610" s="2">
        <f>IFERROR(__xludf.DUMMYFUNCTION("""COMPUTED_VALUE"""),41502.666666666664)</f>
        <v>41502.66667</v>
      </c>
      <c r="B1610" s="1">
        <f>IFERROR(__xludf.DUMMYFUNCTION("""COMPUTED_VALUE"""),1.3)</f>
        <v>1.3</v>
      </c>
      <c r="C1610" s="1">
        <f>IFERROR(__xludf.DUMMYFUNCTION("""COMPUTED_VALUE"""),1.33)</f>
        <v>1.33</v>
      </c>
      <c r="D1610" s="1">
        <f>IFERROR(__xludf.DUMMYFUNCTION("""COMPUTED_VALUE"""),1.3)</f>
        <v>1.3</v>
      </c>
      <c r="E1610" s="1">
        <f>IFERROR(__xludf.DUMMYFUNCTION("""COMPUTED_VALUE"""),1.31)</f>
        <v>1.31</v>
      </c>
      <c r="F1610" s="1">
        <f>IFERROR(__xludf.DUMMYFUNCTION("""COMPUTED_VALUE"""),171337.0)</f>
        <v>171337</v>
      </c>
    </row>
    <row r="1611">
      <c r="A1611" s="2">
        <f>IFERROR(__xludf.DUMMYFUNCTION("""COMPUTED_VALUE"""),41505.666666666664)</f>
        <v>41505.66667</v>
      </c>
      <c r="B1611" s="1">
        <f>IFERROR(__xludf.DUMMYFUNCTION("""COMPUTED_VALUE"""),1.31)</f>
        <v>1.31</v>
      </c>
      <c r="C1611" s="1">
        <f>IFERROR(__xludf.DUMMYFUNCTION("""COMPUTED_VALUE"""),1.31)</f>
        <v>1.31</v>
      </c>
      <c r="D1611" s="1">
        <f>IFERROR(__xludf.DUMMYFUNCTION("""COMPUTED_VALUE"""),1.28)</f>
        <v>1.28</v>
      </c>
      <c r="E1611" s="1">
        <f>IFERROR(__xludf.DUMMYFUNCTION("""COMPUTED_VALUE"""),1.28)</f>
        <v>1.28</v>
      </c>
      <c r="F1611" s="1">
        <f>IFERROR(__xludf.DUMMYFUNCTION("""COMPUTED_VALUE"""),190432.0)</f>
        <v>190432</v>
      </c>
    </row>
    <row r="1612">
      <c r="A1612" s="2">
        <f>IFERROR(__xludf.DUMMYFUNCTION("""COMPUTED_VALUE"""),41506.666666666664)</f>
        <v>41506.66667</v>
      </c>
      <c r="B1612" s="1">
        <f>IFERROR(__xludf.DUMMYFUNCTION("""COMPUTED_VALUE"""),1.29)</f>
        <v>1.29</v>
      </c>
      <c r="C1612" s="1">
        <f>IFERROR(__xludf.DUMMYFUNCTION("""COMPUTED_VALUE"""),1.32)</f>
        <v>1.32</v>
      </c>
      <c r="D1612" s="1">
        <f>IFERROR(__xludf.DUMMYFUNCTION("""COMPUTED_VALUE"""),1.29)</f>
        <v>1.29</v>
      </c>
      <c r="E1612" s="1">
        <f>IFERROR(__xludf.DUMMYFUNCTION("""COMPUTED_VALUE"""),1.31)</f>
        <v>1.31</v>
      </c>
      <c r="F1612" s="1">
        <f>IFERROR(__xludf.DUMMYFUNCTION("""COMPUTED_VALUE"""),89046.0)</f>
        <v>89046</v>
      </c>
    </row>
    <row r="1613">
      <c r="A1613" s="2">
        <f>IFERROR(__xludf.DUMMYFUNCTION("""COMPUTED_VALUE"""),41507.666666666664)</f>
        <v>41507.66667</v>
      </c>
      <c r="B1613" s="1">
        <f>IFERROR(__xludf.DUMMYFUNCTION("""COMPUTED_VALUE"""),1.3)</f>
        <v>1.3</v>
      </c>
      <c r="C1613" s="1">
        <f>IFERROR(__xludf.DUMMYFUNCTION("""COMPUTED_VALUE"""),1.32)</f>
        <v>1.32</v>
      </c>
      <c r="D1613" s="1">
        <f>IFERROR(__xludf.DUMMYFUNCTION("""COMPUTED_VALUE"""),1.28)</f>
        <v>1.28</v>
      </c>
      <c r="E1613" s="1">
        <f>IFERROR(__xludf.DUMMYFUNCTION("""COMPUTED_VALUE"""),1.3)</f>
        <v>1.3</v>
      </c>
      <c r="F1613" s="1">
        <f>IFERROR(__xludf.DUMMYFUNCTION("""COMPUTED_VALUE"""),122534.0)</f>
        <v>122534</v>
      </c>
    </row>
    <row r="1614">
      <c r="A1614" s="2">
        <f>IFERROR(__xludf.DUMMYFUNCTION("""COMPUTED_VALUE"""),41508.666666666664)</f>
        <v>41508.66667</v>
      </c>
      <c r="B1614" s="1">
        <f>IFERROR(__xludf.DUMMYFUNCTION("""COMPUTED_VALUE"""),1.31)</f>
        <v>1.31</v>
      </c>
      <c r="C1614" s="1">
        <f>IFERROR(__xludf.DUMMYFUNCTION("""COMPUTED_VALUE"""),1.32)</f>
        <v>1.32</v>
      </c>
      <c r="D1614" s="1">
        <f>IFERROR(__xludf.DUMMYFUNCTION("""COMPUTED_VALUE"""),1.31)</f>
        <v>1.31</v>
      </c>
      <c r="E1614" s="1">
        <f>IFERROR(__xludf.DUMMYFUNCTION("""COMPUTED_VALUE"""),1.32)</f>
        <v>1.32</v>
      </c>
      <c r="F1614" s="1">
        <f>IFERROR(__xludf.DUMMYFUNCTION("""COMPUTED_VALUE"""),60452.0)</f>
        <v>60452</v>
      </c>
    </row>
    <row r="1615">
      <c r="A1615" s="2">
        <f>IFERROR(__xludf.DUMMYFUNCTION("""COMPUTED_VALUE"""),41509.666666666664)</f>
        <v>41509.66667</v>
      </c>
      <c r="B1615" s="1">
        <f>IFERROR(__xludf.DUMMYFUNCTION("""COMPUTED_VALUE"""),1.32)</f>
        <v>1.32</v>
      </c>
      <c r="C1615" s="1">
        <f>IFERROR(__xludf.DUMMYFUNCTION("""COMPUTED_VALUE"""),1.33)</f>
        <v>1.33</v>
      </c>
      <c r="D1615" s="1">
        <f>IFERROR(__xludf.DUMMYFUNCTION("""COMPUTED_VALUE"""),1.29)</f>
        <v>1.29</v>
      </c>
      <c r="E1615" s="1">
        <f>IFERROR(__xludf.DUMMYFUNCTION("""COMPUTED_VALUE"""),1.31)</f>
        <v>1.31</v>
      </c>
      <c r="F1615" s="1">
        <f>IFERROR(__xludf.DUMMYFUNCTION("""COMPUTED_VALUE"""),99821.0)</f>
        <v>99821</v>
      </c>
    </row>
    <row r="1616">
      <c r="A1616" s="2">
        <f>IFERROR(__xludf.DUMMYFUNCTION("""COMPUTED_VALUE"""),41512.666666666664)</f>
        <v>41512.66667</v>
      </c>
      <c r="B1616" s="1">
        <f>IFERROR(__xludf.DUMMYFUNCTION("""COMPUTED_VALUE"""),1.31)</f>
        <v>1.31</v>
      </c>
      <c r="C1616" s="1">
        <f>IFERROR(__xludf.DUMMYFUNCTION("""COMPUTED_VALUE"""),1.32)</f>
        <v>1.32</v>
      </c>
      <c r="D1616" s="1">
        <f>IFERROR(__xludf.DUMMYFUNCTION("""COMPUTED_VALUE"""),1.29)</f>
        <v>1.29</v>
      </c>
      <c r="E1616" s="1">
        <f>IFERROR(__xludf.DUMMYFUNCTION("""COMPUTED_VALUE"""),1.3)</f>
        <v>1.3</v>
      </c>
      <c r="F1616" s="1">
        <f>IFERROR(__xludf.DUMMYFUNCTION("""COMPUTED_VALUE"""),81717.0)</f>
        <v>81717</v>
      </c>
    </row>
    <row r="1617">
      <c r="A1617" s="2">
        <f>IFERROR(__xludf.DUMMYFUNCTION("""COMPUTED_VALUE"""),41513.666666666664)</f>
        <v>41513.66667</v>
      </c>
      <c r="B1617" s="1">
        <f>IFERROR(__xludf.DUMMYFUNCTION("""COMPUTED_VALUE"""),1.29)</f>
        <v>1.29</v>
      </c>
      <c r="C1617" s="1">
        <f>IFERROR(__xludf.DUMMYFUNCTION("""COMPUTED_VALUE"""),1.29)</f>
        <v>1.29</v>
      </c>
      <c r="D1617" s="1">
        <f>IFERROR(__xludf.DUMMYFUNCTION("""COMPUTED_VALUE"""),1.25)</f>
        <v>1.25</v>
      </c>
      <c r="E1617" s="1">
        <f>IFERROR(__xludf.DUMMYFUNCTION("""COMPUTED_VALUE"""),1.26)</f>
        <v>1.26</v>
      </c>
      <c r="F1617" s="1">
        <f>IFERROR(__xludf.DUMMYFUNCTION("""COMPUTED_VALUE"""),126738.0)</f>
        <v>126738</v>
      </c>
    </row>
    <row r="1618">
      <c r="A1618" s="2">
        <f>IFERROR(__xludf.DUMMYFUNCTION("""COMPUTED_VALUE"""),41514.666666666664)</f>
        <v>41514.66667</v>
      </c>
      <c r="B1618" s="1">
        <f>IFERROR(__xludf.DUMMYFUNCTION("""COMPUTED_VALUE"""),1.26)</f>
        <v>1.26</v>
      </c>
      <c r="C1618" s="1">
        <f>IFERROR(__xludf.DUMMYFUNCTION("""COMPUTED_VALUE"""),1.28)</f>
        <v>1.28</v>
      </c>
      <c r="D1618" s="1">
        <f>IFERROR(__xludf.DUMMYFUNCTION("""COMPUTED_VALUE"""),1.26)</f>
        <v>1.26</v>
      </c>
      <c r="E1618" s="1">
        <f>IFERROR(__xludf.DUMMYFUNCTION("""COMPUTED_VALUE"""),1.27)</f>
        <v>1.27</v>
      </c>
      <c r="F1618" s="1">
        <f>IFERROR(__xludf.DUMMYFUNCTION("""COMPUTED_VALUE"""),83413.0)</f>
        <v>83413</v>
      </c>
    </row>
    <row r="1619">
      <c r="A1619" s="2">
        <f>IFERROR(__xludf.DUMMYFUNCTION("""COMPUTED_VALUE"""),41515.666666666664)</f>
        <v>41515.66667</v>
      </c>
      <c r="B1619" s="1">
        <f>IFERROR(__xludf.DUMMYFUNCTION("""COMPUTED_VALUE"""),1.27)</f>
        <v>1.27</v>
      </c>
      <c r="C1619" s="1">
        <f>IFERROR(__xludf.DUMMYFUNCTION("""COMPUTED_VALUE"""),1.31)</f>
        <v>1.31</v>
      </c>
      <c r="D1619" s="1">
        <f>IFERROR(__xludf.DUMMYFUNCTION("""COMPUTED_VALUE"""),1.27)</f>
        <v>1.27</v>
      </c>
      <c r="E1619" s="1">
        <f>IFERROR(__xludf.DUMMYFUNCTION("""COMPUTED_VALUE"""),1.3)</f>
        <v>1.3</v>
      </c>
      <c r="F1619" s="1">
        <f>IFERROR(__xludf.DUMMYFUNCTION("""COMPUTED_VALUE"""),172161.0)</f>
        <v>172161</v>
      </c>
    </row>
    <row r="1620">
      <c r="A1620" s="2">
        <f>IFERROR(__xludf.DUMMYFUNCTION("""COMPUTED_VALUE"""),41516.666666666664)</f>
        <v>41516.66667</v>
      </c>
      <c r="B1620" s="1">
        <f>IFERROR(__xludf.DUMMYFUNCTION("""COMPUTED_VALUE"""),1.3)</f>
        <v>1.3</v>
      </c>
      <c r="C1620" s="1">
        <f>IFERROR(__xludf.DUMMYFUNCTION("""COMPUTED_VALUE"""),1.3)</f>
        <v>1.3</v>
      </c>
      <c r="D1620" s="1">
        <f>IFERROR(__xludf.DUMMYFUNCTION("""COMPUTED_VALUE"""),1.27)</f>
        <v>1.27</v>
      </c>
      <c r="E1620" s="1">
        <f>IFERROR(__xludf.DUMMYFUNCTION("""COMPUTED_VALUE"""),1.28)</f>
        <v>1.28</v>
      </c>
      <c r="F1620" s="1">
        <f>IFERROR(__xludf.DUMMYFUNCTION("""COMPUTED_VALUE"""),158035.0)</f>
        <v>158035</v>
      </c>
    </row>
    <row r="1621">
      <c r="A1621" s="2">
        <f>IFERROR(__xludf.DUMMYFUNCTION("""COMPUTED_VALUE"""),41520.666666666664)</f>
        <v>41520.66667</v>
      </c>
      <c r="B1621" s="1">
        <f>IFERROR(__xludf.DUMMYFUNCTION("""COMPUTED_VALUE"""),1.31)</f>
        <v>1.31</v>
      </c>
      <c r="C1621" s="1">
        <f>IFERROR(__xludf.DUMMYFUNCTION("""COMPUTED_VALUE"""),1.33)</f>
        <v>1.33</v>
      </c>
      <c r="D1621" s="1">
        <f>IFERROR(__xludf.DUMMYFUNCTION("""COMPUTED_VALUE"""),1.28)</f>
        <v>1.28</v>
      </c>
      <c r="E1621" s="1">
        <f>IFERROR(__xludf.DUMMYFUNCTION("""COMPUTED_VALUE"""),1.31)</f>
        <v>1.31</v>
      </c>
      <c r="F1621" s="1">
        <f>IFERROR(__xludf.DUMMYFUNCTION("""COMPUTED_VALUE"""),126253.0)</f>
        <v>126253</v>
      </c>
    </row>
    <row r="1622">
      <c r="A1622" s="2">
        <f>IFERROR(__xludf.DUMMYFUNCTION("""COMPUTED_VALUE"""),41521.666666666664)</f>
        <v>41521.66667</v>
      </c>
      <c r="B1622" s="1">
        <f>IFERROR(__xludf.DUMMYFUNCTION("""COMPUTED_VALUE"""),1.31)</f>
        <v>1.31</v>
      </c>
      <c r="C1622" s="1">
        <f>IFERROR(__xludf.DUMMYFUNCTION("""COMPUTED_VALUE"""),1.31)</f>
        <v>1.31</v>
      </c>
      <c r="D1622" s="1">
        <f>IFERROR(__xludf.DUMMYFUNCTION("""COMPUTED_VALUE"""),1.3)</f>
        <v>1.3</v>
      </c>
      <c r="E1622" s="1">
        <f>IFERROR(__xludf.DUMMYFUNCTION("""COMPUTED_VALUE"""),1.3)</f>
        <v>1.3</v>
      </c>
      <c r="F1622" s="1">
        <f>IFERROR(__xludf.DUMMYFUNCTION("""COMPUTED_VALUE"""),185475.0)</f>
        <v>185475</v>
      </c>
    </row>
    <row r="1623">
      <c r="A1623" s="2">
        <f>IFERROR(__xludf.DUMMYFUNCTION("""COMPUTED_VALUE"""),41522.666666666664)</f>
        <v>41522.66667</v>
      </c>
      <c r="B1623" s="1">
        <f>IFERROR(__xludf.DUMMYFUNCTION("""COMPUTED_VALUE"""),1.31)</f>
        <v>1.31</v>
      </c>
      <c r="C1623" s="1">
        <f>IFERROR(__xludf.DUMMYFUNCTION("""COMPUTED_VALUE"""),1.32)</f>
        <v>1.32</v>
      </c>
      <c r="D1623" s="1">
        <f>IFERROR(__xludf.DUMMYFUNCTION("""COMPUTED_VALUE"""),1.3)</f>
        <v>1.3</v>
      </c>
      <c r="E1623" s="1">
        <f>IFERROR(__xludf.DUMMYFUNCTION("""COMPUTED_VALUE"""),1.3)</f>
        <v>1.3</v>
      </c>
      <c r="F1623" s="1">
        <f>IFERROR(__xludf.DUMMYFUNCTION("""COMPUTED_VALUE"""),88706.0)</f>
        <v>88706</v>
      </c>
    </row>
    <row r="1624">
      <c r="A1624" s="2">
        <f>IFERROR(__xludf.DUMMYFUNCTION("""COMPUTED_VALUE"""),41523.666666666664)</f>
        <v>41523.66667</v>
      </c>
      <c r="B1624" s="1">
        <f>IFERROR(__xludf.DUMMYFUNCTION("""COMPUTED_VALUE"""),1.3)</f>
        <v>1.3</v>
      </c>
      <c r="C1624" s="1">
        <f>IFERROR(__xludf.DUMMYFUNCTION("""COMPUTED_VALUE"""),1.31)</f>
        <v>1.31</v>
      </c>
      <c r="D1624" s="1">
        <f>IFERROR(__xludf.DUMMYFUNCTION("""COMPUTED_VALUE"""),1.26)</f>
        <v>1.26</v>
      </c>
      <c r="E1624" s="1">
        <f>IFERROR(__xludf.DUMMYFUNCTION("""COMPUTED_VALUE"""),1.3)</f>
        <v>1.3</v>
      </c>
      <c r="F1624" s="1">
        <f>IFERROR(__xludf.DUMMYFUNCTION("""COMPUTED_VALUE"""),80596.0)</f>
        <v>80596</v>
      </c>
    </row>
    <row r="1625">
      <c r="A1625" s="2">
        <f>IFERROR(__xludf.DUMMYFUNCTION("""COMPUTED_VALUE"""),41526.666666666664)</f>
        <v>41526.66667</v>
      </c>
      <c r="B1625" s="1">
        <f>IFERROR(__xludf.DUMMYFUNCTION("""COMPUTED_VALUE"""),1.3)</f>
        <v>1.3</v>
      </c>
      <c r="C1625" s="1">
        <f>IFERROR(__xludf.DUMMYFUNCTION("""COMPUTED_VALUE"""),1.33)</f>
        <v>1.33</v>
      </c>
      <c r="D1625" s="1">
        <f>IFERROR(__xludf.DUMMYFUNCTION("""COMPUTED_VALUE"""),1.3)</f>
        <v>1.3</v>
      </c>
      <c r="E1625" s="1">
        <f>IFERROR(__xludf.DUMMYFUNCTION("""COMPUTED_VALUE"""),1.32)</f>
        <v>1.32</v>
      </c>
      <c r="F1625" s="1">
        <f>IFERROR(__xludf.DUMMYFUNCTION("""COMPUTED_VALUE"""),91154.0)</f>
        <v>91154</v>
      </c>
    </row>
    <row r="1626">
      <c r="A1626" s="2">
        <f>IFERROR(__xludf.DUMMYFUNCTION("""COMPUTED_VALUE"""),41527.666666666664)</f>
        <v>41527.66667</v>
      </c>
      <c r="B1626" s="1">
        <f>IFERROR(__xludf.DUMMYFUNCTION("""COMPUTED_VALUE"""),1.32)</f>
        <v>1.32</v>
      </c>
      <c r="C1626" s="1">
        <f>IFERROR(__xludf.DUMMYFUNCTION("""COMPUTED_VALUE"""),1.33)</f>
        <v>1.33</v>
      </c>
      <c r="D1626" s="1">
        <f>IFERROR(__xludf.DUMMYFUNCTION("""COMPUTED_VALUE"""),1.31)</f>
        <v>1.31</v>
      </c>
      <c r="E1626" s="1">
        <f>IFERROR(__xludf.DUMMYFUNCTION("""COMPUTED_VALUE"""),1.33)</f>
        <v>1.33</v>
      </c>
      <c r="F1626" s="1">
        <f>IFERROR(__xludf.DUMMYFUNCTION("""COMPUTED_VALUE"""),85553.0)</f>
        <v>85553</v>
      </c>
    </row>
    <row r="1627">
      <c r="A1627" s="2">
        <f>IFERROR(__xludf.DUMMYFUNCTION("""COMPUTED_VALUE"""),41528.666666666664)</f>
        <v>41528.66667</v>
      </c>
      <c r="B1627" s="1">
        <f>IFERROR(__xludf.DUMMYFUNCTION("""COMPUTED_VALUE"""),1.32)</f>
        <v>1.32</v>
      </c>
      <c r="C1627" s="1">
        <f>IFERROR(__xludf.DUMMYFUNCTION("""COMPUTED_VALUE"""),1.35)</f>
        <v>1.35</v>
      </c>
      <c r="D1627" s="1">
        <f>IFERROR(__xludf.DUMMYFUNCTION("""COMPUTED_VALUE"""),1.31)</f>
        <v>1.31</v>
      </c>
      <c r="E1627" s="1">
        <f>IFERROR(__xludf.DUMMYFUNCTION("""COMPUTED_VALUE"""),1.32)</f>
        <v>1.32</v>
      </c>
      <c r="F1627" s="1">
        <f>IFERROR(__xludf.DUMMYFUNCTION("""COMPUTED_VALUE"""),118583.0)</f>
        <v>118583</v>
      </c>
    </row>
    <row r="1628">
      <c r="A1628" s="2">
        <f>IFERROR(__xludf.DUMMYFUNCTION("""COMPUTED_VALUE"""),41529.666666666664)</f>
        <v>41529.66667</v>
      </c>
      <c r="B1628" s="1">
        <f>IFERROR(__xludf.DUMMYFUNCTION("""COMPUTED_VALUE"""),1.32)</f>
        <v>1.32</v>
      </c>
      <c r="C1628" s="1">
        <f>IFERROR(__xludf.DUMMYFUNCTION("""COMPUTED_VALUE"""),1.34)</f>
        <v>1.34</v>
      </c>
      <c r="D1628" s="1">
        <f>IFERROR(__xludf.DUMMYFUNCTION("""COMPUTED_VALUE"""),1.32)</f>
        <v>1.32</v>
      </c>
      <c r="E1628" s="1">
        <f>IFERROR(__xludf.DUMMYFUNCTION("""COMPUTED_VALUE"""),1.33)</f>
        <v>1.33</v>
      </c>
      <c r="F1628" s="1">
        <f>IFERROR(__xludf.DUMMYFUNCTION("""COMPUTED_VALUE"""),84788.0)</f>
        <v>84788</v>
      </c>
    </row>
    <row r="1629">
      <c r="A1629" s="2">
        <f>IFERROR(__xludf.DUMMYFUNCTION("""COMPUTED_VALUE"""),41530.666666666664)</f>
        <v>41530.66667</v>
      </c>
      <c r="B1629" s="1">
        <f>IFERROR(__xludf.DUMMYFUNCTION("""COMPUTED_VALUE"""),1.34)</f>
        <v>1.34</v>
      </c>
      <c r="C1629" s="1">
        <f>IFERROR(__xludf.DUMMYFUNCTION("""COMPUTED_VALUE"""),1.35)</f>
        <v>1.35</v>
      </c>
      <c r="D1629" s="1">
        <f>IFERROR(__xludf.DUMMYFUNCTION("""COMPUTED_VALUE"""),1.32)</f>
        <v>1.32</v>
      </c>
      <c r="E1629" s="1">
        <f>IFERROR(__xludf.DUMMYFUNCTION("""COMPUTED_VALUE"""),1.34)</f>
        <v>1.34</v>
      </c>
      <c r="F1629" s="1">
        <f>IFERROR(__xludf.DUMMYFUNCTION("""COMPUTED_VALUE"""),74290.0)</f>
        <v>74290</v>
      </c>
    </row>
    <row r="1630">
      <c r="A1630" s="2">
        <f>IFERROR(__xludf.DUMMYFUNCTION("""COMPUTED_VALUE"""),41533.666666666664)</f>
        <v>41533.66667</v>
      </c>
      <c r="B1630" s="1">
        <f>IFERROR(__xludf.DUMMYFUNCTION("""COMPUTED_VALUE"""),1.35)</f>
        <v>1.35</v>
      </c>
      <c r="C1630" s="1">
        <f>IFERROR(__xludf.DUMMYFUNCTION("""COMPUTED_VALUE"""),1.35)</f>
        <v>1.35</v>
      </c>
      <c r="D1630" s="1">
        <f>IFERROR(__xludf.DUMMYFUNCTION("""COMPUTED_VALUE"""),1.32)</f>
        <v>1.32</v>
      </c>
      <c r="E1630" s="1">
        <f>IFERROR(__xludf.DUMMYFUNCTION("""COMPUTED_VALUE"""),1.33)</f>
        <v>1.33</v>
      </c>
      <c r="F1630" s="1">
        <f>IFERROR(__xludf.DUMMYFUNCTION("""COMPUTED_VALUE"""),95057.0)</f>
        <v>95057</v>
      </c>
    </row>
    <row r="1631">
      <c r="A1631" s="2">
        <f>IFERROR(__xludf.DUMMYFUNCTION("""COMPUTED_VALUE"""),41534.666666666664)</f>
        <v>41534.66667</v>
      </c>
      <c r="B1631" s="1">
        <f>IFERROR(__xludf.DUMMYFUNCTION("""COMPUTED_VALUE"""),1.33)</f>
        <v>1.33</v>
      </c>
      <c r="C1631" s="1">
        <f>IFERROR(__xludf.DUMMYFUNCTION("""COMPUTED_VALUE"""),1.33)</f>
        <v>1.33</v>
      </c>
      <c r="D1631" s="1">
        <f>IFERROR(__xludf.DUMMYFUNCTION("""COMPUTED_VALUE"""),1.31)</f>
        <v>1.31</v>
      </c>
      <c r="E1631" s="1">
        <f>IFERROR(__xludf.DUMMYFUNCTION("""COMPUTED_VALUE"""),1.32)</f>
        <v>1.32</v>
      </c>
      <c r="F1631" s="1">
        <f>IFERROR(__xludf.DUMMYFUNCTION("""COMPUTED_VALUE"""),154456.0)</f>
        <v>154456</v>
      </c>
    </row>
    <row r="1632">
      <c r="A1632" s="2">
        <f>IFERROR(__xludf.DUMMYFUNCTION("""COMPUTED_VALUE"""),41535.666666666664)</f>
        <v>41535.66667</v>
      </c>
      <c r="B1632" s="1">
        <f>IFERROR(__xludf.DUMMYFUNCTION("""COMPUTED_VALUE"""),1.33)</f>
        <v>1.33</v>
      </c>
      <c r="C1632" s="1">
        <f>IFERROR(__xludf.DUMMYFUNCTION("""COMPUTED_VALUE"""),1.37)</f>
        <v>1.37</v>
      </c>
      <c r="D1632" s="1">
        <f>IFERROR(__xludf.DUMMYFUNCTION("""COMPUTED_VALUE"""),1.32)</f>
        <v>1.32</v>
      </c>
      <c r="E1632" s="1">
        <f>IFERROR(__xludf.DUMMYFUNCTION("""COMPUTED_VALUE"""),1.37)</f>
        <v>1.37</v>
      </c>
      <c r="F1632" s="1">
        <f>IFERROR(__xludf.DUMMYFUNCTION("""COMPUTED_VALUE"""),131418.0)</f>
        <v>131418</v>
      </c>
    </row>
    <row r="1633">
      <c r="A1633" s="2">
        <f>IFERROR(__xludf.DUMMYFUNCTION("""COMPUTED_VALUE"""),41536.666666666664)</f>
        <v>41536.66667</v>
      </c>
      <c r="B1633" s="1">
        <f>IFERROR(__xludf.DUMMYFUNCTION("""COMPUTED_VALUE"""),1.38)</f>
        <v>1.38</v>
      </c>
      <c r="C1633" s="1">
        <f>IFERROR(__xludf.DUMMYFUNCTION("""COMPUTED_VALUE"""),1.38)</f>
        <v>1.38</v>
      </c>
      <c r="D1633" s="1">
        <f>IFERROR(__xludf.DUMMYFUNCTION("""COMPUTED_VALUE"""),1.36)</f>
        <v>1.36</v>
      </c>
      <c r="E1633" s="1">
        <f>IFERROR(__xludf.DUMMYFUNCTION("""COMPUTED_VALUE"""),1.38)</f>
        <v>1.38</v>
      </c>
      <c r="F1633" s="1">
        <f>IFERROR(__xludf.DUMMYFUNCTION("""COMPUTED_VALUE"""),129991.0)</f>
        <v>129991</v>
      </c>
    </row>
    <row r="1634">
      <c r="A1634" s="2">
        <f>IFERROR(__xludf.DUMMYFUNCTION("""COMPUTED_VALUE"""),41537.666666666664)</f>
        <v>41537.66667</v>
      </c>
      <c r="B1634" s="1">
        <f>IFERROR(__xludf.DUMMYFUNCTION("""COMPUTED_VALUE"""),1.37)</f>
        <v>1.37</v>
      </c>
      <c r="C1634" s="1">
        <f>IFERROR(__xludf.DUMMYFUNCTION("""COMPUTED_VALUE"""),1.38)</f>
        <v>1.38</v>
      </c>
      <c r="D1634" s="1">
        <f>IFERROR(__xludf.DUMMYFUNCTION("""COMPUTED_VALUE"""),1.35)</f>
        <v>1.35</v>
      </c>
      <c r="E1634" s="1">
        <f>IFERROR(__xludf.DUMMYFUNCTION("""COMPUTED_VALUE"""),1.37)</f>
        <v>1.37</v>
      </c>
      <c r="F1634" s="1">
        <f>IFERROR(__xludf.DUMMYFUNCTION("""COMPUTED_VALUE"""),782597.0)</f>
        <v>782597</v>
      </c>
    </row>
    <row r="1635">
      <c r="A1635" s="2">
        <f>IFERROR(__xludf.DUMMYFUNCTION("""COMPUTED_VALUE"""),41540.666666666664)</f>
        <v>41540.66667</v>
      </c>
      <c r="B1635" s="1">
        <f>IFERROR(__xludf.DUMMYFUNCTION("""COMPUTED_VALUE"""),1.37)</f>
        <v>1.37</v>
      </c>
      <c r="C1635" s="1">
        <f>IFERROR(__xludf.DUMMYFUNCTION("""COMPUTED_VALUE"""),1.38)</f>
        <v>1.38</v>
      </c>
      <c r="D1635" s="1">
        <f>IFERROR(__xludf.DUMMYFUNCTION("""COMPUTED_VALUE"""),1.32)</f>
        <v>1.32</v>
      </c>
      <c r="E1635" s="1">
        <f>IFERROR(__xludf.DUMMYFUNCTION("""COMPUTED_VALUE"""),1.34)</f>
        <v>1.34</v>
      </c>
      <c r="F1635" s="1">
        <f>IFERROR(__xludf.DUMMYFUNCTION("""COMPUTED_VALUE"""),176923.0)</f>
        <v>176923</v>
      </c>
    </row>
    <row r="1636">
      <c r="A1636" s="2">
        <f>IFERROR(__xludf.DUMMYFUNCTION("""COMPUTED_VALUE"""),41541.666666666664)</f>
        <v>41541.66667</v>
      </c>
      <c r="B1636" s="1">
        <f>IFERROR(__xludf.DUMMYFUNCTION("""COMPUTED_VALUE"""),1.35)</f>
        <v>1.35</v>
      </c>
      <c r="C1636" s="1">
        <f>IFERROR(__xludf.DUMMYFUNCTION("""COMPUTED_VALUE"""),1.38)</f>
        <v>1.38</v>
      </c>
      <c r="D1636" s="1">
        <f>IFERROR(__xludf.DUMMYFUNCTION("""COMPUTED_VALUE"""),1.33)</f>
        <v>1.33</v>
      </c>
      <c r="E1636" s="1">
        <f>IFERROR(__xludf.DUMMYFUNCTION("""COMPUTED_VALUE"""),1.35)</f>
        <v>1.35</v>
      </c>
      <c r="F1636" s="1">
        <f>IFERROR(__xludf.DUMMYFUNCTION("""COMPUTED_VALUE"""),174712.0)</f>
        <v>174712</v>
      </c>
    </row>
    <row r="1637">
      <c r="A1637" s="2">
        <f>IFERROR(__xludf.DUMMYFUNCTION("""COMPUTED_VALUE"""),41542.666666666664)</f>
        <v>41542.66667</v>
      </c>
      <c r="B1637" s="1">
        <f>IFERROR(__xludf.DUMMYFUNCTION("""COMPUTED_VALUE"""),1.35)</f>
        <v>1.35</v>
      </c>
      <c r="C1637" s="1">
        <f>IFERROR(__xludf.DUMMYFUNCTION("""COMPUTED_VALUE"""),1.38)</f>
        <v>1.38</v>
      </c>
      <c r="D1637" s="1">
        <f>IFERROR(__xludf.DUMMYFUNCTION("""COMPUTED_VALUE"""),1.34)</f>
        <v>1.34</v>
      </c>
      <c r="E1637" s="1">
        <f>IFERROR(__xludf.DUMMYFUNCTION("""COMPUTED_VALUE"""),1.35)</f>
        <v>1.35</v>
      </c>
      <c r="F1637" s="1">
        <f>IFERROR(__xludf.DUMMYFUNCTION("""COMPUTED_VALUE"""),112335.0)</f>
        <v>112335</v>
      </c>
    </row>
    <row r="1638">
      <c r="A1638" s="2">
        <f>IFERROR(__xludf.DUMMYFUNCTION("""COMPUTED_VALUE"""),41543.666666666664)</f>
        <v>41543.66667</v>
      </c>
      <c r="B1638" s="1">
        <f>IFERROR(__xludf.DUMMYFUNCTION("""COMPUTED_VALUE"""),1.36)</f>
        <v>1.36</v>
      </c>
      <c r="C1638" s="1">
        <f>IFERROR(__xludf.DUMMYFUNCTION("""COMPUTED_VALUE"""),1.37)</f>
        <v>1.37</v>
      </c>
      <c r="D1638" s="1">
        <f>IFERROR(__xludf.DUMMYFUNCTION("""COMPUTED_VALUE"""),1.34)</f>
        <v>1.34</v>
      </c>
      <c r="E1638" s="1">
        <f>IFERROR(__xludf.DUMMYFUNCTION("""COMPUTED_VALUE"""),1.36)</f>
        <v>1.36</v>
      </c>
      <c r="F1638" s="1">
        <f>IFERROR(__xludf.DUMMYFUNCTION("""COMPUTED_VALUE"""),112476.0)</f>
        <v>112476</v>
      </c>
    </row>
    <row r="1639">
      <c r="A1639" s="2">
        <f>IFERROR(__xludf.DUMMYFUNCTION("""COMPUTED_VALUE"""),41544.666666666664)</f>
        <v>41544.66667</v>
      </c>
      <c r="B1639" s="1">
        <f>IFERROR(__xludf.DUMMYFUNCTION("""COMPUTED_VALUE"""),1.34)</f>
        <v>1.34</v>
      </c>
      <c r="C1639" s="1">
        <f>IFERROR(__xludf.DUMMYFUNCTION("""COMPUTED_VALUE"""),1.36)</f>
        <v>1.36</v>
      </c>
      <c r="D1639" s="1">
        <f>IFERROR(__xludf.DUMMYFUNCTION("""COMPUTED_VALUE"""),1.33)</f>
        <v>1.33</v>
      </c>
      <c r="E1639" s="1">
        <f>IFERROR(__xludf.DUMMYFUNCTION("""COMPUTED_VALUE"""),1.34)</f>
        <v>1.34</v>
      </c>
      <c r="F1639" s="1">
        <f>IFERROR(__xludf.DUMMYFUNCTION("""COMPUTED_VALUE"""),73078.0)</f>
        <v>73078</v>
      </c>
    </row>
    <row r="1640">
      <c r="A1640" s="2">
        <f>IFERROR(__xludf.DUMMYFUNCTION("""COMPUTED_VALUE"""),41547.666666666664)</f>
        <v>41547.66667</v>
      </c>
      <c r="B1640" s="1">
        <f>IFERROR(__xludf.DUMMYFUNCTION("""COMPUTED_VALUE"""),1.33)</f>
        <v>1.33</v>
      </c>
      <c r="C1640" s="1">
        <f>IFERROR(__xludf.DUMMYFUNCTION("""COMPUTED_VALUE"""),1.35)</f>
        <v>1.35</v>
      </c>
      <c r="D1640" s="1">
        <f>IFERROR(__xludf.DUMMYFUNCTION("""COMPUTED_VALUE"""),1.31)</f>
        <v>1.31</v>
      </c>
      <c r="E1640" s="1">
        <f>IFERROR(__xludf.DUMMYFUNCTION("""COMPUTED_VALUE"""),1.35)</f>
        <v>1.35</v>
      </c>
      <c r="F1640" s="1">
        <f>IFERROR(__xludf.DUMMYFUNCTION("""COMPUTED_VALUE"""),128360.0)</f>
        <v>128360</v>
      </c>
    </row>
    <row r="1641">
      <c r="A1641" s="2">
        <f>IFERROR(__xludf.DUMMYFUNCTION("""COMPUTED_VALUE"""),41548.666666666664)</f>
        <v>41548.66667</v>
      </c>
      <c r="B1641" s="1">
        <f>IFERROR(__xludf.DUMMYFUNCTION("""COMPUTED_VALUE"""),1.36)</f>
        <v>1.36</v>
      </c>
      <c r="C1641" s="1">
        <f>IFERROR(__xludf.DUMMYFUNCTION("""COMPUTED_VALUE"""),1.41)</f>
        <v>1.41</v>
      </c>
      <c r="D1641" s="1">
        <f>IFERROR(__xludf.DUMMYFUNCTION("""COMPUTED_VALUE"""),1.36)</f>
        <v>1.36</v>
      </c>
      <c r="E1641" s="1">
        <f>IFERROR(__xludf.DUMMYFUNCTION("""COMPUTED_VALUE"""),1.41)</f>
        <v>1.41</v>
      </c>
      <c r="F1641" s="1">
        <f>IFERROR(__xludf.DUMMYFUNCTION("""COMPUTED_VALUE"""),167902.0)</f>
        <v>167902</v>
      </c>
    </row>
    <row r="1642">
      <c r="A1642" s="2">
        <f>IFERROR(__xludf.DUMMYFUNCTION("""COMPUTED_VALUE"""),41549.666666666664)</f>
        <v>41549.66667</v>
      </c>
      <c r="B1642" s="1">
        <f>IFERROR(__xludf.DUMMYFUNCTION("""COMPUTED_VALUE"""),1.4)</f>
        <v>1.4</v>
      </c>
      <c r="C1642" s="1">
        <f>IFERROR(__xludf.DUMMYFUNCTION("""COMPUTED_VALUE"""),1.4)</f>
        <v>1.4</v>
      </c>
      <c r="D1642" s="1">
        <f>IFERROR(__xludf.DUMMYFUNCTION("""COMPUTED_VALUE"""),1.38)</f>
        <v>1.38</v>
      </c>
      <c r="E1642" s="1">
        <f>IFERROR(__xludf.DUMMYFUNCTION("""COMPUTED_VALUE"""),1.39)</f>
        <v>1.39</v>
      </c>
      <c r="F1642" s="1">
        <f>IFERROR(__xludf.DUMMYFUNCTION("""COMPUTED_VALUE"""),106026.0)</f>
        <v>106026</v>
      </c>
    </row>
    <row r="1643">
      <c r="A1643" s="2">
        <f>IFERROR(__xludf.DUMMYFUNCTION("""COMPUTED_VALUE"""),41550.666666666664)</f>
        <v>41550.66667</v>
      </c>
      <c r="B1643" s="1">
        <f>IFERROR(__xludf.DUMMYFUNCTION("""COMPUTED_VALUE"""),1.39)</f>
        <v>1.39</v>
      </c>
      <c r="C1643" s="1">
        <f>IFERROR(__xludf.DUMMYFUNCTION("""COMPUTED_VALUE"""),1.4)</f>
        <v>1.4</v>
      </c>
      <c r="D1643" s="1">
        <f>IFERROR(__xludf.DUMMYFUNCTION("""COMPUTED_VALUE"""),1.38)</f>
        <v>1.38</v>
      </c>
      <c r="E1643" s="1">
        <f>IFERROR(__xludf.DUMMYFUNCTION("""COMPUTED_VALUE"""),1.38)</f>
        <v>1.38</v>
      </c>
      <c r="F1643" s="1">
        <f>IFERROR(__xludf.DUMMYFUNCTION("""COMPUTED_VALUE"""),107909.0)</f>
        <v>107909</v>
      </c>
    </row>
    <row r="1644">
      <c r="A1644" s="2">
        <f>IFERROR(__xludf.DUMMYFUNCTION("""COMPUTED_VALUE"""),41551.666666666664)</f>
        <v>41551.66667</v>
      </c>
      <c r="B1644" s="1">
        <f>IFERROR(__xludf.DUMMYFUNCTION("""COMPUTED_VALUE"""),1.38)</f>
        <v>1.38</v>
      </c>
      <c r="C1644" s="1">
        <f>IFERROR(__xludf.DUMMYFUNCTION("""COMPUTED_VALUE"""),1.4)</f>
        <v>1.4</v>
      </c>
      <c r="D1644" s="1">
        <f>IFERROR(__xludf.DUMMYFUNCTION("""COMPUTED_VALUE"""),1.38)</f>
        <v>1.38</v>
      </c>
      <c r="E1644" s="1">
        <f>IFERROR(__xludf.DUMMYFUNCTION("""COMPUTED_VALUE"""),1.39)</f>
        <v>1.39</v>
      </c>
      <c r="F1644" s="1">
        <f>IFERROR(__xludf.DUMMYFUNCTION("""COMPUTED_VALUE"""),88799.0)</f>
        <v>88799</v>
      </c>
    </row>
    <row r="1645">
      <c r="A1645" s="2">
        <f>IFERROR(__xludf.DUMMYFUNCTION("""COMPUTED_VALUE"""),41554.666666666664)</f>
        <v>41554.66667</v>
      </c>
      <c r="B1645" s="1">
        <f>IFERROR(__xludf.DUMMYFUNCTION("""COMPUTED_VALUE"""),1.38)</f>
        <v>1.38</v>
      </c>
      <c r="C1645" s="1">
        <f>IFERROR(__xludf.DUMMYFUNCTION("""COMPUTED_VALUE"""),1.4)</f>
        <v>1.4</v>
      </c>
      <c r="D1645" s="1">
        <f>IFERROR(__xludf.DUMMYFUNCTION("""COMPUTED_VALUE"""),1.38)</f>
        <v>1.38</v>
      </c>
      <c r="E1645" s="1">
        <f>IFERROR(__xludf.DUMMYFUNCTION("""COMPUTED_VALUE"""),1.4)</f>
        <v>1.4</v>
      </c>
      <c r="F1645" s="1">
        <f>IFERROR(__xludf.DUMMYFUNCTION("""COMPUTED_VALUE"""),193948.0)</f>
        <v>193948</v>
      </c>
    </row>
    <row r="1646">
      <c r="A1646" s="2">
        <f>IFERROR(__xludf.DUMMYFUNCTION("""COMPUTED_VALUE"""),41555.666666666664)</f>
        <v>41555.66667</v>
      </c>
      <c r="B1646" s="1">
        <f>IFERROR(__xludf.DUMMYFUNCTION("""COMPUTED_VALUE"""),1.4)</f>
        <v>1.4</v>
      </c>
      <c r="C1646" s="1">
        <f>IFERROR(__xludf.DUMMYFUNCTION("""COMPUTED_VALUE"""),1.4)</f>
        <v>1.4</v>
      </c>
      <c r="D1646" s="1">
        <f>IFERROR(__xludf.DUMMYFUNCTION("""COMPUTED_VALUE"""),1.36)</f>
        <v>1.36</v>
      </c>
      <c r="E1646" s="1">
        <f>IFERROR(__xludf.DUMMYFUNCTION("""COMPUTED_VALUE"""),1.37)</f>
        <v>1.37</v>
      </c>
      <c r="F1646" s="1">
        <f>IFERROR(__xludf.DUMMYFUNCTION("""COMPUTED_VALUE"""),158473.0)</f>
        <v>158473</v>
      </c>
    </row>
    <row r="1647">
      <c r="A1647" s="2">
        <f>IFERROR(__xludf.DUMMYFUNCTION("""COMPUTED_VALUE"""),41556.666666666664)</f>
        <v>41556.66667</v>
      </c>
      <c r="B1647" s="1">
        <f>IFERROR(__xludf.DUMMYFUNCTION("""COMPUTED_VALUE"""),1.37)</f>
        <v>1.37</v>
      </c>
      <c r="C1647" s="1">
        <f>IFERROR(__xludf.DUMMYFUNCTION("""COMPUTED_VALUE"""),1.38)</f>
        <v>1.38</v>
      </c>
      <c r="D1647" s="1">
        <f>IFERROR(__xludf.DUMMYFUNCTION("""COMPUTED_VALUE"""),1.34)</f>
        <v>1.34</v>
      </c>
      <c r="E1647" s="1">
        <f>IFERROR(__xludf.DUMMYFUNCTION("""COMPUTED_VALUE"""),1.37)</f>
        <v>1.37</v>
      </c>
      <c r="F1647" s="1">
        <f>IFERROR(__xludf.DUMMYFUNCTION("""COMPUTED_VALUE"""),100235.0)</f>
        <v>100235</v>
      </c>
    </row>
    <row r="1648">
      <c r="A1648" s="2">
        <f>IFERROR(__xludf.DUMMYFUNCTION("""COMPUTED_VALUE"""),41557.666666666664)</f>
        <v>41557.66667</v>
      </c>
      <c r="B1648" s="1">
        <f>IFERROR(__xludf.DUMMYFUNCTION("""COMPUTED_VALUE"""),1.39)</f>
        <v>1.39</v>
      </c>
      <c r="C1648" s="1">
        <f>IFERROR(__xludf.DUMMYFUNCTION("""COMPUTED_VALUE"""),1.4)</f>
        <v>1.4</v>
      </c>
      <c r="D1648" s="1">
        <f>IFERROR(__xludf.DUMMYFUNCTION("""COMPUTED_VALUE"""),1.38)</f>
        <v>1.38</v>
      </c>
      <c r="E1648" s="1">
        <f>IFERROR(__xludf.DUMMYFUNCTION("""COMPUTED_VALUE"""),1.4)</f>
        <v>1.4</v>
      </c>
      <c r="F1648" s="1">
        <f>IFERROR(__xludf.DUMMYFUNCTION("""COMPUTED_VALUE"""),100167.0)</f>
        <v>100167</v>
      </c>
    </row>
    <row r="1649">
      <c r="A1649" s="2">
        <f>IFERROR(__xludf.DUMMYFUNCTION("""COMPUTED_VALUE"""),41558.666666666664)</f>
        <v>41558.66667</v>
      </c>
      <c r="B1649" s="1">
        <f>IFERROR(__xludf.DUMMYFUNCTION("""COMPUTED_VALUE"""),1.39)</f>
        <v>1.39</v>
      </c>
      <c r="C1649" s="1">
        <f>IFERROR(__xludf.DUMMYFUNCTION("""COMPUTED_VALUE"""),1.41)</f>
        <v>1.41</v>
      </c>
      <c r="D1649" s="1">
        <f>IFERROR(__xludf.DUMMYFUNCTION("""COMPUTED_VALUE"""),1.39)</f>
        <v>1.39</v>
      </c>
      <c r="E1649" s="1">
        <f>IFERROR(__xludf.DUMMYFUNCTION("""COMPUTED_VALUE"""),1.41)</f>
        <v>1.41</v>
      </c>
      <c r="F1649" s="1">
        <f>IFERROR(__xludf.DUMMYFUNCTION("""COMPUTED_VALUE"""),104571.0)</f>
        <v>104571</v>
      </c>
    </row>
    <row r="1650">
      <c r="A1650" s="2">
        <f>IFERROR(__xludf.DUMMYFUNCTION("""COMPUTED_VALUE"""),41561.666666666664)</f>
        <v>41561.66667</v>
      </c>
      <c r="B1650" s="1">
        <f>IFERROR(__xludf.DUMMYFUNCTION("""COMPUTED_VALUE"""),1.4)</f>
        <v>1.4</v>
      </c>
      <c r="C1650" s="1">
        <f>IFERROR(__xludf.DUMMYFUNCTION("""COMPUTED_VALUE"""),1.45)</f>
        <v>1.45</v>
      </c>
      <c r="D1650" s="1">
        <f>IFERROR(__xludf.DUMMYFUNCTION("""COMPUTED_VALUE"""),1.4)</f>
        <v>1.4</v>
      </c>
      <c r="E1650" s="1">
        <f>IFERROR(__xludf.DUMMYFUNCTION("""COMPUTED_VALUE"""),1.44)</f>
        <v>1.44</v>
      </c>
      <c r="F1650" s="1">
        <f>IFERROR(__xludf.DUMMYFUNCTION("""COMPUTED_VALUE"""),148169.0)</f>
        <v>148169</v>
      </c>
    </row>
    <row r="1651">
      <c r="A1651" s="2">
        <f>IFERROR(__xludf.DUMMYFUNCTION("""COMPUTED_VALUE"""),41562.666666666664)</f>
        <v>41562.66667</v>
      </c>
      <c r="B1651" s="1">
        <f>IFERROR(__xludf.DUMMYFUNCTION("""COMPUTED_VALUE"""),1.44)</f>
        <v>1.44</v>
      </c>
      <c r="C1651" s="1">
        <f>IFERROR(__xludf.DUMMYFUNCTION("""COMPUTED_VALUE"""),1.44)</f>
        <v>1.44</v>
      </c>
      <c r="D1651" s="1">
        <f>IFERROR(__xludf.DUMMYFUNCTION("""COMPUTED_VALUE"""),1.41)</f>
        <v>1.41</v>
      </c>
      <c r="E1651" s="1">
        <f>IFERROR(__xludf.DUMMYFUNCTION("""COMPUTED_VALUE"""),1.42)</f>
        <v>1.42</v>
      </c>
      <c r="F1651" s="1">
        <f>IFERROR(__xludf.DUMMYFUNCTION("""COMPUTED_VALUE"""),124215.0)</f>
        <v>124215</v>
      </c>
    </row>
    <row r="1652">
      <c r="A1652" s="2">
        <f>IFERROR(__xludf.DUMMYFUNCTION("""COMPUTED_VALUE"""),41563.666666666664)</f>
        <v>41563.66667</v>
      </c>
      <c r="B1652" s="1">
        <f>IFERROR(__xludf.DUMMYFUNCTION("""COMPUTED_VALUE"""),1.4)</f>
        <v>1.4</v>
      </c>
      <c r="C1652" s="1">
        <f>IFERROR(__xludf.DUMMYFUNCTION("""COMPUTED_VALUE"""),1.41)</f>
        <v>1.41</v>
      </c>
      <c r="D1652" s="1">
        <f>IFERROR(__xludf.DUMMYFUNCTION("""COMPUTED_VALUE"""),1.37)</f>
        <v>1.37</v>
      </c>
      <c r="E1652" s="1">
        <f>IFERROR(__xludf.DUMMYFUNCTION("""COMPUTED_VALUE"""),1.41)</f>
        <v>1.41</v>
      </c>
      <c r="F1652" s="1">
        <f>IFERROR(__xludf.DUMMYFUNCTION("""COMPUTED_VALUE"""),226506.0)</f>
        <v>226506</v>
      </c>
    </row>
    <row r="1653">
      <c r="A1653" s="2">
        <f>IFERROR(__xludf.DUMMYFUNCTION("""COMPUTED_VALUE"""),41564.666666666664)</f>
        <v>41564.66667</v>
      </c>
      <c r="B1653" s="1">
        <f>IFERROR(__xludf.DUMMYFUNCTION("""COMPUTED_VALUE"""),1.4)</f>
        <v>1.4</v>
      </c>
      <c r="C1653" s="1">
        <f>IFERROR(__xludf.DUMMYFUNCTION("""COMPUTED_VALUE"""),1.42)</f>
        <v>1.42</v>
      </c>
      <c r="D1653" s="1">
        <f>IFERROR(__xludf.DUMMYFUNCTION("""COMPUTED_VALUE"""),1.39)</f>
        <v>1.39</v>
      </c>
      <c r="E1653" s="1">
        <f>IFERROR(__xludf.DUMMYFUNCTION("""COMPUTED_VALUE"""),1.42)</f>
        <v>1.42</v>
      </c>
      <c r="F1653" s="1">
        <f>IFERROR(__xludf.DUMMYFUNCTION("""COMPUTED_VALUE"""),150387.0)</f>
        <v>150387</v>
      </c>
    </row>
    <row r="1654">
      <c r="A1654" s="2">
        <f>IFERROR(__xludf.DUMMYFUNCTION("""COMPUTED_VALUE"""),41565.666666666664)</f>
        <v>41565.66667</v>
      </c>
      <c r="B1654" s="1">
        <f>IFERROR(__xludf.DUMMYFUNCTION("""COMPUTED_VALUE"""),1.43)</f>
        <v>1.43</v>
      </c>
      <c r="C1654" s="1">
        <f>IFERROR(__xludf.DUMMYFUNCTION("""COMPUTED_VALUE"""),1.45)</f>
        <v>1.45</v>
      </c>
      <c r="D1654" s="1">
        <f>IFERROR(__xludf.DUMMYFUNCTION("""COMPUTED_VALUE"""),1.42)</f>
        <v>1.42</v>
      </c>
      <c r="E1654" s="1">
        <f>IFERROR(__xludf.DUMMYFUNCTION("""COMPUTED_VALUE"""),1.42)</f>
        <v>1.42</v>
      </c>
      <c r="F1654" s="1">
        <f>IFERROR(__xludf.DUMMYFUNCTION("""COMPUTED_VALUE"""),241532.0)</f>
        <v>241532</v>
      </c>
    </row>
    <row r="1655">
      <c r="A1655" s="2">
        <f>IFERROR(__xludf.DUMMYFUNCTION("""COMPUTED_VALUE"""),41568.666666666664)</f>
        <v>41568.66667</v>
      </c>
      <c r="B1655" s="1">
        <f>IFERROR(__xludf.DUMMYFUNCTION("""COMPUTED_VALUE"""),1.42)</f>
        <v>1.42</v>
      </c>
      <c r="C1655" s="1">
        <f>IFERROR(__xludf.DUMMYFUNCTION("""COMPUTED_VALUE"""),1.44)</f>
        <v>1.44</v>
      </c>
      <c r="D1655" s="1">
        <f>IFERROR(__xludf.DUMMYFUNCTION("""COMPUTED_VALUE"""),1.42)</f>
        <v>1.42</v>
      </c>
      <c r="E1655" s="1">
        <f>IFERROR(__xludf.DUMMYFUNCTION("""COMPUTED_VALUE"""),1.42)</f>
        <v>1.42</v>
      </c>
      <c r="F1655" s="1">
        <f>IFERROR(__xludf.DUMMYFUNCTION("""COMPUTED_VALUE"""),156593.0)</f>
        <v>156593</v>
      </c>
    </row>
    <row r="1656">
      <c r="A1656" s="2">
        <f>IFERROR(__xludf.DUMMYFUNCTION("""COMPUTED_VALUE"""),41569.666666666664)</f>
        <v>41569.66667</v>
      </c>
      <c r="B1656" s="1">
        <f>IFERROR(__xludf.DUMMYFUNCTION("""COMPUTED_VALUE"""),1.44)</f>
        <v>1.44</v>
      </c>
      <c r="C1656" s="1">
        <f>IFERROR(__xludf.DUMMYFUNCTION("""COMPUTED_VALUE"""),1.45)</f>
        <v>1.45</v>
      </c>
      <c r="D1656" s="1">
        <f>IFERROR(__xludf.DUMMYFUNCTION("""COMPUTED_VALUE"""),1.4)</f>
        <v>1.4</v>
      </c>
      <c r="E1656" s="1">
        <f>IFERROR(__xludf.DUMMYFUNCTION("""COMPUTED_VALUE"""),1.43)</f>
        <v>1.43</v>
      </c>
      <c r="F1656" s="1">
        <f>IFERROR(__xludf.DUMMYFUNCTION("""COMPUTED_VALUE"""),217747.0)</f>
        <v>217747</v>
      </c>
    </row>
    <row r="1657">
      <c r="A1657" s="2">
        <f>IFERROR(__xludf.DUMMYFUNCTION("""COMPUTED_VALUE"""),41570.666666666664)</f>
        <v>41570.66667</v>
      </c>
      <c r="B1657" s="1">
        <f>IFERROR(__xludf.DUMMYFUNCTION("""COMPUTED_VALUE"""),1.41)</f>
        <v>1.41</v>
      </c>
      <c r="C1657" s="1">
        <f>IFERROR(__xludf.DUMMYFUNCTION("""COMPUTED_VALUE"""),1.41)</f>
        <v>1.41</v>
      </c>
      <c r="D1657" s="1">
        <f>IFERROR(__xludf.DUMMYFUNCTION("""COMPUTED_VALUE"""),1.28)</f>
        <v>1.28</v>
      </c>
      <c r="E1657" s="1">
        <f>IFERROR(__xludf.DUMMYFUNCTION("""COMPUTED_VALUE"""),1.35)</f>
        <v>1.35</v>
      </c>
      <c r="F1657" s="1">
        <f>IFERROR(__xludf.DUMMYFUNCTION("""COMPUTED_VALUE"""),274194.0)</f>
        <v>274194</v>
      </c>
    </row>
    <row r="1658">
      <c r="A1658" s="2">
        <f>IFERROR(__xludf.DUMMYFUNCTION("""COMPUTED_VALUE"""),41571.666666666664)</f>
        <v>41571.66667</v>
      </c>
      <c r="B1658" s="1">
        <f>IFERROR(__xludf.DUMMYFUNCTION("""COMPUTED_VALUE"""),1.35)</f>
        <v>1.35</v>
      </c>
      <c r="C1658" s="1">
        <f>IFERROR(__xludf.DUMMYFUNCTION("""COMPUTED_VALUE"""),1.37)</f>
        <v>1.37</v>
      </c>
      <c r="D1658" s="1">
        <f>IFERROR(__xludf.DUMMYFUNCTION("""COMPUTED_VALUE"""),1.34)</f>
        <v>1.34</v>
      </c>
      <c r="E1658" s="1">
        <f>IFERROR(__xludf.DUMMYFUNCTION("""COMPUTED_VALUE"""),1.37)</f>
        <v>1.37</v>
      </c>
      <c r="F1658" s="1">
        <f>IFERROR(__xludf.DUMMYFUNCTION("""COMPUTED_VALUE"""),152869.0)</f>
        <v>152869</v>
      </c>
    </row>
    <row r="1659">
      <c r="A1659" s="2">
        <f>IFERROR(__xludf.DUMMYFUNCTION("""COMPUTED_VALUE"""),41572.666666666664)</f>
        <v>41572.66667</v>
      </c>
      <c r="B1659" s="1">
        <f>IFERROR(__xludf.DUMMYFUNCTION("""COMPUTED_VALUE"""),1.37)</f>
        <v>1.37</v>
      </c>
      <c r="C1659" s="1">
        <f>IFERROR(__xludf.DUMMYFUNCTION("""COMPUTED_VALUE"""),1.37)</f>
        <v>1.37</v>
      </c>
      <c r="D1659" s="1">
        <f>IFERROR(__xludf.DUMMYFUNCTION("""COMPUTED_VALUE"""),1.34)</f>
        <v>1.34</v>
      </c>
      <c r="E1659" s="1">
        <f>IFERROR(__xludf.DUMMYFUNCTION("""COMPUTED_VALUE"""),1.35)</f>
        <v>1.35</v>
      </c>
      <c r="F1659" s="1">
        <f>IFERROR(__xludf.DUMMYFUNCTION("""COMPUTED_VALUE"""),139881.0)</f>
        <v>139881</v>
      </c>
    </row>
    <row r="1660">
      <c r="A1660" s="2">
        <f>IFERROR(__xludf.DUMMYFUNCTION("""COMPUTED_VALUE"""),41575.666666666664)</f>
        <v>41575.66667</v>
      </c>
      <c r="B1660" s="1">
        <f>IFERROR(__xludf.DUMMYFUNCTION("""COMPUTED_VALUE"""),1.35)</f>
        <v>1.35</v>
      </c>
      <c r="C1660" s="1">
        <f>IFERROR(__xludf.DUMMYFUNCTION("""COMPUTED_VALUE"""),1.38)</f>
        <v>1.38</v>
      </c>
      <c r="D1660" s="1">
        <f>IFERROR(__xludf.DUMMYFUNCTION("""COMPUTED_VALUE"""),1.35)</f>
        <v>1.35</v>
      </c>
      <c r="E1660" s="1">
        <f>IFERROR(__xludf.DUMMYFUNCTION("""COMPUTED_VALUE"""),1.38)</f>
        <v>1.38</v>
      </c>
      <c r="F1660" s="1">
        <f>IFERROR(__xludf.DUMMYFUNCTION("""COMPUTED_VALUE"""),192751.0)</f>
        <v>192751</v>
      </c>
    </row>
    <row r="1661">
      <c r="A1661" s="2">
        <f>IFERROR(__xludf.DUMMYFUNCTION("""COMPUTED_VALUE"""),41576.666666666664)</f>
        <v>41576.66667</v>
      </c>
      <c r="B1661" s="1">
        <f>IFERROR(__xludf.DUMMYFUNCTION("""COMPUTED_VALUE"""),1.38)</f>
        <v>1.38</v>
      </c>
      <c r="C1661" s="1">
        <f>IFERROR(__xludf.DUMMYFUNCTION("""COMPUTED_VALUE"""),1.41)</f>
        <v>1.41</v>
      </c>
      <c r="D1661" s="1">
        <f>IFERROR(__xludf.DUMMYFUNCTION("""COMPUTED_VALUE"""),1.38)</f>
        <v>1.38</v>
      </c>
      <c r="E1661" s="1">
        <f>IFERROR(__xludf.DUMMYFUNCTION("""COMPUTED_VALUE"""),1.4)</f>
        <v>1.4</v>
      </c>
      <c r="F1661" s="1">
        <f>IFERROR(__xludf.DUMMYFUNCTION("""COMPUTED_VALUE"""),170746.0)</f>
        <v>170746</v>
      </c>
    </row>
    <row r="1662">
      <c r="A1662" s="2">
        <f>IFERROR(__xludf.DUMMYFUNCTION("""COMPUTED_VALUE"""),41577.666666666664)</f>
        <v>41577.66667</v>
      </c>
      <c r="B1662" s="1">
        <f>IFERROR(__xludf.DUMMYFUNCTION("""COMPUTED_VALUE"""),1.4)</f>
        <v>1.4</v>
      </c>
      <c r="C1662" s="1">
        <f>IFERROR(__xludf.DUMMYFUNCTION("""COMPUTED_VALUE"""),1.41)</f>
        <v>1.41</v>
      </c>
      <c r="D1662" s="1">
        <f>IFERROR(__xludf.DUMMYFUNCTION("""COMPUTED_VALUE"""),1.36)</f>
        <v>1.36</v>
      </c>
      <c r="E1662" s="1">
        <f>IFERROR(__xludf.DUMMYFUNCTION("""COMPUTED_VALUE"""),1.38)</f>
        <v>1.38</v>
      </c>
      <c r="F1662" s="1">
        <f>IFERROR(__xludf.DUMMYFUNCTION("""COMPUTED_VALUE"""),86398.0)</f>
        <v>86398</v>
      </c>
    </row>
    <row r="1663">
      <c r="A1663" s="2">
        <f>IFERROR(__xludf.DUMMYFUNCTION("""COMPUTED_VALUE"""),41578.666666666664)</f>
        <v>41578.66667</v>
      </c>
      <c r="B1663" s="1">
        <f>IFERROR(__xludf.DUMMYFUNCTION("""COMPUTED_VALUE"""),1.38)</f>
        <v>1.38</v>
      </c>
      <c r="C1663" s="1">
        <f>IFERROR(__xludf.DUMMYFUNCTION("""COMPUTED_VALUE"""),1.4)</f>
        <v>1.4</v>
      </c>
      <c r="D1663" s="1">
        <f>IFERROR(__xludf.DUMMYFUNCTION("""COMPUTED_VALUE"""),1.38)</f>
        <v>1.38</v>
      </c>
      <c r="E1663" s="1">
        <f>IFERROR(__xludf.DUMMYFUNCTION("""COMPUTED_VALUE"""),1.39)</f>
        <v>1.39</v>
      </c>
      <c r="F1663" s="1">
        <f>IFERROR(__xludf.DUMMYFUNCTION("""COMPUTED_VALUE"""),106777.0)</f>
        <v>106777</v>
      </c>
    </row>
    <row r="1664">
      <c r="A1664" s="2">
        <f>IFERROR(__xludf.DUMMYFUNCTION("""COMPUTED_VALUE"""),41579.666666666664)</f>
        <v>41579.66667</v>
      </c>
      <c r="B1664" s="1">
        <f>IFERROR(__xludf.DUMMYFUNCTION("""COMPUTED_VALUE"""),1.39)</f>
        <v>1.39</v>
      </c>
      <c r="C1664" s="1">
        <f>IFERROR(__xludf.DUMMYFUNCTION("""COMPUTED_VALUE"""),1.41)</f>
        <v>1.41</v>
      </c>
      <c r="D1664" s="1">
        <f>IFERROR(__xludf.DUMMYFUNCTION("""COMPUTED_VALUE"""),1.37)</f>
        <v>1.37</v>
      </c>
      <c r="E1664" s="1">
        <f>IFERROR(__xludf.DUMMYFUNCTION("""COMPUTED_VALUE"""),1.39)</f>
        <v>1.39</v>
      </c>
      <c r="F1664" s="1">
        <f>IFERROR(__xludf.DUMMYFUNCTION("""COMPUTED_VALUE"""),258052.0)</f>
        <v>258052</v>
      </c>
    </row>
    <row r="1665">
      <c r="A1665" s="2">
        <f>IFERROR(__xludf.DUMMYFUNCTION("""COMPUTED_VALUE"""),41582.666666666664)</f>
        <v>41582.66667</v>
      </c>
      <c r="B1665" s="1">
        <f>IFERROR(__xludf.DUMMYFUNCTION("""COMPUTED_VALUE"""),1.39)</f>
        <v>1.39</v>
      </c>
      <c r="C1665" s="1">
        <f>IFERROR(__xludf.DUMMYFUNCTION("""COMPUTED_VALUE"""),1.41)</f>
        <v>1.41</v>
      </c>
      <c r="D1665" s="1">
        <f>IFERROR(__xludf.DUMMYFUNCTION("""COMPUTED_VALUE"""),1.38)</f>
        <v>1.38</v>
      </c>
      <c r="E1665" s="1">
        <f>IFERROR(__xludf.DUMMYFUNCTION("""COMPUTED_VALUE"""),1.41)</f>
        <v>1.41</v>
      </c>
      <c r="F1665" s="1">
        <f>IFERROR(__xludf.DUMMYFUNCTION("""COMPUTED_VALUE"""),292681.0)</f>
        <v>292681</v>
      </c>
    </row>
    <row r="1666">
      <c r="A1666" s="2">
        <f>IFERROR(__xludf.DUMMYFUNCTION("""COMPUTED_VALUE"""),41583.666666666664)</f>
        <v>41583.66667</v>
      </c>
      <c r="B1666" s="1">
        <f>IFERROR(__xludf.DUMMYFUNCTION("""COMPUTED_VALUE"""),1.4)</f>
        <v>1.4</v>
      </c>
      <c r="C1666" s="1">
        <f>IFERROR(__xludf.DUMMYFUNCTION("""COMPUTED_VALUE"""),1.45)</f>
        <v>1.45</v>
      </c>
      <c r="D1666" s="1">
        <f>IFERROR(__xludf.DUMMYFUNCTION("""COMPUTED_VALUE"""),1.39)</f>
        <v>1.39</v>
      </c>
      <c r="E1666" s="1">
        <f>IFERROR(__xludf.DUMMYFUNCTION("""COMPUTED_VALUE"""),1.44)</f>
        <v>1.44</v>
      </c>
      <c r="F1666" s="1">
        <f>IFERROR(__xludf.DUMMYFUNCTION("""COMPUTED_VALUE"""),234282.0)</f>
        <v>234282</v>
      </c>
    </row>
    <row r="1667">
      <c r="A1667" s="2">
        <f>IFERROR(__xludf.DUMMYFUNCTION("""COMPUTED_VALUE"""),41584.666666666664)</f>
        <v>41584.66667</v>
      </c>
      <c r="B1667" s="1">
        <f>IFERROR(__xludf.DUMMYFUNCTION("""COMPUTED_VALUE"""),1.45)</f>
        <v>1.45</v>
      </c>
      <c r="C1667" s="1">
        <f>IFERROR(__xludf.DUMMYFUNCTION("""COMPUTED_VALUE"""),1.45)</f>
        <v>1.45</v>
      </c>
      <c r="D1667" s="1">
        <f>IFERROR(__xludf.DUMMYFUNCTION("""COMPUTED_VALUE"""),1.44)</f>
        <v>1.44</v>
      </c>
      <c r="E1667" s="1">
        <f>IFERROR(__xludf.DUMMYFUNCTION("""COMPUTED_VALUE"""),1.45)</f>
        <v>1.45</v>
      </c>
      <c r="F1667" s="1">
        <f>IFERROR(__xludf.DUMMYFUNCTION("""COMPUTED_VALUE"""),161445.0)</f>
        <v>161445</v>
      </c>
    </row>
    <row r="1668">
      <c r="A1668" s="2">
        <f>IFERROR(__xludf.DUMMYFUNCTION("""COMPUTED_VALUE"""),41585.666666666664)</f>
        <v>41585.66667</v>
      </c>
      <c r="B1668" s="1">
        <f>IFERROR(__xludf.DUMMYFUNCTION("""COMPUTED_VALUE"""),1.45)</f>
        <v>1.45</v>
      </c>
      <c r="C1668" s="1">
        <f>IFERROR(__xludf.DUMMYFUNCTION("""COMPUTED_VALUE"""),1.45)</f>
        <v>1.45</v>
      </c>
      <c r="D1668" s="1">
        <f>IFERROR(__xludf.DUMMYFUNCTION("""COMPUTED_VALUE"""),1.4)</f>
        <v>1.4</v>
      </c>
      <c r="E1668" s="1">
        <f>IFERROR(__xludf.DUMMYFUNCTION("""COMPUTED_VALUE"""),1.42)</f>
        <v>1.42</v>
      </c>
      <c r="F1668" s="1">
        <f>IFERROR(__xludf.DUMMYFUNCTION("""COMPUTED_VALUE"""),90547.0)</f>
        <v>90547</v>
      </c>
    </row>
    <row r="1669">
      <c r="A1669" s="2">
        <f>IFERROR(__xludf.DUMMYFUNCTION("""COMPUTED_VALUE"""),41586.666666666664)</f>
        <v>41586.66667</v>
      </c>
      <c r="B1669" s="1">
        <f>IFERROR(__xludf.DUMMYFUNCTION("""COMPUTED_VALUE"""),1.41)</f>
        <v>1.41</v>
      </c>
      <c r="C1669" s="1">
        <f>IFERROR(__xludf.DUMMYFUNCTION("""COMPUTED_VALUE"""),1.45)</f>
        <v>1.45</v>
      </c>
      <c r="D1669" s="1">
        <f>IFERROR(__xludf.DUMMYFUNCTION("""COMPUTED_VALUE"""),1.41)</f>
        <v>1.41</v>
      </c>
      <c r="E1669" s="1">
        <f>IFERROR(__xludf.DUMMYFUNCTION("""COMPUTED_VALUE"""),1.45)</f>
        <v>1.45</v>
      </c>
      <c r="F1669" s="1">
        <f>IFERROR(__xludf.DUMMYFUNCTION("""COMPUTED_VALUE"""),199497.0)</f>
        <v>199497</v>
      </c>
    </row>
    <row r="1670">
      <c r="A1670" s="2">
        <f>IFERROR(__xludf.DUMMYFUNCTION("""COMPUTED_VALUE"""),41589.666666666664)</f>
        <v>41589.66667</v>
      </c>
      <c r="B1670" s="1">
        <f>IFERROR(__xludf.DUMMYFUNCTION("""COMPUTED_VALUE"""),1.44)</f>
        <v>1.44</v>
      </c>
      <c r="C1670" s="1">
        <f>IFERROR(__xludf.DUMMYFUNCTION("""COMPUTED_VALUE"""),1.46)</f>
        <v>1.46</v>
      </c>
      <c r="D1670" s="1">
        <f>IFERROR(__xludf.DUMMYFUNCTION("""COMPUTED_VALUE"""),1.43)</f>
        <v>1.43</v>
      </c>
      <c r="E1670" s="1">
        <f>IFERROR(__xludf.DUMMYFUNCTION("""COMPUTED_VALUE"""),1.45)</f>
        <v>1.45</v>
      </c>
      <c r="F1670" s="1">
        <f>IFERROR(__xludf.DUMMYFUNCTION("""COMPUTED_VALUE"""),179964.0)</f>
        <v>179964</v>
      </c>
    </row>
    <row r="1671">
      <c r="A1671" s="2">
        <f>IFERROR(__xludf.DUMMYFUNCTION("""COMPUTED_VALUE"""),41590.666666666664)</f>
        <v>41590.66667</v>
      </c>
      <c r="B1671" s="1">
        <f>IFERROR(__xludf.DUMMYFUNCTION("""COMPUTED_VALUE"""),1.45)</f>
        <v>1.45</v>
      </c>
      <c r="C1671" s="1">
        <f>IFERROR(__xludf.DUMMYFUNCTION("""COMPUTED_VALUE"""),1.46)</f>
        <v>1.46</v>
      </c>
      <c r="D1671" s="1">
        <f>IFERROR(__xludf.DUMMYFUNCTION("""COMPUTED_VALUE"""),1.43)</f>
        <v>1.43</v>
      </c>
      <c r="E1671" s="1">
        <f>IFERROR(__xludf.DUMMYFUNCTION("""COMPUTED_VALUE"""),1.44)</f>
        <v>1.44</v>
      </c>
      <c r="F1671" s="1">
        <f>IFERROR(__xludf.DUMMYFUNCTION("""COMPUTED_VALUE"""),80255.0)</f>
        <v>80255</v>
      </c>
    </row>
    <row r="1672">
      <c r="A1672" s="2">
        <f>IFERROR(__xludf.DUMMYFUNCTION("""COMPUTED_VALUE"""),41591.666666666664)</f>
        <v>41591.66667</v>
      </c>
      <c r="B1672" s="1">
        <f>IFERROR(__xludf.DUMMYFUNCTION("""COMPUTED_VALUE"""),1.43)</f>
        <v>1.43</v>
      </c>
      <c r="C1672" s="1">
        <f>IFERROR(__xludf.DUMMYFUNCTION("""COMPUTED_VALUE"""),1.45)</f>
        <v>1.45</v>
      </c>
      <c r="D1672" s="1">
        <f>IFERROR(__xludf.DUMMYFUNCTION("""COMPUTED_VALUE"""),1.43)</f>
        <v>1.43</v>
      </c>
      <c r="E1672" s="1">
        <f>IFERROR(__xludf.DUMMYFUNCTION("""COMPUTED_VALUE"""),1.45)</f>
        <v>1.45</v>
      </c>
      <c r="F1672" s="1">
        <f>IFERROR(__xludf.DUMMYFUNCTION("""COMPUTED_VALUE"""),140927.0)</f>
        <v>140927</v>
      </c>
    </row>
    <row r="1673">
      <c r="A1673" s="2">
        <f>IFERROR(__xludf.DUMMYFUNCTION("""COMPUTED_VALUE"""),41592.666666666664)</f>
        <v>41592.66667</v>
      </c>
      <c r="B1673" s="1">
        <f>IFERROR(__xludf.DUMMYFUNCTION("""COMPUTED_VALUE"""),1.44)</f>
        <v>1.44</v>
      </c>
      <c r="C1673" s="1">
        <f>IFERROR(__xludf.DUMMYFUNCTION("""COMPUTED_VALUE"""),1.46)</f>
        <v>1.46</v>
      </c>
      <c r="D1673" s="1">
        <f>IFERROR(__xludf.DUMMYFUNCTION("""COMPUTED_VALUE"""),1.43)</f>
        <v>1.43</v>
      </c>
      <c r="E1673" s="1">
        <f>IFERROR(__xludf.DUMMYFUNCTION("""COMPUTED_VALUE"""),1.46)</f>
        <v>1.46</v>
      </c>
      <c r="F1673" s="1">
        <f>IFERROR(__xludf.DUMMYFUNCTION("""COMPUTED_VALUE"""),165286.0)</f>
        <v>165286</v>
      </c>
    </row>
    <row r="1674">
      <c r="A1674" s="2">
        <f>IFERROR(__xludf.DUMMYFUNCTION("""COMPUTED_VALUE"""),41593.666666666664)</f>
        <v>41593.66667</v>
      </c>
      <c r="B1674" s="1">
        <f>IFERROR(__xludf.DUMMYFUNCTION("""COMPUTED_VALUE"""),1.46)</f>
        <v>1.46</v>
      </c>
      <c r="C1674" s="1">
        <f>IFERROR(__xludf.DUMMYFUNCTION("""COMPUTED_VALUE"""),1.46)</f>
        <v>1.46</v>
      </c>
      <c r="D1674" s="1">
        <f>IFERROR(__xludf.DUMMYFUNCTION("""COMPUTED_VALUE"""),1.44)</f>
        <v>1.44</v>
      </c>
      <c r="E1674" s="1">
        <f>IFERROR(__xludf.DUMMYFUNCTION("""COMPUTED_VALUE"""),1.45)</f>
        <v>1.45</v>
      </c>
      <c r="F1674" s="1">
        <f>IFERROR(__xludf.DUMMYFUNCTION("""COMPUTED_VALUE"""),82817.0)</f>
        <v>82817</v>
      </c>
    </row>
    <row r="1675">
      <c r="A1675" s="2">
        <f>IFERROR(__xludf.DUMMYFUNCTION("""COMPUTED_VALUE"""),41596.666666666664)</f>
        <v>41596.66667</v>
      </c>
      <c r="B1675" s="1">
        <f>IFERROR(__xludf.DUMMYFUNCTION("""COMPUTED_VALUE"""),1.46)</f>
        <v>1.46</v>
      </c>
      <c r="C1675" s="1">
        <f>IFERROR(__xludf.DUMMYFUNCTION("""COMPUTED_VALUE"""),1.47)</f>
        <v>1.47</v>
      </c>
      <c r="D1675" s="1">
        <f>IFERROR(__xludf.DUMMYFUNCTION("""COMPUTED_VALUE"""),1.43)</f>
        <v>1.43</v>
      </c>
      <c r="E1675" s="1">
        <f>IFERROR(__xludf.DUMMYFUNCTION("""COMPUTED_VALUE"""),1.44)</f>
        <v>1.44</v>
      </c>
      <c r="F1675" s="1">
        <f>IFERROR(__xludf.DUMMYFUNCTION("""COMPUTED_VALUE"""),148283.0)</f>
        <v>148283</v>
      </c>
    </row>
    <row r="1676">
      <c r="A1676" s="2">
        <f>IFERROR(__xludf.DUMMYFUNCTION("""COMPUTED_VALUE"""),41597.666666666664)</f>
        <v>41597.66667</v>
      </c>
      <c r="B1676" s="1">
        <f>IFERROR(__xludf.DUMMYFUNCTION("""COMPUTED_VALUE"""),1.44)</f>
        <v>1.44</v>
      </c>
      <c r="C1676" s="1">
        <f>IFERROR(__xludf.DUMMYFUNCTION("""COMPUTED_VALUE"""),1.48)</f>
        <v>1.48</v>
      </c>
      <c r="D1676" s="1">
        <f>IFERROR(__xludf.DUMMYFUNCTION("""COMPUTED_VALUE"""),1.44)</f>
        <v>1.44</v>
      </c>
      <c r="E1676" s="1">
        <f>IFERROR(__xludf.DUMMYFUNCTION("""COMPUTED_VALUE"""),1.45)</f>
        <v>1.45</v>
      </c>
      <c r="F1676" s="1">
        <f>IFERROR(__xludf.DUMMYFUNCTION("""COMPUTED_VALUE"""),143981.0)</f>
        <v>143981</v>
      </c>
    </row>
    <row r="1677">
      <c r="A1677" s="2">
        <f>IFERROR(__xludf.DUMMYFUNCTION("""COMPUTED_VALUE"""),41598.666666666664)</f>
        <v>41598.66667</v>
      </c>
      <c r="B1677" s="1">
        <f>IFERROR(__xludf.DUMMYFUNCTION("""COMPUTED_VALUE"""),1.46)</f>
        <v>1.46</v>
      </c>
      <c r="C1677" s="1">
        <f>IFERROR(__xludf.DUMMYFUNCTION("""COMPUTED_VALUE"""),1.46)</f>
        <v>1.46</v>
      </c>
      <c r="D1677" s="1">
        <f>IFERROR(__xludf.DUMMYFUNCTION("""COMPUTED_VALUE"""),1.43)</f>
        <v>1.43</v>
      </c>
      <c r="E1677" s="1">
        <f>IFERROR(__xludf.DUMMYFUNCTION("""COMPUTED_VALUE"""),1.44)</f>
        <v>1.44</v>
      </c>
      <c r="F1677" s="1">
        <f>IFERROR(__xludf.DUMMYFUNCTION("""COMPUTED_VALUE"""),72441.0)</f>
        <v>72441</v>
      </c>
    </row>
    <row r="1678">
      <c r="A1678" s="2">
        <f>IFERROR(__xludf.DUMMYFUNCTION("""COMPUTED_VALUE"""),41599.666666666664)</f>
        <v>41599.66667</v>
      </c>
      <c r="B1678" s="1">
        <f>IFERROR(__xludf.DUMMYFUNCTION("""COMPUTED_VALUE"""),1.44)</f>
        <v>1.44</v>
      </c>
      <c r="C1678" s="1">
        <f>IFERROR(__xludf.DUMMYFUNCTION("""COMPUTED_VALUE"""),1.47)</f>
        <v>1.47</v>
      </c>
      <c r="D1678" s="1">
        <f>IFERROR(__xludf.DUMMYFUNCTION("""COMPUTED_VALUE"""),1.43)</f>
        <v>1.43</v>
      </c>
      <c r="E1678" s="1">
        <f>IFERROR(__xludf.DUMMYFUNCTION("""COMPUTED_VALUE"""),1.46)</f>
        <v>1.46</v>
      </c>
      <c r="F1678" s="1">
        <f>IFERROR(__xludf.DUMMYFUNCTION("""COMPUTED_VALUE"""),131485.0)</f>
        <v>131485</v>
      </c>
    </row>
    <row r="1679">
      <c r="A1679" s="2">
        <f>IFERROR(__xludf.DUMMYFUNCTION("""COMPUTED_VALUE"""),41600.666666666664)</f>
        <v>41600.66667</v>
      </c>
      <c r="B1679" s="1">
        <f>IFERROR(__xludf.DUMMYFUNCTION("""COMPUTED_VALUE"""),1.47)</f>
        <v>1.47</v>
      </c>
      <c r="C1679" s="1">
        <f>IFERROR(__xludf.DUMMYFUNCTION("""COMPUTED_VALUE"""),1.55)</f>
        <v>1.55</v>
      </c>
      <c r="D1679" s="1">
        <f>IFERROR(__xludf.DUMMYFUNCTION("""COMPUTED_VALUE"""),1.47)</f>
        <v>1.47</v>
      </c>
      <c r="E1679" s="1">
        <f>IFERROR(__xludf.DUMMYFUNCTION("""COMPUTED_VALUE"""),1.52)</f>
        <v>1.52</v>
      </c>
      <c r="F1679" s="1">
        <f>IFERROR(__xludf.DUMMYFUNCTION("""COMPUTED_VALUE"""),314241.0)</f>
        <v>314241</v>
      </c>
    </row>
    <row r="1680">
      <c r="A1680" s="2">
        <f>IFERROR(__xludf.DUMMYFUNCTION("""COMPUTED_VALUE"""),41603.666666666664)</f>
        <v>41603.66667</v>
      </c>
      <c r="B1680" s="1">
        <f>IFERROR(__xludf.DUMMYFUNCTION("""COMPUTED_VALUE"""),1.53)</f>
        <v>1.53</v>
      </c>
      <c r="C1680" s="1">
        <f>IFERROR(__xludf.DUMMYFUNCTION("""COMPUTED_VALUE"""),1.55)</f>
        <v>1.55</v>
      </c>
      <c r="D1680" s="1">
        <f>IFERROR(__xludf.DUMMYFUNCTION("""COMPUTED_VALUE"""),1.52)</f>
        <v>1.52</v>
      </c>
      <c r="E1680" s="1">
        <f>IFERROR(__xludf.DUMMYFUNCTION("""COMPUTED_VALUE"""),1.55)</f>
        <v>1.55</v>
      </c>
      <c r="F1680" s="1">
        <f>IFERROR(__xludf.DUMMYFUNCTION("""COMPUTED_VALUE"""),203431.0)</f>
        <v>203431</v>
      </c>
    </row>
    <row r="1681">
      <c r="A1681" s="2">
        <f>IFERROR(__xludf.DUMMYFUNCTION("""COMPUTED_VALUE"""),41604.666666666664)</f>
        <v>41604.66667</v>
      </c>
      <c r="B1681" s="1">
        <f>IFERROR(__xludf.DUMMYFUNCTION("""COMPUTED_VALUE"""),1.54)</f>
        <v>1.54</v>
      </c>
      <c r="C1681" s="1">
        <f>IFERROR(__xludf.DUMMYFUNCTION("""COMPUTED_VALUE"""),1.56)</f>
        <v>1.56</v>
      </c>
      <c r="D1681" s="1">
        <f>IFERROR(__xludf.DUMMYFUNCTION("""COMPUTED_VALUE"""),1.53)</f>
        <v>1.53</v>
      </c>
      <c r="E1681" s="1">
        <f>IFERROR(__xludf.DUMMYFUNCTION("""COMPUTED_VALUE"""),1.55)</f>
        <v>1.55</v>
      </c>
      <c r="F1681" s="1">
        <f>IFERROR(__xludf.DUMMYFUNCTION("""COMPUTED_VALUE"""),227478.0)</f>
        <v>227478</v>
      </c>
    </row>
    <row r="1682">
      <c r="A1682" s="2">
        <f>IFERROR(__xludf.DUMMYFUNCTION("""COMPUTED_VALUE"""),41605.666666666664)</f>
        <v>41605.66667</v>
      </c>
      <c r="B1682" s="1">
        <f>IFERROR(__xludf.DUMMYFUNCTION("""COMPUTED_VALUE"""),1.55)</f>
        <v>1.55</v>
      </c>
      <c r="C1682" s="1">
        <f>IFERROR(__xludf.DUMMYFUNCTION("""COMPUTED_VALUE"""),1.57)</f>
        <v>1.57</v>
      </c>
      <c r="D1682" s="1">
        <f>IFERROR(__xludf.DUMMYFUNCTION("""COMPUTED_VALUE"""),1.54)</f>
        <v>1.54</v>
      </c>
      <c r="E1682" s="1">
        <f>IFERROR(__xludf.DUMMYFUNCTION("""COMPUTED_VALUE"""),1.57)</f>
        <v>1.57</v>
      </c>
      <c r="F1682" s="1">
        <f>IFERROR(__xludf.DUMMYFUNCTION("""COMPUTED_VALUE"""),162472.0)</f>
        <v>162472</v>
      </c>
    </row>
    <row r="1683">
      <c r="A1683" s="2">
        <f>IFERROR(__xludf.DUMMYFUNCTION("""COMPUTED_VALUE"""),41607.666666666664)</f>
        <v>41607.66667</v>
      </c>
      <c r="B1683" s="1">
        <f>IFERROR(__xludf.DUMMYFUNCTION("""COMPUTED_VALUE"""),1.57)</f>
        <v>1.57</v>
      </c>
      <c r="C1683" s="1">
        <f>IFERROR(__xludf.DUMMYFUNCTION("""COMPUTED_VALUE"""),1.6)</f>
        <v>1.6</v>
      </c>
      <c r="D1683" s="1">
        <f>IFERROR(__xludf.DUMMYFUNCTION("""COMPUTED_VALUE"""),1.56)</f>
        <v>1.56</v>
      </c>
      <c r="E1683" s="1">
        <f>IFERROR(__xludf.DUMMYFUNCTION("""COMPUTED_VALUE"""),1.59)</f>
        <v>1.59</v>
      </c>
      <c r="F1683" s="1">
        <f>IFERROR(__xludf.DUMMYFUNCTION("""COMPUTED_VALUE"""),95388.0)</f>
        <v>95388</v>
      </c>
    </row>
    <row r="1684">
      <c r="A1684" s="2">
        <f>IFERROR(__xludf.DUMMYFUNCTION("""COMPUTED_VALUE"""),41610.666666666664)</f>
        <v>41610.66667</v>
      </c>
      <c r="B1684" s="1">
        <f>IFERROR(__xludf.DUMMYFUNCTION("""COMPUTED_VALUE"""),1.59)</f>
        <v>1.59</v>
      </c>
      <c r="C1684" s="1">
        <f>IFERROR(__xludf.DUMMYFUNCTION("""COMPUTED_VALUE"""),1.6)</f>
        <v>1.6</v>
      </c>
      <c r="D1684" s="1">
        <f>IFERROR(__xludf.DUMMYFUNCTION("""COMPUTED_VALUE"""),1.57)</f>
        <v>1.57</v>
      </c>
      <c r="E1684" s="1">
        <f>IFERROR(__xludf.DUMMYFUNCTION("""COMPUTED_VALUE"""),1.6)</f>
        <v>1.6</v>
      </c>
      <c r="F1684" s="1">
        <f>IFERROR(__xludf.DUMMYFUNCTION("""COMPUTED_VALUE"""),200591.0)</f>
        <v>200591</v>
      </c>
    </row>
    <row r="1685">
      <c r="A1685" s="2">
        <f>IFERROR(__xludf.DUMMYFUNCTION("""COMPUTED_VALUE"""),41611.666666666664)</f>
        <v>41611.66667</v>
      </c>
      <c r="B1685" s="1">
        <f>IFERROR(__xludf.DUMMYFUNCTION("""COMPUTED_VALUE"""),1.6)</f>
        <v>1.6</v>
      </c>
      <c r="C1685" s="1">
        <f>IFERROR(__xludf.DUMMYFUNCTION("""COMPUTED_VALUE"""),1.62)</f>
        <v>1.62</v>
      </c>
      <c r="D1685" s="1">
        <f>IFERROR(__xludf.DUMMYFUNCTION("""COMPUTED_VALUE"""),1.59)</f>
        <v>1.59</v>
      </c>
      <c r="E1685" s="1">
        <f>IFERROR(__xludf.DUMMYFUNCTION("""COMPUTED_VALUE"""),1.61)</f>
        <v>1.61</v>
      </c>
      <c r="F1685" s="1">
        <f>IFERROR(__xludf.DUMMYFUNCTION("""COMPUTED_VALUE"""),269871.0)</f>
        <v>269871</v>
      </c>
    </row>
    <row r="1686">
      <c r="A1686" s="2">
        <f>IFERROR(__xludf.DUMMYFUNCTION("""COMPUTED_VALUE"""),41612.666666666664)</f>
        <v>41612.66667</v>
      </c>
      <c r="B1686" s="1">
        <f>IFERROR(__xludf.DUMMYFUNCTION("""COMPUTED_VALUE"""),1.61)</f>
        <v>1.61</v>
      </c>
      <c r="C1686" s="1">
        <f>IFERROR(__xludf.DUMMYFUNCTION("""COMPUTED_VALUE"""),1.64)</f>
        <v>1.64</v>
      </c>
      <c r="D1686" s="1">
        <f>IFERROR(__xludf.DUMMYFUNCTION("""COMPUTED_VALUE"""),1.6)</f>
        <v>1.6</v>
      </c>
      <c r="E1686" s="1">
        <f>IFERROR(__xludf.DUMMYFUNCTION("""COMPUTED_VALUE"""),1.63)</f>
        <v>1.63</v>
      </c>
      <c r="F1686" s="1">
        <f>IFERROR(__xludf.DUMMYFUNCTION("""COMPUTED_VALUE"""),218923.0)</f>
        <v>218923</v>
      </c>
    </row>
    <row r="1687">
      <c r="A1687" s="2">
        <f>IFERROR(__xludf.DUMMYFUNCTION("""COMPUTED_VALUE"""),41613.666666666664)</f>
        <v>41613.66667</v>
      </c>
      <c r="B1687" s="1">
        <f>IFERROR(__xludf.DUMMYFUNCTION("""COMPUTED_VALUE"""),1.62)</f>
        <v>1.62</v>
      </c>
      <c r="C1687" s="1">
        <f>IFERROR(__xludf.DUMMYFUNCTION("""COMPUTED_VALUE"""),1.67)</f>
        <v>1.67</v>
      </c>
      <c r="D1687" s="1">
        <f>IFERROR(__xludf.DUMMYFUNCTION("""COMPUTED_VALUE"""),1.6)</f>
        <v>1.6</v>
      </c>
      <c r="E1687" s="1">
        <f>IFERROR(__xludf.DUMMYFUNCTION("""COMPUTED_VALUE"""),1.66)</f>
        <v>1.66</v>
      </c>
      <c r="F1687" s="1">
        <f>IFERROR(__xludf.DUMMYFUNCTION("""COMPUTED_VALUE"""),197753.0)</f>
        <v>197753</v>
      </c>
    </row>
    <row r="1688">
      <c r="A1688" s="2">
        <f>IFERROR(__xludf.DUMMYFUNCTION("""COMPUTED_VALUE"""),41614.666666666664)</f>
        <v>41614.66667</v>
      </c>
      <c r="B1688" s="1">
        <f>IFERROR(__xludf.DUMMYFUNCTION("""COMPUTED_VALUE"""),1.67)</f>
        <v>1.67</v>
      </c>
      <c r="C1688" s="1">
        <f>IFERROR(__xludf.DUMMYFUNCTION("""COMPUTED_VALUE"""),1.71)</f>
        <v>1.71</v>
      </c>
      <c r="D1688" s="1">
        <f>IFERROR(__xludf.DUMMYFUNCTION("""COMPUTED_VALUE"""),1.66)</f>
        <v>1.66</v>
      </c>
      <c r="E1688" s="1">
        <f>IFERROR(__xludf.DUMMYFUNCTION("""COMPUTED_VALUE"""),1.69)</f>
        <v>1.69</v>
      </c>
      <c r="F1688" s="1">
        <f>IFERROR(__xludf.DUMMYFUNCTION("""COMPUTED_VALUE"""),273769.0)</f>
        <v>273769</v>
      </c>
    </row>
    <row r="1689">
      <c r="A1689" s="2">
        <f>IFERROR(__xludf.DUMMYFUNCTION("""COMPUTED_VALUE"""),41617.666666666664)</f>
        <v>41617.66667</v>
      </c>
      <c r="B1689" s="1">
        <f>IFERROR(__xludf.DUMMYFUNCTION("""COMPUTED_VALUE"""),1.7)</f>
        <v>1.7</v>
      </c>
      <c r="C1689" s="1">
        <f>IFERROR(__xludf.DUMMYFUNCTION("""COMPUTED_VALUE"""),1.72)</f>
        <v>1.72</v>
      </c>
      <c r="D1689" s="1">
        <f>IFERROR(__xludf.DUMMYFUNCTION("""COMPUTED_VALUE"""),1.7)</f>
        <v>1.7</v>
      </c>
      <c r="E1689" s="1">
        <f>IFERROR(__xludf.DUMMYFUNCTION("""COMPUTED_VALUE"""),1.72)</f>
        <v>1.72</v>
      </c>
      <c r="F1689" s="1">
        <f>IFERROR(__xludf.DUMMYFUNCTION("""COMPUTED_VALUE"""),183066.0)</f>
        <v>183066</v>
      </c>
    </row>
    <row r="1690">
      <c r="A1690" s="2">
        <f>IFERROR(__xludf.DUMMYFUNCTION("""COMPUTED_VALUE"""),41618.666666666664)</f>
        <v>41618.66667</v>
      </c>
      <c r="B1690" s="1">
        <f>IFERROR(__xludf.DUMMYFUNCTION("""COMPUTED_VALUE"""),1.72)</f>
        <v>1.72</v>
      </c>
      <c r="C1690" s="1">
        <f>IFERROR(__xludf.DUMMYFUNCTION("""COMPUTED_VALUE"""),1.72)</f>
        <v>1.72</v>
      </c>
      <c r="D1690" s="1">
        <f>IFERROR(__xludf.DUMMYFUNCTION("""COMPUTED_VALUE"""),1.67)</f>
        <v>1.67</v>
      </c>
      <c r="E1690" s="1">
        <f>IFERROR(__xludf.DUMMYFUNCTION("""COMPUTED_VALUE"""),1.68)</f>
        <v>1.68</v>
      </c>
      <c r="F1690" s="1">
        <f>IFERROR(__xludf.DUMMYFUNCTION("""COMPUTED_VALUE"""),155662.0)</f>
        <v>155662</v>
      </c>
    </row>
    <row r="1691">
      <c r="A1691" s="2">
        <f>IFERROR(__xludf.DUMMYFUNCTION("""COMPUTED_VALUE"""),41619.666666666664)</f>
        <v>41619.66667</v>
      </c>
      <c r="B1691" s="1">
        <f>IFERROR(__xludf.DUMMYFUNCTION("""COMPUTED_VALUE"""),1.69)</f>
        <v>1.69</v>
      </c>
      <c r="C1691" s="1">
        <f>IFERROR(__xludf.DUMMYFUNCTION("""COMPUTED_VALUE"""),1.69)</f>
        <v>1.69</v>
      </c>
      <c r="D1691" s="1">
        <f>IFERROR(__xludf.DUMMYFUNCTION("""COMPUTED_VALUE"""),1.67)</f>
        <v>1.67</v>
      </c>
      <c r="E1691" s="1">
        <f>IFERROR(__xludf.DUMMYFUNCTION("""COMPUTED_VALUE"""),1.67)</f>
        <v>1.67</v>
      </c>
      <c r="F1691" s="1">
        <f>IFERROR(__xludf.DUMMYFUNCTION("""COMPUTED_VALUE"""),157679.0)</f>
        <v>157679</v>
      </c>
    </row>
    <row r="1692">
      <c r="A1692" s="2">
        <f>IFERROR(__xludf.DUMMYFUNCTION("""COMPUTED_VALUE"""),41620.666666666664)</f>
        <v>41620.66667</v>
      </c>
      <c r="B1692" s="1">
        <f>IFERROR(__xludf.DUMMYFUNCTION("""COMPUTED_VALUE"""),1.68)</f>
        <v>1.68</v>
      </c>
      <c r="C1692" s="1">
        <f>IFERROR(__xludf.DUMMYFUNCTION("""COMPUTED_VALUE"""),1.69)</f>
        <v>1.69</v>
      </c>
      <c r="D1692" s="1">
        <f>IFERROR(__xludf.DUMMYFUNCTION("""COMPUTED_VALUE"""),1.66)</f>
        <v>1.66</v>
      </c>
      <c r="E1692" s="1">
        <f>IFERROR(__xludf.DUMMYFUNCTION("""COMPUTED_VALUE"""),1.68)</f>
        <v>1.68</v>
      </c>
      <c r="F1692" s="1">
        <f>IFERROR(__xludf.DUMMYFUNCTION("""COMPUTED_VALUE"""),106765.0)</f>
        <v>106765</v>
      </c>
    </row>
    <row r="1693">
      <c r="A1693" s="2">
        <f>IFERROR(__xludf.DUMMYFUNCTION("""COMPUTED_VALUE"""),41621.666666666664)</f>
        <v>41621.66667</v>
      </c>
      <c r="B1693" s="1">
        <f>IFERROR(__xludf.DUMMYFUNCTION("""COMPUTED_VALUE"""),1.69)</f>
        <v>1.69</v>
      </c>
      <c r="C1693" s="1">
        <f>IFERROR(__xludf.DUMMYFUNCTION("""COMPUTED_VALUE"""),1.69)</f>
        <v>1.69</v>
      </c>
      <c r="D1693" s="1">
        <f>IFERROR(__xludf.DUMMYFUNCTION("""COMPUTED_VALUE"""),1.64)</f>
        <v>1.64</v>
      </c>
      <c r="E1693" s="1">
        <f>IFERROR(__xludf.DUMMYFUNCTION("""COMPUTED_VALUE"""),1.64)</f>
        <v>1.64</v>
      </c>
      <c r="F1693" s="1">
        <f>IFERROR(__xludf.DUMMYFUNCTION("""COMPUTED_VALUE"""),162326.0)</f>
        <v>162326</v>
      </c>
    </row>
    <row r="1694">
      <c r="A1694" s="2">
        <f>IFERROR(__xludf.DUMMYFUNCTION("""COMPUTED_VALUE"""),41624.666666666664)</f>
        <v>41624.66667</v>
      </c>
      <c r="B1694" s="1">
        <f>IFERROR(__xludf.DUMMYFUNCTION("""COMPUTED_VALUE"""),1.64)</f>
        <v>1.64</v>
      </c>
      <c r="C1694" s="1">
        <f>IFERROR(__xludf.DUMMYFUNCTION("""COMPUTED_VALUE"""),1.67)</f>
        <v>1.67</v>
      </c>
      <c r="D1694" s="1">
        <f>IFERROR(__xludf.DUMMYFUNCTION("""COMPUTED_VALUE"""),1.64)</f>
        <v>1.64</v>
      </c>
      <c r="E1694" s="1">
        <f>IFERROR(__xludf.DUMMYFUNCTION("""COMPUTED_VALUE"""),1.65)</f>
        <v>1.65</v>
      </c>
      <c r="F1694" s="1">
        <f>IFERROR(__xludf.DUMMYFUNCTION("""COMPUTED_VALUE"""),199677.0)</f>
        <v>199677</v>
      </c>
    </row>
    <row r="1695">
      <c r="A1695" s="2">
        <f>IFERROR(__xludf.DUMMYFUNCTION("""COMPUTED_VALUE"""),41625.666666666664)</f>
        <v>41625.66667</v>
      </c>
      <c r="B1695" s="1">
        <f>IFERROR(__xludf.DUMMYFUNCTION("""COMPUTED_VALUE"""),1.65)</f>
        <v>1.65</v>
      </c>
      <c r="C1695" s="1">
        <f>IFERROR(__xludf.DUMMYFUNCTION("""COMPUTED_VALUE"""),1.66)</f>
        <v>1.66</v>
      </c>
      <c r="D1695" s="1">
        <f>IFERROR(__xludf.DUMMYFUNCTION("""COMPUTED_VALUE"""),1.64)</f>
        <v>1.64</v>
      </c>
      <c r="E1695" s="1">
        <f>IFERROR(__xludf.DUMMYFUNCTION("""COMPUTED_VALUE"""),1.65)</f>
        <v>1.65</v>
      </c>
      <c r="F1695" s="1">
        <f>IFERROR(__xludf.DUMMYFUNCTION("""COMPUTED_VALUE"""),190054.0)</f>
        <v>190054</v>
      </c>
    </row>
    <row r="1696">
      <c r="A1696" s="2">
        <f>IFERROR(__xludf.DUMMYFUNCTION("""COMPUTED_VALUE"""),41626.666666666664)</f>
        <v>41626.66667</v>
      </c>
      <c r="B1696" s="1">
        <f>IFERROR(__xludf.DUMMYFUNCTION("""COMPUTED_VALUE"""),1.66)</f>
        <v>1.66</v>
      </c>
      <c r="C1696" s="1">
        <f>IFERROR(__xludf.DUMMYFUNCTION("""COMPUTED_VALUE"""),1.68)</f>
        <v>1.68</v>
      </c>
      <c r="D1696" s="1">
        <f>IFERROR(__xludf.DUMMYFUNCTION("""COMPUTED_VALUE"""),1.62)</f>
        <v>1.62</v>
      </c>
      <c r="E1696" s="1">
        <f>IFERROR(__xludf.DUMMYFUNCTION("""COMPUTED_VALUE"""),1.68)</f>
        <v>1.68</v>
      </c>
      <c r="F1696" s="1">
        <f>IFERROR(__xludf.DUMMYFUNCTION("""COMPUTED_VALUE"""),220449.0)</f>
        <v>220449</v>
      </c>
    </row>
    <row r="1697">
      <c r="A1697" s="2">
        <f>IFERROR(__xludf.DUMMYFUNCTION("""COMPUTED_VALUE"""),41627.666666666664)</f>
        <v>41627.66667</v>
      </c>
      <c r="B1697" s="1">
        <f>IFERROR(__xludf.DUMMYFUNCTION("""COMPUTED_VALUE"""),1.67)</f>
        <v>1.67</v>
      </c>
      <c r="C1697" s="1">
        <f>IFERROR(__xludf.DUMMYFUNCTION("""COMPUTED_VALUE"""),1.7)</f>
        <v>1.7</v>
      </c>
      <c r="D1697" s="1">
        <f>IFERROR(__xludf.DUMMYFUNCTION("""COMPUTED_VALUE"""),1.66)</f>
        <v>1.66</v>
      </c>
      <c r="E1697" s="1">
        <f>IFERROR(__xludf.DUMMYFUNCTION("""COMPUTED_VALUE"""),1.66)</f>
        <v>1.66</v>
      </c>
      <c r="F1697" s="1">
        <f>IFERROR(__xludf.DUMMYFUNCTION("""COMPUTED_VALUE"""),233552.0)</f>
        <v>233552</v>
      </c>
    </row>
    <row r="1698">
      <c r="A1698" s="2">
        <f>IFERROR(__xludf.DUMMYFUNCTION("""COMPUTED_VALUE"""),41628.666666666664)</f>
        <v>41628.66667</v>
      </c>
      <c r="B1698" s="1">
        <f>IFERROR(__xludf.DUMMYFUNCTION("""COMPUTED_VALUE"""),1.67)</f>
        <v>1.67</v>
      </c>
      <c r="C1698" s="1">
        <f>IFERROR(__xludf.DUMMYFUNCTION("""COMPUTED_VALUE"""),1.68)</f>
        <v>1.68</v>
      </c>
      <c r="D1698" s="1">
        <f>IFERROR(__xludf.DUMMYFUNCTION("""COMPUTED_VALUE"""),1.65)</f>
        <v>1.65</v>
      </c>
      <c r="E1698" s="1">
        <f>IFERROR(__xludf.DUMMYFUNCTION("""COMPUTED_VALUE"""),1.68)</f>
        <v>1.68</v>
      </c>
      <c r="F1698" s="1">
        <f>IFERROR(__xludf.DUMMYFUNCTION("""COMPUTED_VALUE"""),681693.0)</f>
        <v>681693</v>
      </c>
    </row>
    <row r="1699">
      <c r="A1699" s="2">
        <f>IFERROR(__xludf.DUMMYFUNCTION("""COMPUTED_VALUE"""),41631.666666666664)</f>
        <v>41631.66667</v>
      </c>
      <c r="B1699" s="1">
        <f>IFERROR(__xludf.DUMMYFUNCTION("""COMPUTED_VALUE"""),1.68)</f>
        <v>1.68</v>
      </c>
      <c r="C1699" s="1">
        <f>IFERROR(__xludf.DUMMYFUNCTION("""COMPUTED_VALUE"""),1.72)</f>
        <v>1.72</v>
      </c>
      <c r="D1699" s="1">
        <f>IFERROR(__xludf.DUMMYFUNCTION("""COMPUTED_VALUE"""),1.67)</f>
        <v>1.67</v>
      </c>
      <c r="E1699" s="1">
        <f>IFERROR(__xludf.DUMMYFUNCTION("""COMPUTED_VALUE"""),1.72)</f>
        <v>1.72</v>
      </c>
      <c r="F1699" s="1">
        <f>IFERROR(__xludf.DUMMYFUNCTION("""COMPUTED_VALUE"""),185118.0)</f>
        <v>185118</v>
      </c>
    </row>
    <row r="1700">
      <c r="A1700" s="2">
        <f>IFERROR(__xludf.DUMMYFUNCTION("""COMPUTED_VALUE"""),41632.666666666664)</f>
        <v>41632.66667</v>
      </c>
      <c r="B1700" s="1">
        <f>IFERROR(__xludf.DUMMYFUNCTION("""COMPUTED_VALUE"""),1.71)</f>
        <v>1.71</v>
      </c>
      <c r="C1700" s="1">
        <f>IFERROR(__xludf.DUMMYFUNCTION("""COMPUTED_VALUE"""),1.72)</f>
        <v>1.72</v>
      </c>
      <c r="D1700" s="1">
        <f>IFERROR(__xludf.DUMMYFUNCTION("""COMPUTED_VALUE"""),1.71)</f>
        <v>1.71</v>
      </c>
      <c r="E1700" s="1">
        <f>IFERROR(__xludf.DUMMYFUNCTION("""COMPUTED_VALUE"""),1.72)</f>
        <v>1.72</v>
      </c>
      <c r="F1700" s="1">
        <f>IFERROR(__xludf.DUMMYFUNCTION("""COMPUTED_VALUE"""),72310.0)</f>
        <v>72310</v>
      </c>
    </row>
    <row r="1701">
      <c r="A1701" s="2">
        <f>IFERROR(__xludf.DUMMYFUNCTION("""COMPUTED_VALUE"""),41634.666666666664)</f>
        <v>41634.66667</v>
      </c>
      <c r="B1701" s="1">
        <f>IFERROR(__xludf.DUMMYFUNCTION("""COMPUTED_VALUE"""),1.72)</f>
        <v>1.72</v>
      </c>
      <c r="C1701" s="1">
        <f>IFERROR(__xludf.DUMMYFUNCTION("""COMPUTED_VALUE"""),1.72)</f>
        <v>1.72</v>
      </c>
      <c r="D1701" s="1">
        <f>IFERROR(__xludf.DUMMYFUNCTION("""COMPUTED_VALUE"""),1.7)</f>
        <v>1.7</v>
      </c>
      <c r="E1701" s="1">
        <f>IFERROR(__xludf.DUMMYFUNCTION("""COMPUTED_VALUE"""),1.72)</f>
        <v>1.72</v>
      </c>
      <c r="F1701" s="1">
        <f>IFERROR(__xludf.DUMMYFUNCTION("""COMPUTED_VALUE"""),156625.0)</f>
        <v>156625</v>
      </c>
    </row>
    <row r="1702">
      <c r="A1702" s="2">
        <f>IFERROR(__xludf.DUMMYFUNCTION("""COMPUTED_VALUE"""),41635.666666666664)</f>
        <v>41635.66667</v>
      </c>
      <c r="B1702" s="1">
        <f>IFERROR(__xludf.DUMMYFUNCTION("""COMPUTED_VALUE"""),1.72)</f>
        <v>1.72</v>
      </c>
      <c r="C1702" s="1">
        <f>IFERROR(__xludf.DUMMYFUNCTION("""COMPUTED_VALUE"""),1.72)</f>
        <v>1.72</v>
      </c>
      <c r="D1702" s="1">
        <f>IFERROR(__xludf.DUMMYFUNCTION("""COMPUTED_VALUE"""),1.7)</f>
        <v>1.7</v>
      </c>
      <c r="E1702" s="1">
        <f>IFERROR(__xludf.DUMMYFUNCTION("""COMPUTED_VALUE"""),1.72)</f>
        <v>1.72</v>
      </c>
      <c r="F1702" s="1">
        <f>IFERROR(__xludf.DUMMYFUNCTION("""COMPUTED_VALUE"""),115019.0)</f>
        <v>115019</v>
      </c>
    </row>
    <row r="1703">
      <c r="A1703" s="2">
        <f>IFERROR(__xludf.DUMMYFUNCTION("""COMPUTED_VALUE"""),41638.666666666664)</f>
        <v>41638.66667</v>
      </c>
      <c r="B1703" s="1">
        <f>IFERROR(__xludf.DUMMYFUNCTION("""COMPUTED_VALUE"""),1.72)</f>
        <v>1.72</v>
      </c>
      <c r="C1703" s="1">
        <f>IFERROR(__xludf.DUMMYFUNCTION("""COMPUTED_VALUE"""),1.72)</f>
        <v>1.72</v>
      </c>
      <c r="D1703" s="1">
        <f>IFERROR(__xludf.DUMMYFUNCTION("""COMPUTED_VALUE"""),1.7)</f>
        <v>1.7</v>
      </c>
      <c r="E1703" s="1">
        <f>IFERROR(__xludf.DUMMYFUNCTION("""COMPUTED_VALUE"""),1.7)</f>
        <v>1.7</v>
      </c>
      <c r="F1703" s="1">
        <f>IFERROR(__xludf.DUMMYFUNCTION("""COMPUTED_VALUE"""),92565.0)</f>
        <v>92565</v>
      </c>
    </row>
    <row r="1704">
      <c r="A1704" s="2">
        <f>IFERROR(__xludf.DUMMYFUNCTION("""COMPUTED_VALUE"""),41639.666666666664)</f>
        <v>41639.66667</v>
      </c>
      <c r="B1704" s="1">
        <f>IFERROR(__xludf.DUMMYFUNCTION("""COMPUTED_VALUE"""),1.71)</f>
        <v>1.71</v>
      </c>
      <c r="C1704" s="1">
        <f>IFERROR(__xludf.DUMMYFUNCTION("""COMPUTED_VALUE"""),1.72)</f>
        <v>1.72</v>
      </c>
      <c r="D1704" s="1">
        <f>IFERROR(__xludf.DUMMYFUNCTION("""COMPUTED_VALUE"""),1.7)</f>
        <v>1.7</v>
      </c>
      <c r="E1704" s="1">
        <f>IFERROR(__xludf.DUMMYFUNCTION("""COMPUTED_VALUE"""),1.72)</f>
        <v>1.72</v>
      </c>
      <c r="F1704" s="1">
        <f>IFERROR(__xludf.DUMMYFUNCTION("""COMPUTED_VALUE"""),162899.0)</f>
        <v>162899</v>
      </c>
    </row>
    <row r="1705">
      <c r="A1705" s="2">
        <f>IFERROR(__xludf.DUMMYFUNCTION("""COMPUTED_VALUE"""),41641.666666666664)</f>
        <v>41641.66667</v>
      </c>
      <c r="B1705" s="1">
        <f>IFERROR(__xludf.DUMMYFUNCTION("""COMPUTED_VALUE"""),1.7)</f>
        <v>1.7</v>
      </c>
      <c r="C1705" s="1">
        <f>IFERROR(__xludf.DUMMYFUNCTION("""COMPUTED_VALUE"""),1.71)</f>
        <v>1.71</v>
      </c>
      <c r="D1705" s="1">
        <f>IFERROR(__xludf.DUMMYFUNCTION("""COMPUTED_VALUE"""),1.64)</f>
        <v>1.64</v>
      </c>
      <c r="E1705" s="1">
        <f>IFERROR(__xludf.DUMMYFUNCTION("""COMPUTED_VALUE"""),1.64)</f>
        <v>1.64</v>
      </c>
      <c r="F1705" s="1">
        <f>IFERROR(__xludf.DUMMYFUNCTION("""COMPUTED_VALUE"""),211934.0)</f>
        <v>211934</v>
      </c>
    </row>
    <row r="1706">
      <c r="A1706" s="2">
        <f>IFERROR(__xludf.DUMMYFUNCTION("""COMPUTED_VALUE"""),41642.666666666664)</f>
        <v>41642.66667</v>
      </c>
      <c r="B1706" s="1">
        <f>IFERROR(__xludf.DUMMYFUNCTION("""COMPUTED_VALUE"""),1.65)</f>
        <v>1.65</v>
      </c>
      <c r="C1706" s="1">
        <f>IFERROR(__xludf.DUMMYFUNCTION("""COMPUTED_VALUE"""),1.68)</f>
        <v>1.68</v>
      </c>
      <c r="D1706" s="1">
        <f>IFERROR(__xludf.DUMMYFUNCTION("""COMPUTED_VALUE"""),1.64)</f>
        <v>1.64</v>
      </c>
      <c r="E1706" s="1">
        <f>IFERROR(__xludf.DUMMYFUNCTION("""COMPUTED_VALUE"""),1.67)</f>
        <v>1.67</v>
      </c>
      <c r="F1706" s="1">
        <f>IFERROR(__xludf.DUMMYFUNCTION("""COMPUTED_VALUE"""),239910.0)</f>
        <v>239910</v>
      </c>
    </row>
    <row r="1707">
      <c r="A1707" s="2">
        <f>IFERROR(__xludf.DUMMYFUNCTION("""COMPUTED_VALUE"""),41645.666666666664)</f>
        <v>41645.66667</v>
      </c>
      <c r="B1707" s="1">
        <f>IFERROR(__xludf.DUMMYFUNCTION("""COMPUTED_VALUE"""),1.67)</f>
        <v>1.67</v>
      </c>
      <c r="C1707" s="1">
        <f>IFERROR(__xludf.DUMMYFUNCTION("""COMPUTED_VALUE"""),1.7)</f>
        <v>1.7</v>
      </c>
      <c r="D1707" s="1">
        <f>IFERROR(__xludf.DUMMYFUNCTION("""COMPUTED_VALUE"""),1.65)</f>
        <v>1.65</v>
      </c>
      <c r="E1707" s="1">
        <f>IFERROR(__xludf.DUMMYFUNCTION("""COMPUTED_VALUE"""),1.66)</f>
        <v>1.66</v>
      </c>
      <c r="F1707" s="1">
        <f>IFERROR(__xludf.DUMMYFUNCTION("""COMPUTED_VALUE"""),218903.0)</f>
        <v>218903</v>
      </c>
    </row>
    <row r="1708">
      <c r="A1708" s="2">
        <f>IFERROR(__xludf.DUMMYFUNCTION("""COMPUTED_VALUE"""),41646.666666666664)</f>
        <v>41646.66667</v>
      </c>
      <c r="B1708" s="1">
        <f>IFERROR(__xludf.DUMMYFUNCTION("""COMPUTED_VALUE"""),1.67)</f>
        <v>1.67</v>
      </c>
      <c r="C1708" s="1">
        <f>IFERROR(__xludf.DUMMYFUNCTION("""COMPUTED_VALUE"""),1.71)</f>
        <v>1.71</v>
      </c>
      <c r="D1708" s="1">
        <f>IFERROR(__xludf.DUMMYFUNCTION("""COMPUTED_VALUE"""),1.67)</f>
        <v>1.67</v>
      </c>
      <c r="E1708" s="1">
        <f>IFERROR(__xludf.DUMMYFUNCTION("""COMPUTED_VALUE"""),1.68)</f>
        <v>1.68</v>
      </c>
      <c r="F1708" s="1">
        <f>IFERROR(__xludf.DUMMYFUNCTION("""COMPUTED_VALUE"""),175947.0)</f>
        <v>175947</v>
      </c>
    </row>
    <row r="1709">
      <c r="A1709" s="2">
        <f>IFERROR(__xludf.DUMMYFUNCTION("""COMPUTED_VALUE"""),41647.666666666664)</f>
        <v>41647.66667</v>
      </c>
      <c r="B1709" s="1">
        <f>IFERROR(__xludf.DUMMYFUNCTION("""COMPUTED_VALUE"""),1.68)</f>
        <v>1.68</v>
      </c>
      <c r="C1709" s="1">
        <f>IFERROR(__xludf.DUMMYFUNCTION("""COMPUTED_VALUE"""),1.69)</f>
        <v>1.69</v>
      </c>
      <c r="D1709" s="1">
        <f>IFERROR(__xludf.DUMMYFUNCTION("""COMPUTED_VALUE"""),1.66)</f>
        <v>1.66</v>
      </c>
      <c r="E1709" s="1">
        <f>IFERROR(__xludf.DUMMYFUNCTION("""COMPUTED_VALUE"""),1.67)</f>
        <v>1.67</v>
      </c>
      <c r="F1709" s="1">
        <f>IFERROR(__xludf.DUMMYFUNCTION("""COMPUTED_VALUE"""),213350.0)</f>
        <v>213350</v>
      </c>
    </row>
    <row r="1710">
      <c r="A1710" s="2">
        <f>IFERROR(__xludf.DUMMYFUNCTION("""COMPUTED_VALUE"""),41648.666666666664)</f>
        <v>41648.66667</v>
      </c>
      <c r="B1710" s="1">
        <f>IFERROR(__xludf.DUMMYFUNCTION("""COMPUTED_VALUE"""),1.68)</f>
        <v>1.68</v>
      </c>
      <c r="C1710" s="1">
        <f>IFERROR(__xludf.DUMMYFUNCTION("""COMPUTED_VALUE"""),1.68)</f>
        <v>1.68</v>
      </c>
      <c r="D1710" s="1">
        <f>IFERROR(__xludf.DUMMYFUNCTION("""COMPUTED_VALUE"""),1.63)</f>
        <v>1.63</v>
      </c>
      <c r="E1710" s="1">
        <f>IFERROR(__xludf.DUMMYFUNCTION("""COMPUTED_VALUE"""),1.66)</f>
        <v>1.66</v>
      </c>
      <c r="F1710" s="1">
        <f>IFERROR(__xludf.DUMMYFUNCTION("""COMPUTED_VALUE"""),188370.0)</f>
        <v>188370</v>
      </c>
    </row>
    <row r="1711">
      <c r="A1711" s="2">
        <f>IFERROR(__xludf.DUMMYFUNCTION("""COMPUTED_VALUE"""),41649.666666666664)</f>
        <v>41649.66667</v>
      </c>
      <c r="B1711" s="1">
        <f>IFERROR(__xludf.DUMMYFUNCTION("""COMPUTED_VALUE"""),1.66)</f>
        <v>1.66</v>
      </c>
      <c r="C1711" s="1">
        <f>IFERROR(__xludf.DUMMYFUNCTION("""COMPUTED_VALUE"""),1.7)</f>
        <v>1.7</v>
      </c>
      <c r="D1711" s="1">
        <f>IFERROR(__xludf.DUMMYFUNCTION("""COMPUTED_VALUE"""),1.64)</f>
        <v>1.64</v>
      </c>
      <c r="E1711" s="1">
        <f>IFERROR(__xludf.DUMMYFUNCTION("""COMPUTED_VALUE"""),1.69)</f>
        <v>1.69</v>
      </c>
      <c r="F1711" s="1">
        <f>IFERROR(__xludf.DUMMYFUNCTION("""COMPUTED_VALUE"""),153568.0)</f>
        <v>153568</v>
      </c>
    </row>
    <row r="1712">
      <c r="A1712" s="2">
        <f>IFERROR(__xludf.DUMMYFUNCTION("""COMPUTED_VALUE"""),41652.666666666664)</f>
        <v>41652.66667</v>
      </c>
      <c r="B1712" s="1">
        <f>IFERROR(__xludf.DUMMYFUNCTION("""COMPUTED_VALUE"""),1.69)</f>
        <v>1.69</v>
      </c>
      <c r="C1712" s="1">
        <f>IFERROR(__xludf.DUMMYFUNCTION("""COMPUTED_VALUE"""),1.71)</f>
        <v>1.71</v>
      </c>
      <c r="D1712" s="1">
        <f>IFERROR(__xludf.DUMMYFUNCTION("""COMPUTED_VALUE"""),1.65)</f>
        <v>1.65</v>
      </c>
      <c r="E1712" s="1">
        <f>IFERROR(__xludf.DUMMYFUNCTION("""COMPUTED_VALUE"""),1.66)</f>
        <v>1.66</v>
      </c>
      <c r="F1712" s="1">
        <f>IFERROR(__xludf.DUMMYFUNCTION("""COMPUTED_VALUE"""),137349.0)</f>
        <v>137349</v>
      </c>
    </row>
    <row r="1713">
      <c r="A1713" s="2">
        <f>IFERROR(__xludf.DUMMYFUNCTION("""COMPUTED_VALUE"""),41653.666666666664)</f>
        <v>41653.66667</v>
      </c>
      <c r="B1713" s="1">
        <f>IFERROR(__xludf.DUMMYFUNCTION("""COMPUTED_VALUE"""),1.68)</f>
        <v>1.68</v>
      </c>
      <c r="C1713" s="1">
        <f>IFERROR(__xludf.DUMMYFUNCTION("""COMPUTED_VALUE"""),1.71)</f>
        <v>1.71</v>
      </c>
      <c r="D1713" s="1">
        <f>IFERROR(__xludf.DUMMYFUNCTION("""COMPUTED_VALUE"""),1.68)</f>
        <v>1.68</v>
      </c>
      <c r="E1713" s="1">
        <f>IFERROR(__xludf.DUMMYFUNCTION("""COMPUTED_VALUE"""),1.7)</f>
        <v>1.7</v>
      </c>
      <c r="F1713" s="1">
        <f>IFERROR(__xludf.DUMMYFUNCTION("""COMPUTED_VALUE"""),166257.0)</f>
        <v>166257</v>
      </c>
    </row>
    <row r="1714">
      <c r="A1714" s="2">
        <f>IFERROR(__xludf.DUMMYFUNCTION("""COMPUTED_VALUE"""),41654.666666666664)</f>
        <v>41654.66667</v>
      </c>
      <c r="B1714" s="1">
        <f>IFERROR(__xludf.DUMMYFUNCTION("""COMPUTED_VALUE"""),1.7)</f>
        <v>1.7</v>
      </c>
      <c r="C1714" s="1">
        <f>IFERROR(__xludf.DUMMYFUNCTION("""COMPUTED_VALUE"""),1.74)</f>
        <v>1.74</v>
      </c>
      <c r="D1714" s="1">
        <f>IFERROR(__xludf.DUMMYFUNCTION("""COMPUTED_VALUE"""),1.7)</f>
        <v>1.7</v>
      </c>
      <c r="E1714" s="1">
        <f>IFERROR(__xludf.DUMMYFUNCTION("""COMPUTED_VALUE"""),1.73)</f>
        <v>1.73</v>
      </c>
      <c r="F1714" s="1">
        <f>IFERROR(__xludf.DUMMYFUNCTION("""COMPUTED_VALUE"""),542464.0)</f>
        <v>542464</v>
      </c>
    </row>
    <row r="1715">
      <c r="A1715" s="2">
        <f>IFERROR(__xludf.DUMMYFUNCTION("""COMPUTED_VALUE"""),41655.666666666664)</f>
        <v>41655.66667</v>
      </c>
      <c r="B1715" s="1">
        <f>IFERROR(__xludf.DUMMYFUNCTION("""COMPUTED_VALUE"""),1.73)</f>
        <v>1.73</v>
      </c>
      <c r="C1715" s="1">
        <f>IFERROR(__xludf.DUMMYFUNCTION("""COMPUTED_VALUE"""),1.82)</f>
        <v>1.82</v>
      </c>
      <c r="D1715" s="1">
        <f>IFERROR(__xludf.DUMMYFUNCTION("""COMPUTED_VALUE"""),1.73)</f>
        <v>1.73</v>
      </c>
      <c r="E1715" s="1">
        <f>IFERROR(__xludf.DUMMYFUNCTION("""COMPUTED_VALUE"""),1.8)</f>
        <v>1.8</v>
      </c>
      <c r="F1715" s="1">
        <f>IFERROR(__xludf.DUMMYFUNCTION("""COMPUTED_VALUE"""),683346.0)</f>
        <v>683346</v>
      </c>
    </row>
    <row r="1716">
      <c r="A1716" s="2">
        <f>IFERROR(__xludf.DUMMYFUNCTION("""COMPUTED_VALUE"""),41656.666666666664)</f>
        <v>41656.66667</v>
      </c>
      <c r="B1716" s="1">
        <f>IFERROR(__xludf.DUMMYFUNCTION("""COMPUTED_VALUE"""),1.81)</f>
        <v>1.81</v>
      </c>
      <c r="C1716" s="1">
        <f>IFERROR(__xludf.DUMMYFUNCTION("""COMPUTED_VALUE"""),1.82)</f>
        <v>1.82</v>
      </c>
      <c r="D1716" s="1">
        <f>IFERROR(__xludf.DUMMYFUNCTION("""COMPUTED_VALUE"""),1.76)</f>
        <v>1.76</v>
      </c>
      <c r="E1716" s="1">
        <f>IFERROR(__xludf.DUMMYFUNCTION("""COMPUTED_VALUE"""),1.8)</f>
        <v>1.8</v>
      </c>
      <c r="F1716" s="1">
        <f>IFERROR(__xludf.DUMMYFUNCTION("""COMPUTED_VALUE"""),392495.0)</f>
        <v>392495</v>
      </c>
    </row>
    <row r="1717">
      <c r="A1717" s="2">
        <f>IFERROR(__xludf.DUMMYFUNCTION("""COMPUTED_VALUE"""),41660.666666666664)</f>
        <v>41660.66667</v>
      </c>
      <c r="B1717" s="1">
        <f>IFERROR(__xludf.DUMMYFUNCTION("""COMPUTED_VALUE"""),1.8)</f>
        <v>1.8</v>
      </c>
      <c r="C1717" s="1">
        <f>IFERROR(__xludf.DUMMYFUNCTION("""COMPUTED_VALUE"""),1.85)</f>
        <v>1.85</v>
      </c>
      <c r="D1717" s="1">
        <f>IFERROR(__xludf.DUMMYFUNCTION("""COMPUTED_VALUE"""),1.79)</f>
        <v>1.79</v>
      </c>
      <c r="E1717" s="1">
        <f>IFERROR(__xludf.DUMMYFUNCTION("""COMPUTED_VALUE"""),1.85)</f>
        <v>1.85</v>
      </c>
      <c r="F1717" s="1">
        <f>IFERROR(__xludf.DUMMYFUNCTION("""COMPUTED_VALUE"""),517828.0)</f>
        <v>517828</v>
      </c>
    </row>
    <row r="1718">
      <c r="A1718" s="2">
        <f>IFERROR(__xludf.DUMMYFUNCTION("""COMPUTED_VALUE"""),41661.666666666664)</f>
        <v>41661.66667</v>
      </c>
      <c r="B1718" s="1">
        <f>IFERROR(__xludf.DUMMYFUNCTION("""COMPUTED_VALUE"""),2.03)</f>
        <v>2.03</v>
      </c>
      <c r="C1718" s="1">
        <f>IFERROR(__xludf.DUMMYFUNCTION("""COMPUTED_VALUE"""),2.35)</f>
        <v>2.35</v>
      </c>
      <c r="D1718" s="1">
        <f>IFERROR(__xludf.DUMMYFUNCTION("""COMPUTED_VALUE"""),2.03)</f>
        <v>2.03</v>
      </c>
      <c r="E1718" s="1">
        <f>IFERROR(__xludf.DUMMYFUNCTION("""COMPUTED_VALUE"""),2.3)</f>
        <v>2.3</v>
      </c>
      <c r="F1718" s="1">
        <f>IFERROR(__xludf.DUMMYFUNCTION("""COMPUTED_VALUE"""),3357045.0)</f>
        <v>3357045</v>
      </c>
    </row>
    <row r="1719">
      <c r="A1719" s="2">
        <f>IFERROR(__xludf.DUMMYFUNCTION("""COMPUTED_VALUE"""),41662.666666666664)</f>
        <v>41662.66667</v>
      </c>
      <c r="B1719" s="1">
        <f>IFERROR(__xludf.DUMMYFUNCTION("""COMPUTED_VALUE"""),2.28)</f>
        <v>2.28</v>
      </c>
      <c r="C1719" s="1">
        <f>IFERROR(__xludf.DUMMYFUNCTION("""COMPUTED_VALUE"""),2.33)</f>
        <v>2.33</v>
      </c>
      <c r="D1719" s="1">
        <f>IFERROR(__xludf.DUMMYFUNCTION("""COMPUTED_VALUE"""),2.16)</f>
        <v>2.16</v>
      </c>
      <c r="E1719" s="1">
        <f>IFERROR(__xludf.DUMMYFUNCTION("""COMPUTED_VALUE"""),2.2)</f>
        <v>2.2</v>
      </c>
      <c r="F1719" s="1">
        <f>IFERROR(__xludf.DUMMYFUNCTION("""COMPUTED_VALUE"""),1131104.0)</f>
        <v>1131104</v>
      </c>
    </row>
    <row r="1720">
      <c r="A1720" s="2">
        <f>IFERROR(__xludf.DUMMYFUNCTION("""COMPUTED_VALUE"""),41663.666666666664)</f>
        <v>41663.66667</v>
      </c>
      <c r="B1720" s="1">
        <f>IFERROR(__xludf.DUMMYFUNCTION("""COMPUTED_VALUE"""),2.08)</f>
        <v>2.08</v>
      </c>
      <c r="C1720" s="1">
        <f>IFERROR(__xludf.DUMMYFUNCTION("""COMPUTED_VALUE"""),2.15)</f>
        <v>2.15</v>
      </c>
      <c r="D1720" s="1">
        <f>IFERROR(__xludf.DUMMYFUNCTION("""COMPUTED_VALUE"""),2.04)</f>
        <v>2.04</v>
      </c>
      <c r="E1720" s="1">
        <f>IFERROR(__xludf.DUMMYFUNCTION("""COMPUTED_VALUE"""),2.1)</f>
        <v>2.1</v>
      </c>
      <c r="F1720" s="1">
        <f>IFERROR(__xludf.DUMMYFUNCTION("""COMPUTED_VALUE"""),1185165.0)</f>
        <v>1185165</v>
      </c>
    </row>
    <row r="1721">
      <c r="A1721" s="2">
        <f>IFERROR(__xludf.DUMMYFUNCTION("""COMPUTED_VALUE"""),41666.666666666664)</f>
        <v>41666.66667</v>
      </c>
      <c r="B1721" s="1">
        <f>IFERROR(__xludf.DUMMYFUNCTION("""COMPUTED_VALUE"""),2.09)</f>
        <v>2.09</v>
      </c>
      <c r="C1721" s="1">
        <f>IFERROR(__xludf.DUMMYFUNCTION("""COMPUTED_VALUE"""),2.19)</f>
        <v>2.19</v>
      </c>
      <c r="D1721" s="1">
        <f>IFERROR(__xludf.DUMMYFUNCTION("""COMPUTED_VALUE"""),2.08)</f>
        <v>2.08</v>
      </c>
      <c r="E1721" s="1">
        <f>IFERROR(__xludf.DUMMYFUNCTION("""COMPUTED_VALUE"""),2.15)</f>
        <v>2.15</v>
      </c>
      <c r="F1721" s="1">
        <f>IFERROR(__xludf.DUMMYFUNCTION("""COMPUTED_VALUE"""),754487.0)</f>
        <v>754487</v>
      </c>
    </row>
    <row r="1722">
      <c r="A1722" s="2">
        <f>IFERROR(__xludf.DUMMYFUNCTION("""COMPUTED_VALUE"""),41667.666666666664)</f>
        <v>41667.66667</v>
      </c>
      <c r="B1722" s="1">
        <f>IFERROR(__xludf.DUMMYFUNCTION("""COMPUTED_VALUE"""),2.14)</f>
        <v>2.14</v>
      </c>
      <c r="C1722" s="1">
        <f>IFERROR(__xludf.DUMMYFUNCTION("""COMPUTED_VALUE"""),2.2)</f>
        <v>2.2</v>
      </c>
      <c r="D1722" s="1">
        <f>IFERROR(__xludf.DUMMYFUNCTION("""COMPUTED_VALUE"""),2.1)</f>
        <v>2.1</v>
      </c>
      <c r="E1722" s="1">
        <f>IFERROR(__xludf.DUMMYFUNCTION("""COMPUTED_VALUE"""),2.19)</f>
        <v>2.19</v>
      </c>
      <c r="F1722" s="1">
        <f>IFERROR(__xludf.DUMMYFUNCTION("""COMPUTED_VALUE"""),610769.0)</f>
        <v>610769</v>
      </c>
    </row>
    <row r="1723">
      <c r="A1723" s="2">
        <f>IFERROR(__xludf.DUMMYFUNCTION("""COMPUTED_VALUE"""),41668.666666666664)</f>
        <v>41668.66667</v>
      </c>
      <c r="B1723" s="1">
        <f>IFERROR(__xludf.DUMMYFUNCTION("""COMPUTED_VALUE"""),2.17)</f>
        <v>2.17</v>
      </c>
      <c r="C1723" s="1">
        <f>IFERROR(__xludf.DUMMYFUNCTION("""COMPUTED_VALUE"""),2.23)</f>
        <v>2.23</v>
      </c>
      <c r="D1723" s="1">
        <f>IFERROR(__xludf.DUMMYFUNCTION("""COMPUTED_VALUE"""),2.09)</f>
        <v>2.09</v>
      </c>
      <c r="E1723" s="1">
        <f>IFERROR(__xludf.DUMMYFUNCTION("""COMPUTED_VALUE"""),2.11)</f>
        <v>2.11</v>
      </c>
      <c r="F1723" s="1">
        <f>IFERROR(__xludf.DUMMYFUNCTION("""COMPUTED_VALUE"""),531731.0)</f>
        <v>531731</v>
      </c>
    </row>
    <row r="1724">
      <c r="A1724" s="2">
        <f>IFERROR(__xludf.DUMMYFUNCTION("""COMPUTED_VALUE"""),41669.666666666664)</f>
        <v>41669.66667</v>
      </c>
      <c r="B1724" s="1">
        <f>IFERROR(__xludf.DUMMYFUNCTION("""COMPUTED_VALUE"""),2.14)</f>
        <v>2.14</v>
      </c>
      <c r="C1724" s="1">
        <f>IFERROR(__xludf.DUMMYFUNCTION("""COMPUTED_VALUE"""),2.16)</f>
        <v>2.16</v>
      </c>
      <c r="D1724" s="1">
        <f>IFERROR(__xludf.DUMMYFUNCTION("""COMPUTED_VALUE"""),2.12)</f>
        <v>2.12</v>
      </c>
      <c r="E1724" s="1">
        <f>IFERROR(__xludf.DUMMYFUNCTION("""COMPUTED_VALUE"""),2.13)</f>
        <v>2.13</v>
      </c>
      <c r="F1724" s="1">
        <f>IFERROR(__xludf.DUMMYFUNCTION("""COMPUTED_VALUE"""),381837.0)</f>
        <v>381837</v>
      </c>
    </row>
    <row r="1725">
      <c r="A1725" s="2">
        <f>IFERROR(__xludf.DUMMYFUNCTION("""COMPUTED_VALUE"""),41670.666666666664)</f>
        <v>41670.66667</v>
      </c>
      <c r="B1725" s="1">
        <f>IFERROR(__xludf.DUMMYFUNCTION("""COMPUTED_VALUE"""),2.11)</f>
        <v>2.11</v>
      </c>
      <c r="C1725" s="1">
        <f>IFERROR(__xludf.DUMMYFUNCTION("""COMPUTED_VALUE"""),2.13)</f>
        <v>2.13</v>
      </c>
      <c r="D1725" s="1">
        <f>IFERROR(__xludf.DUMMYFUNCTION("""COMPUTED_VALUE"""),2.04)</f>
        <v>2.04</v>
      </c>
      <c r="E1725" s="1">
        <f>IFERROR(__xludf.DUMMYFUNCTION("""COMPUTED_VALUE"""),2.06)</f>
        <v>2.06</v>
      </c>
      <c r="F1725" s="1">
        <f>IFERROR(__xludf.DUMMYFUNCTION("""COMPUTED_VALUE"""),737105.0)</f>
        <v>737105</v>
      </c>
    </row>
    <row r="1726">
      <c r="A1726" s="2">
        <f>IFERROR(__xludf.DUMMYFUNCTION("""COMPUTED_VALUE"""),41673.666666666664)</f>
        <v>41673.66667</v>
      </c>
      <c r="B1726" s="1">
        <f>IFERROR(__xludf.DUMMYFUNCTION("""COMPUTED_VALUE"""),2.06)</f>
        <v>2.06</v>
      </c>
      <c r="C1726" s="1">
        <f>IFERROR(__xludf.DUMMYFUNCTION("""COMPUTED_VALUE"""),2.07)</f>
        <v>2.07</v>
      </c>
      <c r="D1726" s="1">
        <f>IFERROR(__xludf.DUMMYFUNCTION("""COMPUTED_VALUE"""),2.0)</f>
        <v>2</v>
      </c>
      <c r="E1726" s="1">
        <f>IFERROR(__xludf.DUMMYFUNCTION("""COMPUTED_VALUE"""),2.01)</f>
        <v>2.01</v>
      </c>
      <c r="F1726" s="1">
        <f>IFERROR(__xludf.DUMMYFUNCTION("""COMPUTED_VALUE"""),580988.0)</f>
        <v>580988</v>
      </c>
    </row>
    <row r="1727">
      <c r="A1727" s="2">
        <f>IFERROR(__xludf.DUMMYFUNCTION("""COMPUTED_VALUE"""),41674.666666666664)</f>
        <v>41674.66667</v>
      </c>
      <c r="B1727" s="1">
        <f>IFERROR(__xludf.DUMMYFUNCTION("""COMPUTED_VALUE"""),2.02)</f>
        <v>2.02</v>
      </c>
      <c r="C1727" s="1">
        <f>IFERROR(__xludf.DUMMYFUNCTION("""COMPUTED_VALUE"""),2.05)</f>
        <v>2.05</v>
      </c>
      <c r="D1727" s="1">
        <f>IFERROR(__xludf.DUMMYFUNCTION("""COMPUTED_VALUE"""),1.96)</f>
        <v>1.96</v>
      </c>
      <c r="E1727" s="1">
        <f>IFERROR(__xludf.DUMMYFUNCTION("""COMPUTED_VALUE"""),2.02)</f>
        <v>2.02</v>
      </c>
      <c r="F1727" s="1">
        <f>IFERROR(__xludf.DUMMYFUNCTION("""COMPUTED_VALUE"""),449235.0)</f>
        <v>449235</v>
      </c>
    </row>
    <row r="1728">
      <c r="A1728" s="2">
        <f>IFERROR(__xludf.DUMMYFUNCTION("""COMPUTED_VALUE"""),41675.666666666664)</f>
        <v>41675.66667</v>
      </c>
      <c r="B1728" s="1">
        <f>IFERROR(__xludf.DUMMYFUNCTION("""COMPUTED_VALUE"""),2.01)</f>
        <v>2.01</v>
      </c>
      <c r="C1728" s="1">
        <f>IFERROR(__xludf.DUMMYFUNCTION("""COMPUTED_VALUE"""),2.04)</f>
        <v>2.04</v>
      </c>
      <c r="D1728" s="1">
        <f>IFERROR(__xludf.DUMMYFUNCTION("""COMPUTED_VALUE"""),1.95)</f>
        <v>1.95</v>
      </c>
      <c r="E1728" s="1">
        <f>IFERROR(__xludf.DUMMYFUNCTION("""COMPUTED_VALUE"""),2.02)</f>
        <v>2.02</v>
      </c>
      <c r="F1728" s="1">
        <f>IFERROR(__xludf.DUMMYFUNCTION("""COMPUTED_VALUE"""),302615.0)</f>
        <v>302615</v>
      </c>
    </row>
    <row r="1729">
      <c r="A1729" s="2">
        <f>IFERROR(__xludf.DUMMYFUNCTION("""COMPUTED_VALUE"""),41676.666666666664)</f>
        <v>41676.66667</v>
      </c>
      <c r="B1729" s="1">
        <f>IFERROR(__xludf.DUMMYFUNCTION("""COMPUTED_VALUE"""),2.02)</f>
        <v>2.02</v>
      </c>
      <c r="C1729" s="1">
        <f>IFERROR(__xludf.DUMMYFUNCTION("""COMPUTED_VALUE"""),2.1)</f>
        <v>2.1</v>
      </c>
      <c r="D1729" s="1">
        <f>IFERROR(__xludf.DUMMYFUNCTION("""COMPUTED_VALUE"""),2.0)</f>
        <v>2</v>
      </c>
      <c r="E1729" s="1">
        <f>IFERROR(__xludf.DUMMYFUNCTION("""COMPUTED_VALUE"""),2.08)</f>
        <v>2.08</v>
      </c>
      <c r="F1729" s="1">
        <f>IFERROR(__xludf.DUMMYFUNCTION("""COMPUTED_VALUE"""),490858.0)</f>
        <v>490858</v>
      </c>
    </row>
    <row r="1730">
      <c r="A1730" s="2">
        <f>IFERROR(__xludf.DUMMYFUNCTION("""COMPUTED_VALUE"""),41677.666666666664)</f>
        <v>41677.66667</v>
      </c>
      <c r="B1730" s="1">
        <f>IFERROR(__xludf.DUMMYFUNCTION("""COMPUTED_VALUE"""),2.09)</f>
        <v>2.09</v>
      </c>
      <c r="C1730" s="1">
        <f>IFERROR(__xludf.DUMMYFUNCTION("""COMPUTED_VALUE"""),2.12)</f>
        <v>2.12</v>
      </c>
      <c r="D1730" s="1">
        <f>IFERROR(__xludf.DUMMYFUNCTION("""COMPUTED_VALUE"""),2.07)</f>
        <v>2.07</v>
      </c>
      <c r="E1730" s="1">
        <f>IFERROR(__xludf.DUMMYFUNCTION("""COMPUTED_VALUE"""),2.1)</f>
        <v>2.1</v>
      </c>
      <c r="F1730" s="1">
        <f>IFERROR(__xludf.DUMMYFUNCTION("""COMPUTED_VALUE"""),317857.0)</f>
        <v>317857</v>
      </c>
    </row>
    <row r="1731">
      <c r="A1731" s="2">
        <f>IFERROR(__xludf.DUMMYFUNCTION("""COMPUTED_VALUE"""),41680.666666666664)</f>
        <v>41680.66667</v>
      </c>
      <c r="B1731" s="1">
        <f>IFERROR(__xludf.DUMMYFUNCTION("""COMPUTED_VALUE"""),2.09)</f>
        <v>2.09</v>
      </c>
      <c r="C1731" s="1">
        <f>IFERROR(__xludf.DUMMYFUNCTION("""COMPUTED_VALUE"""),2.13)</f>
        <v>2.13</v>
      </c>
      <c r="D1731" s="1">
        <f>IFERROR(__xludf.DUMMYFUNCTION("""COMPUTED_VALUE"""),2.05)</f>
        <v>2.05</v>
      </c>
      <c r="E1731" s="1">
        <f>IFERROR(__xludf.DUMMYFUNCTION("""COMPUTED_VALUE"""),2.13)</f>
        <v>2.13</v>
      </c>
      <c r="F1731" s="1">
        <f>IFERROR(__xludf.DUMMYFUNCTION("""COMPUTED_VALUE"""),429621.0)</f>
        <v>429621</v>
      </c>
    </row>
    <row r="1732">
      <c r="A1732" s="2">
        <f>IFERROR(__xludf.DUMMYFUNCTION("""COMPUTED_VALUE"""),41681.666666666664)</f>
        <v>41681.66667</v>
      </c>
      <c r="B1732" s="1">
        <f>IFERROR(__xludf.DUMMYFUNCTION("""COMPUTED_VALUE"""),2.13)</f>
        <v>2.13</v>
      </c>
      <c r="C1732" s="1">
        <f>IFERROR(__xludf.DUMMYFUNCTION("""COMPUTED_VALUE"""),2.19)</f>
        <v>2.19</v>
      </c>
      <c r="D1732" s="1">
        <f>IFERROR(__xludf.DUMMYFUNCTION("""COMPUTED_VALUE"""),2.11)</f>
        <v>2.11</v>
      </c>
      <c r="E1732" s="1">
        <f>IFERROR(__xludf.DUMMYFUNCTION("""COMPUTED_VALUE"""),2.18)</f>
        <v>2.18</v>
      </c>
      <c r="F1732" s="1">
        <f>IFERROR(__xludf.DUMMYFUNCTION("""COMPUTED_VALUE"""),548996.0)</f>
        <v>548996</v>
      </c>
    </row>
    <row r="1733">
      <c r="A1733" s="2">
        <f>IFERROR(__xludf.DUMMYFUNCTION("""COMPUTED_VALUE"""),41682.666666666664)</f>
        <v>41682.66667</v>
      </c>
      <c r="B1733" s="1">
        <f>IFERROR(__xludf.DUMMYFUNCTION("""COMPUTED_VALUE"""),2.19)</f>
        <v>2.19</v>
      </c>
      <c r="C1733" s="1">
        <f>IFERROR(__xludf.DUMMYFUNCTION("""COMPUTED_VALUE"""),2.21)</f>
        <v>2.21</v>
      </c>
      <c r="D1733" s="1">
        <f>IFERROR(__xludf.DUMMYFUNCTION("""COMPUTED_VALUE"""),2.14)</f>
        <v>2.14</v>
      </c>
      <c r="E1733" s="1">
        <f>IFERROR(__xludf.DUMMYFUNCTION("""COMPUTED_VALUE"""),2.19)</f>
        <v>2.19</v>
      </c>
      <c r="F1733" s="1">
        <f>IFERROR(__xludf.DUMMYFUNCTION("""COMPUTED_VALUE"""),458317.0)</f>
        <v>458317</v>
      </c>
    </row>
    <row r="1734">
      <c r="A1734" s="2">
        <f>IFERROR(__xludf.DUMMYFUNCTION("""COMPUTED_VALUE"""),41683.666666666664)</f>
        <v>41683.66667</v>
      </c>
      <c r="B1734" s="1">
        <f>IFERROR(__xludf.DUMMYFUNCTION("""COMPUTED_VALUE"""),2.17)</f>
        <v>2.17</v>
      </c>
      <c r="C1734" s="1">
        <f>IFERROR(__xludf.DUMMYFUNCTION("""COMPUTED_VALUE"""),2.2)</f>
        <v>2.2</v>
      </c>
      <c r="D1734" s="1">
        <f>IFERROR(__xludf.DUMMYFUNCTION("""COMPUTED_VALUE"""),2.15)</f>
        <v>2.15</v>
      </c>
      <c r="E1734" s="1">
        <f>IFERROR(__xludf.DUMMYFUNCTION("""COMPUTED_VALUE"""),2.19)</f>
        <v>2.19</v>
      </c>
      <c r="F1734" s="1">
        <f>IFERROR(__xludf.DUMMYFUNCTION("""COMPUTED_VALUE"""),416724.0)</f>
        <v>416724</v>
      </c>
    </row>
    <row r="1735">
      <c r="A1735" s="2">
        <f>IFERROR(__xludf.DUMMYFUNCTION("""COMPUTED_VALUE"""),41684.666666666664)</f>
        <v>41684.66667</v>
      </c>
      <c r="B1735" s="1">
        <f>IFERROR(__xludf.DUMMYFUNCTION("""COMPUTED_VALUE"""),2.19)</f>
        <v>2.19</v>
      </c>
      <c r="C1735" s="1">
        <f>IFERROR(__xludf.DUMMYFUNCTION("""COMPUTED_VALUE"""),2.19)</f>
        <v>2.19</v>
      </c>
      <c r="D1735" s="1">
        <f>IFERROR(__xludf.DUMMYFUNCTION("""COMPUTED_VALUE"""),2.15)</f>
        <v>2.15</v>
      </c>
      <c r="E1735" s="1">
        <f>IFERROR(__xludf.DUMMYFUNCTION("""COMPUTED_VALUE"""),2.17)</f>
        <v>2.17</v>
      </c>
      <c r="F1735" s="1">
        <f>IFERROR(__xludf.DUMMYFUNCTION("""COMPUTED_VALUE"""),512366.0)</f>
        <v>512366</v>
      </c>
    </row>
    <row r="1736">
      <c r="A1736" s="2">
        <f>IFERROR(__xludf.DUMMYFUNCTION("""COMPUTED_VALUE"""),41688.666666666664)</f>
        <v>41688.66667</v>
      </c>
      <c r="B1736" s="1">
        <f>IFERROR(__xludf.DUMMYFUNCTION("""COMPUTED_VALUE"""),2.19)</f>
        <v>2.19</v>
      </c>
      <c r="C1736" s="1">
        <f>IFERROR(__xludf.DUMMYFUNCTION("""COMPUTED_VALUE"""),2.29)</f>
        <v>2.29</v>
      </c>
      <c r="D1736" s="1">
        <f>IFERROR(__xludf.DUMMYFUNCTION("""COMPUTED_VALUE"""),2.18)</f>
        <v>2.18</v>
      </c>
      <c r="E1736" s="1">
        <f>IFERROR(__xludf.DUMMYFUNCTION("""COMPUTED_VALUE"""),2.25)</f>
        <v>2.25</v>
      </c>
      <c r="F1736" s="1">
        <f>IFERROR(__xludf.DUMMYFUNCTION("""COMPUTED_VALUE"""),774406.0)</f>
        <v>774406</v>
      </c>
    </row>
    <row r="1737">
      <c r="A1737" s="2">
        <f>IFERROR(__xludf.DUMMYFUNCTION("""COMPUTED_VALUE"""),41689.666666666664)</f>
        <v>41689.66667</v>
      </c>
      <c r="B1737" s="1">
        <f>IFERROR(__xludf.DUMMYFUNCTION("""COMPUTED_VALUE"""),2.25)</f>
        <v>2.25</v>
      </c>
      <c r="C1737" s="1">
        <f>IFERROR(__xludf.DUMMYFUNCTION("""COMPUTED_VALUE"""),2.28)</f>
        <v>2.28</v>
      </c>
      <c r="D1737" s="1">
        <f>IFERROR(__xludf.DUMMYFUNCTION("""COMPUTED_VALUE"""),2.18)</f>
        <v>2.18</v>
      </c>
      <c r="E1737" s="1">
        <f>IFERROR(__xludf.DUMMYFUNCTION("""COMPUTED_VALUE"""),2.19)</f>
        <v>2.19</v>
      </c>
      <c r="F1737" s="1">
        <f>IFERROR(__xludf.DUMMYFUNCTION("""COMPUTED_VALUE"""),479739.0)</f>
        <v>479739</v>
      </c>
    </row>
    <row r="1738">
      <c r="A1738" s="2">
        <f>IFERROR(__xludf.DUMMYFUNCTION("""COMPUTED_VALUE"""),41690.666666666664)</f>
        <v>41690.66667</v>
      </c>
      <c r="B1738" s="1">
        <f>IFERROR(__xludf.DUMMYFUNCTION("""COMPUTED_VALUE"""),2.18)</f>
        <v>2.18</v>
      </c>
      <c r="C1738" s="1">
        <f>IFERROR(__xludf.DUMMYFUNCTION("""COMPUTED_VALUE"""),2.24)</f>
        <v>2.24</v>
      </c>
      <c r="D1738" s="1">
        <f>IFERROR(__xludf.DUMMYFUNCTION("""COMPUTED_VALUE"""),2.18)</f>
        <v>2.18</v>
      </c>
      <c r="E1738" s="1">
        <f>IFERROR(__xludf.DUMMYFUNCTION("""COMPUTED_VALUE"""),2.22)</f>
        <v>2.22</v>
      </c>
      <c r="F1738" s="1">
        <f>IFERROR(__xludf.DUMMYFUNCTION("""COMPUTED_VALUE"""),429228.0)</f>
        <v>429228</v>
      </c>
    </row>
    <row r="1739">
      <c r="A1739" s="2">
        <f>IFERROR(__xludf.DUMMYFUNCTION("""COMPUTED_VALUE"""),41691.666666666664)</f>
        <v>41691.66667</v>
      </c>
      <c r="B1739" s="1">
        <f>IFERROR(__xludf.DUMMYFUNCTION("""COMPUTED_VALUE"""),2.21)</f>
        <v>2.21</v>
      </c>
      <c r="C1739" s="1">
        <f>IFERROR(__xludf.DUMMYFUNCTION("""COMPUTED_VALUE"""),2.23)</f>
        <v>2.23</v>
      </c>
      <c r="D1739" s="1">
        <f>IFERROR(__xludf.DUMMYFUNCTION("""COMPUTED_VALUE"""),2.02)</f>
        <v>2.02</v>
      </c>
      <c r="E1739" s="1">
        <f>IFERROR(__xludf.DUMMYFUNCTION("""COMPUTED_VALUE"""),2.08)</f>
        <v>2.08</v>
      </c>
      <c r="F1739" s="1">
        <f>IFERROR(__xludf.DUMMYFUNCTION("""COMPUTED_VALUE"""),1059632.0)</f>
        <v>1059632</v>
      </c>
    </row>
    <row r="1740">
      <c r="A1740" s="2">
        <f>IFERROR(__xludf.DUMMYFUNCTION("""COMPUTED_VALUE"""),41694.666666666664)</f>
        <v>41694.66667</v>
      </c>
      <c r="B1740" s="1">
        <f>IFERROR(__xludf.DUMMYFUNCTION("""COMPUTED_VALUE"""),2.08)</f>
        <v>2.08</v>
      </c>
      <c r="C1740" s="1">
        <f>IFERROR(__xludf.DUMMYFUNCTION("""COMPUTED_VALUE"""),2.14)</f>
        <v>2.14</v>
      </c>
      <c r="D1740" s="1">
        <f>IFERROR(__xludf.DUMMYFUNCTION("""COMPUTED_VALUE"""),2.08)</f>
        <v>2.08</v>
      </c>
      <c r="E1740" s="1">
        <f>IFERROR(__xludf.DUMMYFUNCTION("""COMPUTED_VALUE"""),2.1)</f>
        <v>2.1</v>
      </c>
      <c r="F1740" s="1">
        <f>IFERROR(__xludf.DUMMYFUNCTION("""COMPUTED_VALUE"""),560979.0)</f>
        <v>560979</v>
      </c>
    </row>
    <row r="1741">
      <c r="A1741" s="2">
        <f>IFERROR(__xludf.DUMMYFUNCTION("""COMPUTED_VALUE"""),41695.666666666664)</f>
        <v>41695.66667</v>
      </c>
      <c r="B1741" s="1">
        <f>IFERROR(__xludf.DUMMYFUNCTION("""COMPUTED_VALUE"""),2.11)</f>
        <v>2.11</v>
      </c>
      <c r="C1741" s="1">
        <f>IFERROR(__xludf.DUMMYFUNCTION("""COMPUTED_VALUE"""),2.11)</f>
        <v>2.11</v>
      </c>
      <c r="D1741" s="1">
        <f>IFERROR(__xludf.DUMMYFUNCTION("""COMPUTED_VALUE"""),2.04)</f>
        <v>2.04</v>
      </c>
      <c r="E1741" s="1">
        <f>IFERROR(__xludf.DUMMYFUNCTION("""COMPUTED_VALUE"""),2.08)</f>
        <v>2.08</v>
      </c>
      <c r="F1741" s="1">
        <f>IFERROR(__xludf.DUMMYFUNCTION("""COMPUTED_VALUE"""),487038.0)</f>
        <v>487038</v>
      </c>
    </row>
    <row r="1742">
      <c r="A1742" s="2">
        <f>IFERROR(__xludf.DUMMYFUNCTION("""COMPUTED_VALUE"""),41696.666666666664)</f>
        <v>41696.66667</v>
      </c>
      <c r="B1742" s="1">
        <f>IFERROR(__xludf.DUMMYFUNCTION("""COMPUTED_VALUE"""),2.1)</f>
        <v>2.1</v>
      </c>
      <c r="C1742" s="1">
        <f>IFERROR(__xludf.DUMMYFUNCTION("""COMPUTED_VALUE"""),2.12)</f>
        <v>2.12</v>
      </c>
      <c r="D1742" s="1">
        <f>IFERROR(__xludf.DUMMYFUNCTION("""COMPUTED_VALUE"""),2.04)</f>
        <v>2.04</v>
      </c>
      <c r="E1742" s="1">
        <f>IFERROR(__xludf.DUMMYFUNCTION("""COMPUTED_VALUE"""),2.09)</f>
        <v>2.09</v>
      </c>
      <c r="F1742" s="1">
        <f>IFERROR(__xludf.DUMMYFUNCTION("""COMPUTED_VALUE"""),634693.0)</f>
        <v>634693</v>
      </c>
    </row>
    <row r="1743">
      <c r="A1743" s="2">
        <f>IFERROR(__xludf.DUMMYFUNCTION("""COMPUTED_VALUE"""),41697.666666666664)</f>
        <v>41697.66667</v>
      </c>
      <c r="B1743" s="1">
        <f>IFERROR(__xludf.DUMMYFUNCTION("""COMPUTED_VALUE"""),2.08)</f>
        <v>2.08</v>
      </c>
      <c r="C1743" s="1">
        <f>IFERROR(__xludf.DUMMYFUNCTION("""COMPUTED_VALUE"""),2.1)</f>
        <v>2.1</v>
      </c>
      <c r="D1743" s="1">
        <f>IFERROR(__xludf.DUMMYFUNCTION("""COMPUTED_VALUE"""),2.05)</f>
        <v>2.05</v>
      </c>
      <c r="E1743" s="1">
        <f>IFERROR(__xludf.DUMMYFUNCTION("""COMPUTED_VALUE"""),2.08)</f>
        <v>2.08</v>
      </c>
      <c r="F1743" s="1">
        <f>IFERROR(__xludf.DUMMYFUNCTION("""COMPUTED_VALUE"""),410193.0)</f>
        <v>410193</v>
      </c>
    </row>
    <row r="1744">
      <c r="A1744" s="2">
        <f>IFERROR(__xludf.DUMMYFUNCTION("""COMPUTED_VALUE"""),41698.666666666664)</f>
        <v>41698.66667</v>
      </c>
      <c r="B1744" s="1">
        <f>IFERROR(__xludf.DUMMYFUNCTION("""COMPUTED_VALUE"""),2.08)</f>
        <v>2.08</v>
      </c>
      <c r="C1744" s="1">
        <f>IFERROR(__xludf.DUMMYFUNCTION("""COMPUTED_VALUE"""),2.09)</f>
        <v>2.09</v>
      </c>
      <c r="D1744" s="1">
        <f>IFERROR(__xludf.DUMMYFUNCTION("""COMPUTED_VALUE"""),1.98)</f>
        <v>1.98</v>
      </c>
      <c r="E1744" s="1">
        <f>IFERROR(__xludf.DUMMYFUNCTION("""COMPUTED_VALUE"""),2.02)</f>
        <v>2.02</v>
      </c>
      <c r="F1744" s="1">
        <f>IFERROR(__xludf.DUMMYFUNCTION("""COMPUTED_VALUE"""),596374.0)</f>
        <v>596374</v>
      </c>
    </row>
    <row r="1745">
      <c r="A1745" s="2">
        <f>IFERROR(__xludf.DUMMYFUNCTION("""COMPUTED_VALUE"""),41701.666666666664)</f>
        <v>41701.66667</v>
      </c>
      <c r="B1745" s="1">
        <f>IFERROR(__xludf.DUMMYFUNCTION("""COMPUTED_VALUE"""),1.99)</f>
        <v>1.99</v>
      </c>
      <c r="C1745" s="1">
        <f>IFERROR(__xludf.DUMMYFUNCTION("""COMPUTED_VALUE"""),2.03)</f>
        <v>2.03</v>
      </c>
      <c r="D1745" s="1">
        <f>IFERROR(__xludf.DUMMYFUNCTION("""COMPUTED_VALUE"""),1.97)</f>
        <v>1.97</v>
      </c>
      <c r="E1745" s="1">
        <f>IFERROR(__xludf.DUMMYFUNCTION("""COMPUTED_VALUE"""),2.03)</f>
        <v>2.03</v>
      </c>
      <c r="F1745" s="1">
        <f>IFERROR(__xludf.DUMMYFUNCTION("""COMPUTED_VALUE"""),362911.0)</f>
        <v>362911</v>
      </c>
    </row>
    <row r="1746">
      <c r="A1746" s="2">
        <f>IFERROR(__xludf.DUMMYFUNCTION("""COMPUTED_VALUE"""),41702.666666666664)</f>
        <v>41702.66667</v>
      </c>
      <c r="B1746" s="1">
        <f>IFERROR(__xludf.DUMMYFUNCTION("""COMPUTED_VALUE"""),2.05)</f>
        <v>2.05</v>
      </c>
      <c r="C1746" s="1">
        <f>IFERROR(__xludf.DUMMYFUNCTION("""COMPUTED_VALUE"""),2.1)</f>
        <v>2.1</v>
      </c>
      <c r="D1746" s="1">
        <f>IFERROR(__xludf.DUMMYFUNCTION("""COMPUTED_VALUE"""),2.05)</f>
        <v>2.05</v>
      </c>
      <c r="E1746" s="1">
        <f>IFERROR(__xludf.DUMMYFUNCTION("""COMPUTED_VALUE"""),2.07)</f>
        <v>2.07</v>
      </c>
      <c r="F1746" s="1">
        <f>IFERROR(__xludf.DUMMYFUNCTION("""COMPUTED_VALUE"""),378187.0)</f>
        <v>378187</v>
      </c>
    </row>
    <row r="1747">
      <c r="A1747" s="2">
        <f>IFERROR(__xludf.DUMMYFUNCTION("""COMPUTED_VALUE"""),41703.666666666664)</f>
        <v>41703.66667</v>
      </c>
      <c r="B1747" s="1">
        <f>IFERROR(__xludf.DUMMYFUNCTION("""COMPUTED_VALUE"""),2.08)</f>
        <v>2.08</v>
      </c>
      <c r="C1747" s="1">
        <f>IFERROR(__xludf.DUMMYFUNCTION("""COMPUTED_VALUE"""),2.11)</f>
        <v>2.11</v>
      </c>
      <c r="D1747" s="1">
        <f>IFERROR(__xludf.DUMMYFUNCTION("""COMPUTED_VALUE"""),2.05)</f>
        <v>2.05</v>
      </c>
      <c r="E1747" s="1">
        <f>IFERROR(__xludf.DUMMYFUNCTION("""COMPUTED_VALUE"""),2.11)</f>
        <v>2.11</v>
      </c>
      <c r="F1747" s="1">
        <f>IFERROR(__xludf.DUMMYFUNCTION("""COMPUTED_VALUE"""),448659.0)</f>
        <v>448659</v>
      </c>
    </row>
    <row r="1748">
      <c r="A1748" s="2">
        <f>IFERROR(__xludf.DUMMYFUNCTION("""COMPUTED_VALUE"""),41704.666666666664)</f>
        <v>41704.66667</v>
      </c>
      <c r="B1748" s="1">
        <f>IFERROR(__xludf.DUMMYFUNCTION("""COMPUTED_VALUE"""),2.13)</f>
        <v>2.13</v>
      </c>
      <c r="C1748" s="1">
        <f>IFERROR(__xludf.DUMMYFUNCTION("""COMPUTED_VALUE"""),2.14)</f>
        <v>2.14</v>
      </c>
      <c r="D1748" s="1">
        <f>IFERROR(__xludf.DUMMYFUNCTION("""COMPUTED_VALUE"""),2.1)</f>
        <v>2.1</v>
      </c>
      <c r="E1748" s="1">
        <f>IFERROR(__xludf.DUMMYFUNCTION("""COMPUTED_VALUE"""),2.11)</f>
        <v>2.11</v>
      </c>
      <c r="F1748" s="1">
        <f>IFERROR(__xludf.DUMMYFUNCTION("""COMPUTED_VALUE"""),409248.0)</f>
        <v>409248</v>
      </c>
    </row>
    <row r="1749">
      <c r="A1749" s="2">
        <f>IFERROR(__xludf.DUMMYFUNCTION("""COMPUTED_VALUE"""),41705.666666666664)</f>
        <v>41705.66667</v>
      </c>
      <c r="B1749" s="1">
        <f>IFERROR(__xludf.DUMMYFUNCTION("""COMPUTED_VALUE"""),2.12)</f>
        <v>2.12</v>
      </c>
      <c r="C1749" s="1">
        <f>IFERROR(__xludf.DUMMYFUNCTION("""COMPUTED_VALUE"""),2.13)</f>
        <v>2.13</v>
      </c>
      <c r="D1749" s="1">
        <f>IFERROR(__xludf.DUMMYFUNCTION("""COMPUTED_VALUE"""),2.05)</f>
        <v>2.05</v>
      </c>
      <c r="E1749" s="1">
        <f>IFERROR(__xludf.DUMMYFUNCTION("""COMPUTED_VALUE"""),2.08)</f>
        <v>2.08</v>
      </c>
      <c r="F1749" s="1">
        <f>IFERROR(__xludf.DUMMYFUNCTION("""COMPUTED_VALUE"""),188913.0)</f>
        <v>188913</v>
      </c>
    </row>
    <row r="1750">
      <c r="A1750" s="2">
        <f>IFERROR(__xludf.DUMMYFUNCTION("""COMPUTED_VALUE"""),41708.666666666664)</f>
        <v>41708.66667</v>
      </c>
      <c r="B1750" s="1">
        <f>IFERROR(__xludf.DUMMYFUNCTION("""COMPUTED_VALUE"""),2.08)</f>
        <v>2.08</v>
      </c>
      <c r="C1750" s="1">
        <f>IFERROR(__xludf.DUMMYFUNCTION("""COMPUTED_VALUE"""),2.08)</f>
        <v>2.08</v>
      </c>
      <c r="D1750" s="1">
        <f>IFERROR(__xludf.DUMMYFUNCTION("""COMPUTED_VALUE"""),1.99)</f>
        <v>1.99</v>
      </c>
      <c r="E1750" s="1">
        <f>IFERROR(__xludf.DUMMYFUNCTION("""COMPUTED_VALUE"""),2.04)</f>
        <v>2.04</v>
      </c>
      <c r="F1750" s="1">
        <f>IFERROR(__xludf.DUMMYFUNCTION("""COMPUTED_VALUE"""),667876.0)</f>
        <v>667876</v>
      </c>
    </row>
    <row r="1751">
      <c r="A1751" s="2">
        <f>IFERROR(__xludf.DUMMYFUNCTION("""COMPUTED_VALUE"""),41709.666666666664)</f>
        <v>41709.66667</v>
      </c>
      <c r="B1751" s="1">
        <f>IFERROR(__xludf.DUMMYFUNCTION("""COMPUTED_VALUE"""),2.04)</f>
        <v>2.04</v>
      </c>
      <c r="C1751" s="1">
        <f>IFERROR(__xludf.DUMMYFUNCTION("""COMPUTED_VALUE"""),2.05)</f>
        <v>2.05</v>
      </c>
      <c r="D1751" s="1">
        <f>IFERROR(__xludf.DUMMYFUNCTION("""COMPUTED_VALUE"""),1.88)</f>
        <v>1.88</v>
      </c>
      <c r="E1751" s="1">
        <f>IFERROR(__xludf.DUMMYFUNCTION("""COMPUTED_VALUE"""),1.9)</f>
        <v>1.9</v>
      </c>
      <c r="F1751" s="1">
        <f>IFERROR(__xludf.DUMMYFUNCTION("""COMPUTED_VALUE"""),762069.0)</f>
        <v>762069</v>
      </c>
    </row>
    <row r="1752">
      <c r="A1752" s="2">
        <f>IFERROR(__xludf.DUMMYFUNCTION("""COMPUTED_VALUE"""),41710.666666666664)</f>
        <v>41710.66667</v>
      </c>
      <c r="B1752" s="1">
        <f>IFERROR(__xludf.DUMMYFUNCTION("""COMPUTED_VALUE"""),1.9)</f>
        <v>1.9</v>
      </c>
      <c r="C1752" s="1">
        <f>IFERROR(__xludf.DUMMYFUNCTION("""COMPUTED_VALUE"""),1.93)</f>
        <v>1.93</v>
      </c>
      <c r="D1752" s="1">
        <f>IFERROR(__xludf.DUMMYFUNCTION("""COMPUTED_VALUE"""),1.87)</f>
        <v>1.87</v>
      </c>
      <c r="E1752" s="1">
        <f>IFERROR(__xludf.DUMMYFUNCTION("""COMPUTED_VALUE"""),1.92)</f>
        <v>1.92</v>
      </c>
      <c r="F1752" s="1">
        <f>IFERROR(__xludf.DUMMYFUNCTION("""COMPUTED_VALUE"""),335036.0)</f>
        <v>335036</v>
      </c>
    </row>
    <row r="1753">
      <c r="A1753" s="2">
        <f>IFERROR(__xludf.DUMMYFUNCTION("""COMPUTED_VALUE"""),41711.666666666664)</f>
        <v>41711.66667</v>
      </c>
      <c r="B1753" s="1">
        <f>IFERROR(__xludf.DUMMYFUNCTION("""COMPUTED_VALUE"""),1.93)</f>
        <v>1.93</v>
      </c>
      <c r="C1753" s="1">
        <f>IFERROR(__xludf.DUMMYFUNCTION("""COMPUTED_VALUE"""),1.95)</f>
        <v>1.95</v>
      </c>
      <c r="D1753" s="1">
        <f>IFERROR(__xludf.DUMMYFUNCTION("""COMPUTED_VALUE"""),1.82)</f>
        <v>1.82</v>
      </c>
      <c r="E1753" s="1">
        <f>IFERROR(__xludf.DUMMYFUNCTION("""COMPUTED_VALUE"""),1.83)</f>
        <v>1.83</v>
      </c>
      <c r="F1753" s="1">
        <f>IFERROR(__xludf.DUMMYFUNCTION("""COMPUTED_VALUE"""),311330.0)</f>
        <v>311330</v>
      </c>
    </row>
    <row r="1754">
      <c r="A1754" s="2">
        <f>IFERROR(__xludf.DUMMYFUNCTION("""COMPUTED_VALUE"""),41712.666666666664)</f>
        <v>41712.66667</v>
      </c>
      <c r="B1754" s="1">
        <f>IFERROR(__xludf.DUMMYFUNCTION("""COMPUTED_VALUE"""),1.83)</f>
        <v>1.83</v>
      </c>
      <c r="C1754" s="1">
        <f>IFERROR(__xludf.DUMMYFUNCTION("""COMPUTED_VALUE"""),1.86)</f>
        <v>1.86</v>
      </c>
      <c r="D1754" s="1">
        <f>IFERROR(__xludf.DUMMYFUNCTION("""COMPUTED_VALUE"""),1.82)</f>
        <v>1.82</v>
      </c>
      <c r="E1754" s="1">
        <f>IFERROR(__xludf.DUMMYFUNCTION("""COMPUTED_VALUE"""),1.84)</f>
        <v>1.84</v>
      </c>
      <c r="F1754" s="1">
        <f>IFERROR(__xludf.DUMMYFUNCTION("""COMPUTED_VALUE"""),270944.0)</f>
        <v>270944</v>
      </c>
    </row>
    <row r="1755">
      <c r="A1755" s="2">
        <f>IFERROR(__xludf.DUMMYFUNCTION("""COMPUTED_VALUE"""),41715.666666666664)</f>
        <v>41715.66667</v>
      </c>
      <c r="B1755" s="1">
        <f>IFERROR(__xludf.DUMMYFUNCTION("""COMPUTED_VALUE"""),1.85)</f>
        <v>1.85</v>
      </c>
      <c r="C1755" s="1">
        <f>IFERROR(__xludf.DUMMYFUNCTION("""COMPUTED_VALUE"""),1.88)</f>
        <v>1.88</v>
      </c>
      <c r="D1755" s="1">
        <f>IFERROR(__xludf.DUMMYFUNCTION("""COMPUTED_VALUE"""),1.83)</f>
        <v>1.83</v>
      </c>
      <c r="E1755" s="1">
        <f>IFERROR(__xludf.DUMMYFUNCTION("""COMPUTED_VALUE"""),1.83)</f>
        <v>1.83</v>
      </c>
      <c r="F1755" s="1">
        <f>IFERROR(__xludf.DUMMYFUNCTION("""COMPUTED_VALUE"""),308648.0)</f>
        <v>308648</v>
      </c>
    </row>
    <row r="1756">
      <c r="A1756" s="2">
        <f>IFERROR(__xludf.DUMMYFUNCTION("""COMPUTED_VALUE"""),41716.666666666664)</f>
        <v>41716.66667</v>
      </c>
      <c r="B1756" s="1">
        <f>IFERROR(__xludf.DUMMYFUNCTION("""COMPUTED_VALUE"""),1.84)</f>
        <v>1.84</v>
      </c>
      <c r="C1756" s="1">
        <f>IFERROR(__xludf.DUMMYFUNCTION("""COMPUTED_VALUE"""),1.88)</f>
        <v>1.88</v>
      </c>
      <c r="D1756" s="1">
        <f>IFERROR(__xludf.DUMMYFUNCTION("""COMPUTED_VALUE"""),1.82)</f>
        <v>1.82</v>
      </c>
      <c r="E1756" s="1">
        <f>IFERROR(__xludf.DUMMYFUNCTION("""COMPUTED_VALUE"""),1.87)</f>
        <v>1.87</v>
      </c>
      <c r="F1756" s="1">
        <f>IFERROR(__xludf.DUMMYFUNCTION("""COMPUTED_VALUE"""),280349.0)</f>
        <v>280349</v>
      </c>
    </row>
    <row r="1757">
      <c r="A1757" s="2">
        <f>IFERROR(__xludf.DUMMYFUNCTION("""COMPUTED_VALUE"""),41717.666666666664)</f>
        <v>41717.66667</v>
      </c>
      <c r="B1757" s="1">
        <f>IFERROR(__xludf.DUMMYFUNCTION("""COMPUTED_VALUE"""),1.88)</f>
        <v>1.88</v>
      </c>
      <c r="C1757" s="1">
        <f>IFERROR(__xludf.DUMMYFUNCTION("""COMPUTED_VALUE"""),1.88)</f>
        <v>1.88</v>
      </c>
      <c r="D1757" s="1">
        <f>IFERROR(__xludf.DUMMYFUNCTION("""COMPUTED_VALUE"""),1.8)</f>
        <v>1.8</v>
      </c>
      <c r="E1757" s="1">
        <f>IFERROR(__xludf.DUMMYFUNCTION("""COMPUTED_VALUE"""),1.82)</f>
        <v>1.82</v>
      </c>
      <c r="F1757" s="1">
        <f>IFERROR(__xludf.DUMMYFUNCTION("""COMPUTED_VALUE"""),322587.0)</f>
        <v>322587</v>
      </c>
    </row>
    <row r="1758">
      <c r="A1758" s="2">
        <f>IFERROR(__xludf.DUMMYFUNCTION("""COMPUTED_VALUE"""),41718.666666666664)</f>
        <v>41718.66667</v>
      </c>
      <c r="B1758" s="1">
        <f>IFERROR(__xludf.DUMMYFUNCTION("""COMPUTED_VALUE"""),1.81)</f>
        <v>1.81</v>
      </c>
      <c r="C1758" s="1">
        <f>IFERROR(__xludf.DUMMYFUNCTION("""COMPUTED_VALUE"""),1.84)</f>
        <v>1.84</v>
      </c>
      <c r="D1758" s="1">
        <f>IFERROR(__xludf.DUMMYFUNCTION("""COMPUTED_VALUE"""),1.79)</f>
        <v>1.79</v>
      </c>
      <c r="E1758" s="1">
        <f>IFERROR(__xludf.DUMMYFUNCTION("""COMPUTED_VALUE"""),1.83)</f>
        <v>1.83</v>
      </c>
      <c r="F1758" s="1">
        <f>IFERROR(__xludf.DUMMYFUNCTION("""COMPUTED_VALUE"""),306221.0)</f>
        <v>306221</v>
      </c>
    </row>
    <row r="1759">
      <c r="A1759" s="2">
        <f>IFERROR(__xludf.DUMMYFUNCTION("""COMPUTED_VALUE"""),41719.666666666664)</f>
        <v>41719.66667</v>
      </c>
      <c r="B1759" s="1">
        <f>IFERROR(__xludf.DUMMYFUNCTION("""COMPUTED_VALUE"""),1.84)</f>
        <v>1.84</v>
      </c>
      <c r="C1759" s="1">
        <f>IFERROR(__xludf.DUMMYFUNCTION("""COMPUTED_VALUE"""),1.85)</f>
        <v>1.85</v>
      </c>
      <c r="D1759" s="1">
        <f>IFERROR(__xludf.DUMMYFUNCTION("""COMPUTED_VALUE"""),1.78)</f>
        <v>1.78</v>
      </c>
      <c r="E1759" s="1">
        <f>IFERROR(__xludf.DUMMYFUNCTION("""COMPUTED_VALUE"""),1.81)</f>
        <v>1.81</v>
      </c>
      <c r="F1759" s="1">
        <f>IFERROR(__xludf.DUMMYFUNCTION("""COMPUTED_VALUE"""),541827.0)</f>
        <v>541827</v>
      </c>
    </row>
    <row r="1760">
      <c r="A1760" s="2">
        <f>IFERROR(__xludf.DUMMYFUNCTION("""COMPUTED_VALUE"""),41722.666666666664)</f>
        <v>41722.66667</v>
      </c>
      <c r="B1760" s="1">
        <f>IFERROR(__xludf.DUMMYFUNCTION("""COMPUTED_VALUE"""),1.81)</f>
        <v>1.81</v>
      </c>
      <c r="C1760" s="1">
        <f>IFERROR(__xludf.DUMMYFUNCTION("""COMPUTED_VALUE"""),1.83)</f>
        <v>1.83</v>
      </c>
      <c r="D1760" s="1">
        <f>IFERROR(__xludf.DUMMYFUNCTION("""COMPUTED_VALUE"""),1.73)</f>
        <v>1.73</v>
      </c>
      <c r="E1760" s="1">
        <f>IFERROR(__xludf.DUMMYFUNCTION("""COMPUTED_VALUE"""),1.78)</f>
        <v>1.78</v>
      </c>
      <c r="F1760" s="1">
        <f>IFERROR(__xludf.DUMMYFUNCTION("""COMPUTED_VALUE"""),323362.0)</f>
        <v>323362</v>
      </c>
    </row>
    <row r="1761">
      <c r="A1761" s="2">
        <f>IFERROR(__xludf.DUMMYFUNCTION("""COMPUTED_VALUE"""),41723.666666666664)</f>
        <v>41723.66667</v>
      </c>
      <c r="B1761" s="1">
        <f>IFERROR(__xludf.DUMMYFUNCTION("""COMPUTED_VALUE"""),1.78)</f>
        <v>1.78</v>
      </c>
      <c r="C1761" s="1">
        <f>IFERROR(__xludf.DUMMYFUNCTION("""COMPUTED_VALUE"""),1.83)</f>
        <v>1.83</v>
      </c>
      <c r="D1761" s="1">
        <f>IFERROR(__xludf.DUMMYFUNCTION("""COMPUTED_VALUE"""),1.78)</f>
        <v>1.78</v>
      </c>
      <c r="E1761" s="1">
        <f>IFERROR(__xludf.DUMMYFUNCTION("""COMPUTED_VALUE"""),1.82)</f>
        <v>1.82</v>
      </c>
      <c r="F1761" s="1">
        <f>IFERROR(__xludf.DUMMYFUNCTION("""COMPUTED_VALUE"""),273017.0)</f>
        <v>273017</v>
      </c>
    </row>
    <row r="1762">
      <c r="A1762" s="2">
        <f>IFERROR(__xludf.DUMMYFUNCTION("""COMPUTED_VALUE"""),41724.666666666664)</f>
        <v>41724.66667</v>
      </c>
      <c r="B1762" s="1">
        <f>IFERROR(__xludf.DUMMYFUNCTION("""COMPUTED_VALUE"""),1.84)</f>
        <v>1.84</v>
      </c>
      <c r="C1762" s="1">
        <f>IFERROR(__xludf.DUMMYFUNCTION("""COMPUTED_VALUE"""),1.84)</f>
        <v>1.84</v>
      </c>
      <c r="D1762" s="1">
        <f>IFERROR(__xludf.DUMMYFUNCTION("""COMPUTED_VALUE"""),1.75)</f>
        <v>1.75</v>
      </c>
      <c r="E1762" s="1">
        <f>IFERROR(__xludf.DUMMYFUNCTION("""COMPUTED_VALUE"""),1.75)</f>
        <v>1.75</v>
      </c>
      <c r="F1762" s="1">
        <f>IFERROR(__xludf.DUMMYFUNCTION("""COMPUTED_VALUE"""),425500.0)</f>
        <v>425500</v>
      </c>
    </row>
    <row r="1763">
      <c r="A1763" s="2">
        <f>IFERROR(__xludf.DUMMYFUNCTION("""COMPUTED_VALUE"""),41725.666666666664)</f>
        <v>41725.66667</v>
      </c>
      <c r="B1763" s="1">
        <f>IFERROR(__xludf.DUMMYFUNCTION("""COMPUTED_VALUE"""),1.75)</f>
        <v>1.75</v>
      </c>
      <c r="C1763" s="1">
        <f>IFERROR(__xludf.DUMMYFUNCTION("""COMPUTED_VALUE"""),1.79)</f>
        <v>1.79</v>
      </c>
      <c r="D1763" s="1">
        <f>IFERROR(__xludf.DUMMYFUNCTION("""COMPUTED_VALUE"""),1.71)</f>
        <v>1.71</v>
      </c>
      <c r="E1763" s="1">
        <f>IFERROR(__xludf.DUMMYFUNCTION("""COMPUTED_VALUE"""),1.73)</f>
        <v>1.73</v>
      </c>
      <c r="F1763" s="1">
        <f>IFERROR(__xludf.DUMMYFUNCTION("""COMPUTED_VALUE"""),271219.0)</f>
        <v>271219</v>
      </c>
    </row>
    <row r="1764">
      <c r="A1764" s="2">
        <f>IFERROR(__xludf.DUMMYFUNCTION("""COMPUTED_VALUE"""),41726.666666666664)</f>
        <v>41726.66667</v>
      </c>
      <c r="B1764" s="1">
        <f>IFERROR(__xludf.DUMMYFUNCTION("""COMPUTED_VALUE"""),1.73)</f>
        <v>1.73</v>
      </c>
      <c r="C1764" s="1">
        <f>IFERROR(__xludf.DUMMYFUNCTION("""COMPUTED_VALUE"""),1.77)</f>
        <v>1.77</v>
      </c>
      <c r="D1764" s="1">
        <f>IFERROR(__xludf.DUMMYFUNCTION("""COMPUTED_VALUE"""),1.72)</f>
        <v>1.72</v>
      </c>
      <c r="E1764" s="1">
        <f>IFERROR(__xludf.DUMMYFUNCTION("""COMPUTED_VALUE"""),1.73)</f>
        <v>1.73</v>
      </c>
      <c r="F1764" s="1">
        <f>IFERROR(__xludf.DUMMYFUNCTION("""COMPUTED_VALUE"""),250053.0)</f>
        <v>250053</v>
      </c>
    </row>
    <row r="1765">
      <c r="A1765" s="2">
        <f>IFERROR(__xludf.DUMMYFUNCTION("""COMPUTED_VALUE"""),41729.666666666664)</f>
        <v>41729.66667</v>
      </c>
      <c r="B1765" s="1">
        <f>IFERROR(__xludf.DUMMYFUNCTION("""COMPUTED_VALUE"""),1.75)</f>
        <v>1.75</v>
      </c>
      <c r="C1765" s="1">
        <f>IFERROR(__xludf.DUMMYFUNCTION("""COMPUTED_VALUE"""),1.76)</f>
        <v>1.76</v>
      </c>
      <c r="D1765" s="1">
        <f>IFERROR(__xludf.DUMMYFUNCTION("""COMPUTED_VALUE"""),1.72)</f>
        <v>1.72</v>
      </c>
      <c r="E1765" s="1">
        <f>IFERROR(__xludf.DUMMYFUNCTION("""COMPUTED_VALUE"""),1.74)</f>
        <v>1.74</v>
      </c>
      <c r="F1765" s="1">
        <f>IFERROR(__xludf.DUMMYFUNCTION("""COMPUTED_VALUE"""),296729.0)</f>
        <v>296729</v>
      </c>
    </row>
    <row r="1766">
      <c r="A1766" s="2">
        <f>IFERROR(__xludf.DUMMYFUNCTION("""COMPUTED_VALUE"""),41730.666666666664)</f>
        <v>41730.66667</v>
      </c>
      <c r="B1766" s="1">
        <f>IFERROR(__xludf.DUMMYFUNCTION("""COMPUTED_VALUE"""),1.75)</f>
        <v>1.75</v>
      </c>
      <c r="C1766" s="1">
        <f>IFERROR(__xludf.DUMMYFUNCTION("""COMPUTED_VALUE"""),1.78)</f>
        <v>1.78</v>
      </c>
      <c r="D1766" s="1">
        <f>IFERROR(__xludf.DUMMYFUNCTION("""COMPUTED_VALUE"""),1.74)</f>
        <v>1.74</v>
      </c>
      <c r="E1766" s="1">
        <f>IFERROR(__xludf.DUMMYFUNCTION("""COMPUTED_VALUE"""),1.77)</f>
        <v>1.77</v>
      </c>
      <c r="F1766" s="1">
        <f>IFERROR(__xludf.DUMMYFUNCTION("""COMPUTED_VALUE"""),183535.0)</f>
        <v>183535</v>
      </c>
    </row>
    <row r="1767">
      <c r="A1767" s="2">
        <f>IFERROR(__xludf.DUMMYFUNCTION("""COMPUTED_VALUE"""),41731.666666666664)</f>
        <v>41731.66667</v>
      </c>
      <c r="B1767" s="1">
        <f>IFERROR(__xludf.DUMMYFUNCTION("""COMPUTED_VALUE"""),1.77)</f>
        <v>1.77</v>
      </c>
      <c r="C1767" s="1">
        <f>IFERROR(__xludf.DUMMYFUNCTION("""COMPUTED_VALUE"""),1.78)</f>
        <v>1.78</v>
      </c>
      <c r="D1767" s="1">
        <f>IFERROR(__xludf.DUMMYFUNCTION("""COMPUTED_VALUE"""),1.74)</f>
        <v>1.74</v>
      </c>
      <c r="E1767" s="1">
        <f>IFERROR(__xludf.DUMMYFUNCTION("""COMPUTED_VALUE"""),1.77)</f>
        <v>1.77</v>
      </c>
      <c r="F1767" s="1">
        <f>IFERROR(__xludf.DUMMYFUNCTION("""COMPUTED_VALUE"""),200592.0)</f>
        <v>200592</v>
      </c>
    </row>
    <row r="1768">
      <c r="A1768" s="2">
        <f>IFERROR(__xludf.DUMMYFUNCTION("""COMPUTED_VALUE"""),41732.666666666664)</f>
        <v>41732.66667</v>
      </c>
      <c r="B1768" s="1">
        <f>IFERROR(__xludf.DUMMYFUNCTION("""COMPUTED_VALUE"""),1.78)</f>
        <v>1.78</v>
      </c>
      <c r="C1768" s="1">
        <f>IFERROR(__xludf.DUMMYFUNCTION("""COMPUTED_VALUE"""),1.81)</f>
        <v>1.81</v>
      </c>
      <c r="D1768" s="1">
        <f>IFERROR(__xludf.DUMMYFUNCTION("""COMPUTED_VALUE"""),1.77)</f>
        <v>1.77</v>
      </c>
      <c r="E1768" s="1">
        <f>IFERROR(__xludf.DUMMYFUNCTION("""COMPUTED_VALUE"""),1.79)</f>
        <v>1.79</v>
      </c>
      <c r="F1768" s="1">
        <f>IFERROR(__xludf.DUMMYFUNCTION("""COMPUTED_VALUE"""),261238.0)</f>
        <v>261238</v>
      </c>
    </row>
    <row r="1769">
      <c r="A1769" s="2">
        <f>IFERROR(__xludf.DUMMYFUNCTION("""COMPUTED_VALUE"""),41733.666666666664)</f>
        <v>41733.66667</v>
      </c>
      <c r="B1769" s="1">
        <f>IFERROR(__xludf.DUMMYFUNCTION("""COMPUTED_VALUE"""),1.8)</f>
        <v>1.8</v>
      </c>
      <c r="C1769" s="1">
        <f>IFERROR(__xludf.DUMMYFUNCTION("""COMPUTED_VALUE"""),1.8)</f>
        <v>1.8</v>
      </c>
      <c r="D1769" s="1">
        <f>IFERROR(__xludf.DUMMYFUNCTION("""COMPUTED_VALUE"""),1.75)</f>
        <v>1.75</v>
      </c>
      <c r="E1769" s="1">
        <f>IFERROR(__xludf.DUMMYFUNCTION("""COMPUTED_VALUE"""),1.77)</f>
        <v>1.77</v>
      </c>
      <c r="F1769" s="1">
        <f>IFERROR(__xludf.DUMMYFUNCTION("""COMPUTED_VALUE"""),427683.0)</f>
        <v>427683</v>
      </c>
    </row>
    <row r="1770">
      <c r="A1770" s="2">
        <f>IFERROR(__xludf.DUMMYFUNCTION("""COMPUTED_VALUE"""),41736.666666666664)</f>
        <v>41736.66667</v>
      </c>
      <c r="B1770" s="1">
        <f>IFERROR(__xludf.DUMMYFUNCTION("""COMPUTED_VALUE"""),1.76)</f>
        <v>1.76</v>
      </c>
      <c r="C1770" s="1">
        <f>IFERROR(__xludf.DUMMYFUNCTION("""COMPUTED_VALUE"""),1.78)</f>
        <v>1.78</v>
      </c>
      <c r="D1770" s="1">
        <f>IFERROR(__xludf.DUMMYFUNCTION("""COMPUTED_VALUE"""),1.71)</f>
        <v>1.71</v>
      </c>
      <c r="E1770" s="1">
        <f>IFERROR(__xludf.DUMMYFUNCTION("""COMPUTED_VALUE"""),1.71)</f>
        <v>1.71</v>
      </c>
      <c r="F1770" s="1">
        <f>IFERROR(__xludf.DUMMYFUNCTION("""COMPUTED_VALUE"""),321163.0)</f>
        <v>321163</v>
      </c>
    </row>
    <row r="1771">
      <c r="A1771" s="2">
        <f>IFERROR(__xludf.DUMMYFUNCTION("""COMPUTED_VALUE"""),41737.666666666664)</f>
        <v>41737.66667</v>
      </c>
      <c r="B1771" s="1">
        <f>IFERROR(__xludf.DUMMYFUNCTION("""COMPUTED_VALUE"""),1.72)</f>
        <v>1.72</v>
      </c>
      <c r="C1771" s="1">
        <f>IFERROR(__xludf.DUMMYFUNCTION("""COMPUTED_VALUE"""),1.76)</f>
        <v>1.76</v>
      </c>
      <c r="D1771" s="1">
        <f>IFERROR(__xludf.DUMMYFUNCTION("""COMPUTED_VALUE"""),1.72)</f>
        <v>1.72</v>
      </c>
      <c r="E1771" s="1">
        <f>IFERROR(__xludf.DUMMYFUNCTION("""COMPUTED_VALUE"""),1.73)</f>
        <v>1.73</v>
      </c>
      <c r="F1771" s="1">
        <f>IFERROR(__xludf.DUMMYFUNCTION("""COMPUTED_VALUE"""),211796.0)</f>
        <v>211796</v>
      </c>
    </row>
    <row r="1772">
      <c r="A1772" s="2">
        <f>IFERROR(__xludf.DUMMYFUNCTION("""COMPUTED_VALUE"""),41738.666666666664)</f>
        <v>41738.66667</v>
      </c>
      <c r="B1772" s="1">
        <f>IFERROR(__xludf.DUMMYFUNCTION("""COMPUTED_VALUE"""),1.74)</f>
        <v>1.74</v>
      </c>
      <c r="C1772" s="1">
        <f>IFERROR(__xludf.DUMMYFUNCTION("""COMPUTED_VALUE"""),1.77)</f>
        <v>1.77</v>
      </c>
      <c r="D1772" s="1">
        <f>IFERROR(__xludf.DUMMYFUNCTION("""COMPUTED_VALUE"""),1.72)</f>
        <v>1.72</v>
      </c>
      <c r="E1772" s="1">
        <f>IFERROR(__xludf.DUMMYFUNCTION("""COMPUTED_VALUE"""),1.76)</f>
        <v>1.76</v>
      </c>
      <c r="F1772" s="1">
        <f>IFERROR(__xludf.DUMMYFUNCTION("""COMPUTED_VALUE"""),351338.0)</f>
        <v>351338</v>
      </c>
    </row>
    <row r="1773">
      <c r="A1773" s="2">
        <f>IFERROR(__xludf.DUMMYFUNCTION("""COMPUTED_VALUE"""),41739.666666666664)</f>
        <v>41739.66667</v>
      </c>
      <c r="B1773" s="1">
        <f>IFERROR(__xludf.DUMMYFUNCTION("""COMPUTED_VALUE"""),1.77)</f>
        <v>1.77</v>
      </c>
      <c r="C1773" s="1">
        <f>IFERROR(__xludf.DUMMYFUNCTION("""COMPUTED_VALUE"""),1.83)</f>
        <v>1.83</v>
      </c>
      <c r="D1773" s="1">
        <f>IFERROR(__xludf.DUMMYFUNCTION("""COMPUTED_VALUE"""),1.68)</f>
        <v>1.68</v>
      </c>
      <c r="E1773" s="1">
        <f>IFERROR(__xludf.DUMMYFUNCTION("""COMPUTED_VALUE"""),1.69)</f>
        <v>1.69</v>
      </c>
      <c r="F1773" s="1">
        <f>IFERROR(__xludf.DUMMYFUNCTION("""COMPUTED_VALUE"""),418055.0)</f>
        <v>418055</v>
      </c>
    </row>
    <row r="1774">
      <c r="A1774" s="2">
        <f>IFERROR(__xludf.DUMMYFUNCTION("""COMPUTED_VALUE"""),41740.666666666664)</f>
        <v>41740.66667</v>
      </c>
      <c r="B1774" s="1">
        <f>IFERROR(__xludf.DUMMYFUNCTION("""COMPUTED_VALUE"""),1.68)</f>
        <v>1.68</v>
      </c>
      <c r="C1774" s="1">
        <f>IFERROR(__xludf.DUMMYFUNCTION("""COMPUTED_VALUE"""),1.69)</f>
        <v>1.69</v>
      </c>
      <c r="D1774" s="1">
        <f>IFERROR(__xludf.DUMMYFUNCTION("""COMPUTED_VALUE"""),1.64)</f>
        <v>1.64</v>
      </c>
      <c r="E1774" s="1">
        <f>IFERROR(__xludf.DUMMYFUNCTION("""COMPUTED_VALUE"""),1.65)</f>
        <v>1.65</v>
      </c>
      <c r="F1774" s="1">
        <f>IFERROR(__xludf.DUMMYFUNCTION("""COMPUTED_VALUE"""),331895.0)</f>
        <v>331895</v>
      </c>
    </row>
    <row r="1775">
      <c r="A1775" s="2">
        <f>IFERROR(__xludf.DUMMYFUNCTION("""COMPUTED_VALUE"""),41743.666666666664)</f>
        <v>41743.66667</v>
      </c>
      <c r="B1775" s="1">
        <f>IFERROR(__xludf.DUMMYFUNCTION("""COMPUTED_VALUE"""),1.67)</f>
        <v>1.67</v>
      </c>
      <c r="C1775" s="1">
        <f>IFERROR(__xludf.DUMMYFUNCTION("""COMPUTED_VALUE"""),1.69)</f>
        <v>1.69</v>
      </c>
      <c r="D1775" s="1">
        <f>IFERROR(__xludf.DUMMYFUNCTION("""COMPUTED_VALUE"""),1.65)</f>
        <v>1.65</v>
      </c>
      <c r="E1775" s="1">
        <f>IFERROR(__xludf.DUMMYFUNCTION("""COMPUTED_VALUE"""),1.67)</f>
        <v>1.67</v>
      </c>
      <c r="F1775" s="1">
        <f>IFERROR(__xludf.DUMMYFUNCTION("""COMPUTED_VALUE"""),258606.0)</f>
        <v>258606</v>
      </c>
    </row>
    <row r="1776">
      <c r="A1776" s="2">
        <f>IFERROR(__xludf.DUMMYFUNCTION("""COMPUTED_VALUE"""),41744.666666666664)</f>
        <v>41744.66667</v>
      </c>
      <c r="B1776" s="1">
        <f>IFERROR(__xludf.DUMMYFUNCTION("""COMPUTED_VALUE"""),1.68)</f>
        <v>1.68</v>
      </c>
      <c r="C1776" s="1">
        <f>IFERROR(__xludf.DUMMYFUNCTION("""COMPUTED_VALUE"""),1.72)</f>
        <v>1.72</v>
      </c>
      <c r="D1776" s="1">
        <f>IFERROR(__xludf.DUMMYFUNCTION("""COMPUTED_VALUE"""),1.64)</f>
        <v>1.64</v>
      </c>
      <c r="E1776" s="1">
        <f>IFERROR(__xludf.DUMMYFUNCTION("""COMPUTED_VALUE"""),1.72)</f>
        <v>1.72</v>
      </c>
      <c r="F1776" s="1">
        <f>IFERROR(__xludf.DUMMYFUNCTION("""COMPUTED_VALUE"""),392048.0)</f>
        <v>392048</v>
      </c>
    </row>
    <row r="1777">
      <c r="A1777" s="2">
        <f>IFERROR(__xludf.DUMMYFUNCTION("""COMPUTED_VALUE"""),41745.666666666664)</f>
        <v>41745.66667</v>
      </c>
      <c r="B1777" s="1">
        <f>IFERROR(__xludf.DUMMYFUNCTION("""COMPUTED_VALUE"""),1.74)</f>
        <v>1.74</v>
      </c>
      <c r="C1777" s="1">
        <f>IFERROR(__xludf.DUMMYFUNCTION("""COMPUTED_VALUE"""),1.77)</f>
        <v>1.77</v>
      </c>
      <c r="D1777" s="1">
        <f>IFERROR(__xludf.DUMMYFUNCTION("""COMPUTED_VALUE"""),1.73)</f>
        <v>1.73</v>
      </c>
      <c r="E1777" s="1">
        <f>IFERROR(__xludf.DUMMYFUNCTION("""COMPUTED_VALUE"""),1.75)</f>
        <v>1.75</v>
      </c>
      <c r="F1777" s="1">
        <f>IFERROR(__xludf.DUMMYFUNCTION("""COMPUTED_VALUE"""),346939.0)</f>
        <v>346939</v>
      </c>
    </row>
    <row r="1778">
      <c r="A1778" s="2">
        <f>IFERROR(__xludf.DUMMYFUNCTION("""COMPUTED_VALUE"""),41746.666666666664)</f>
        <v>41746.66667</v>
      </c>
      <c r="B1778" s="1">
        <f>IFERROR(__xludf.DUMMYFUNCTION("""COMPUTED_VALUE"""),1.75)</f>
        <v>1.75</v>
      </c>
      <c r="C1778" s="1">
        <f>IFERROR(__xludf.DUMMYFUNCTION("""COMPUTED_VALUE"""),1.8)</f>
        <v>1.8</v>
      </c>
      <c r="D1778" s="1">
        <f>IFERROR(__xludf.DUMMYFUNCTION("""COMPUTED_VALUE"""),1.74)</f>
        <v>1.74</v>
      </c>
      <c r="E1778" s="1">
        <f>IFERROR(__xludf.DUMMYFUNCTION("""COMPUTED_VALUE"""),1.78)</f>
        <v>1.78</v>
      </c>
      <c r="F1778" s="1">
        <f>IFERROR(__xludf.DUMMYFUNCTION("""COMPUTED_VALUE"""),344390.0)</f>
        <v>344390</v>
      </c>
    </row>
    <row r="1779">
      <c r="A1779" s="2">
        <f>IFERROR(__xludf.DUMMYFUNCTION("""COMPUTED_VALUE"""),41750.666666666664)</f>
        <v>41750.66667</v>
      </c>
      <c r="B1779" s="1">
        <f>IFERROR(__xludf.DUMMYFUNCTION("""COMPUTED_VALUE"""),1.79)</f>
        <v>1.79</v>
      </c>
      <c r="C1779" s="1">
        <f>IFERROR(__xludf.DUMMYFUNCTION("""COMPUTED_VALUE"""),1.9)</f>
        <v>1.9</v>
      </c>
      <c r="D1779" s="1">
        <f>IFERROR(__xludf.DUMMYFUNCTION("""COMPUTED_VALUE"""),1.78)</f>
        <v>1.78</v>
      </c>
      <c r="E1779" s="1">
        <f>IFERROR(__xludf.DUMMYFUNCTION("""COMPUTED_VALUE"""),1.89)</f>
        <v>1.89</v>
      </c>
      <c r="F1779" s="1">
        <f>IFERROR(__xludf.DUMMYFUNCTION("""COMPUTED_VALUE"""),677750.0)</f>
        <v>677750</v>
      </c>
    </row>
    <row r="1780">
      <c r="A1780" s="2">
        <f>IFERROR(__xludf.DUMMYFUNCTION("""COMPUTED_VALUE"""),41751.666666666664)</f>
        <v>41751.66667</v>
      </c>
      <c r="B1780" s="1">
        <f>IFERROR(__xludf.DUMMYFUNCTION("""COMPUTED_VALUE"""),1.89)</f>
        <v>1.89</v>
      </c>
      <c r="C1780" s="1">
        <f>IFERROR(__xludf.DUMMYFUNCTION("""COMPUTED_VALUE"""),1.93)</f>
        <v>1.93</v>
      </c>
      <c r="D1780" s="1">
        <f>IFERROR(__xludf.DUMMYFUNCTION("""COMPUTED_VALUE"""),1.85)</f>
        <v>1.85</v>
      </c>
      <c r="E1780" s="1">
        <f>IFERROR(__xludf.DUMMYFUNCTION("""COMPUTED_VALUE"""),1.9)</f>
        <v>1.9</v>
      </c>
      <c r="F1780" s="1">
        <f>IFERROR(__xludf.DUMMYFUNCTION("""COMPUTED_VALUE"""),726981.0)</f>
        <v>726981</v>
      </c>
    </row>
    <row r="1781">
      <c r="A1781" s="2">
        <f>IFERROR(__xludf.DUMMYFUNCTION("""COMPUTED_VALUE"""),41752.666666666664)</f>
        <v>41752.66667</v>
      </c>
      <c r="B1781" s="1">
        <f>IFERROR(__xludf.DUMMYFUNCTION("""COMPUTED_VALUE"""),2.19)</f>
        <v>2.19</v>
      </c>
      <c r="C1781" s="1">
        <f>IFERROR(__xludf.DUMMYFUNCTION("""COMPUTED_VALUE"""),2.2)</f>
        <v>2.2</v>
      </c>
      <c r="D1781" s="1">
        <f>IFERROR(__xludf.DUMMYFUNCTION("""COMPUTED_VALUE"""),1.92)</f>
        <v>1.92</v>
      </c>
      <c r="E1781" s="1">
        <f>IFERROR(__xludf.DUMMYFUNCTION("""COMPUTED_VALUE"""),1.93)</f>
        <v>1.93</v>
      </c>
      <c r="F1781" s="1">
        <f>IFERROR(__xludf.DUMMYFUNCTION("""COMPUTED_VALUE"""),2443767.0)</f>
        <v>2443767</v>
      </c>
    </row>
    <row r="1782">
      <c r="A1782" s="2">
        <f>IFERROR(__xludf.DUMMYFUNCTION("""COMPUTED_VALUE"""),41753.666666666664)</f>
        <v>41753.66667</v>
      </c>
      <c r="B1782" s="1">
        <f>IFERROR(__xludf.DUMMYFUNCTION("""COMPUTED_VALUE"""),1.95)</f>
        <v>1.95</v>
      </c>
      <c r="C1782" s="1">
        <f>IFERROR(__xludf.DUMMYFUNCTION("""COMPUTED_VALUE"""),2.0)</f>
        <v>2</v>
      </c>
      <c r="D1782" s="1">
        <f>IFERROR(__xludf.DUMMYFUNCTION("""COMPUTED_VALUE"""),1.91)</f>
        <v>1.91</v>
      </c>
      <c r="E1782" s="1">
        <f>IFERROR(__xludf.DUMMYFUNCTION("""COMPUTED_VALUE"""),1.99)</f>
        <v>1.99</v>
      </c>
      <c r="F1782" s="1">
        <f>IFERROR(__xludf.DUMMYFUNCTION("""COMPUTED_VALUE"""),776441.0)</f>
        <v>776441</v>
      </c>
    </row>
    <row r="1783">
      <c r="A1783" s="2">
        <f>IFERROR(__xludf.DUMMYFUNCTION("""COMPUTED_VALUE"""),41754.666666666664)</f>
        <v>41754.66667</v>
      </c>
      <c r="B1783" s="1">
        <f>IFERROR(__xludf.DUMMYFUNCTION("""COMPUTED_VALUE"""),1.97)</f>
        <v>1.97</v>
      </c>
      <c r="C1783" s="1">
        <f>IFERROR(__xludf.DUMMYFUNCTION("""COMPUTED_VALUE"""),2.05)</f>
        <v>2.05</v>
      </c>
      <c r="D1783" s="1">
        <f>IFERROR(__xludf.DUMMYFUNCTION("""COMPUTED_VALUE"""),1.95)</f>
        <v>1.95</v>
      </c>
      <c r="E1783" s="1">
        <f>IFERROR(__xludf.DUMMYFUNCTION("""COMPUTED_VALUE"""),2.05)</f>
        <v>2.05</v>
      </c>
      <c r="F1783" s="1">
        <f>IFERROR(__xludf.DUMMYFUNCTION("""COMPUTED_VALUE"""),1021120.0)</f>
        <v>1021120</v>
      </c>
    </row>
    <row r="1784">
      <c r="A1784" s="2">
        <f>IFERROR(__xludf.DUMMYFUNCTION("""COMPUTED_VALUE"""),41757.666666666664)</f>
        <v>41757.66667</v>
      </c>
      <c r="B1784" s="1">
        <f>IFERROR(__xludf.DUMMYFUNCTION("""COMPUTED_VALUE"""),2.05)</f>
        <v>2.05</v>
      </c>
      <c r="C1784" s="1">
        <f>IFERROR(__xludf.DUMMYFUNCTION("""COMPUTED_VALUE"""),2.11)</f>
        <v>2.11</v>
      </c>
      <c r="D1784" s="1">
        <f>IFERROR(__xludf.DUMMYFUNCTION("""COMPUTED_VALUE"""),2.03)</f>
        <v>2.03</v>
      </c>
      <c r="E1784" s="1">
        <f>IFERROR(__xludf.DUMMYFUNCTION("""COMPUTED_VALUE"""),2.09)</f>
        <v>2.09</v>
      </c>
      <c r="F1784" s="1">
        <f>IFERROR(__xludf.DUMMYFUNCTION("""COMPUTED_VALUE"""),736632.0)</f>
        <v>736632</v>
      </c>
    </row>
    <row r="1785">
      <c r="A1785" s="2">
        <f>IFERROR(__xludf.DUMMYFUNCTION("""COMPUTED_VALUE"""),41758.666666666664)</f>
        <v>41758.66667</v>
      </c>
      <c r="B1785" s="1">
        <f>IFERROR(__xludf.DUMMYFUNCTION("""COMPUTED_VALUE"""),2.09)</f>
        <v>2.09</v>
      </c>
      <c r="C1785" s="1">
        <f>IFERROR(__xludf.DUMMYFUNCTION("""COMPUTED_VALUE"""),2.09)</f>
        <v>2.09</v>
      </c>
      <c r="D1785" s="1">
        <f>IFERROR(__xludf.DUMMYFUNCTION("""COMPUTED_VALUE"""),2.03)</f>
        <v>2.03</v>
      </c>
      <c r="E1785" s="1">
        <f>IFERROR(__xludf.DUMMYFUNCTION("""COMPUTED_VALUE"""),2.04)</f>
        <v>2.04</v>
      </c>
      <c r="F1785" s="1">
        <f>IFERROR(__xludf.DUMMYFUNCTION("""COMPUTED_VALUE"""),315625.0)</f>
        <v>315625</v>
      </c>
    </row>
    <row r="1786">
      <c r="A1786" s="2">
        <f>IFERROR(__xludf.DUMMYFUNCTION("""COMPUTED_VALUE"""),41759.666666666664)</f>
        <v>41759.66667</v>
      </c>
      <c r="B1786" s="1">
        <f>IFERROR(__xludf.DUMMYFUNCTION("""COMPUTED_VALUE"""),2.04)</f>
        <v>2.04</v>
      </c>
      <c r="C1786" s="1">
        <f>IFERROR(__xludf.DUMMYFUNCTION("""COMPUTED_VALUE"""),2.05)</f>
        <v>2.05</v>
      </c>
      <c r="D1786" s="1">
        <f>IFERROR(__xludf.DUMMYFUNCTION("""COMPUTED_VALUE"""),1.98)</f>
        <v>1.98</v>
      </c>
      <c r="E1786" s="1">
        <f>IFERROR(__xludf.DUMMYFUNCTION("""COMPUTED_VALUE"""),2.04)</f>
        <v>2.04</v>
      </c>
      <c r="F1786" s="1">
        <f>IFERROR(__xludf.DUMMYFUNCTION("""COMPUTED_VALUE"""),557617.0)</f>
        <v>557617</v>
      </c>
    </row>
    <row r="1787">
      <c r="A1787" s="2">
        <f>IFERROR(__xludf.DUMMYFUNCTION("""COMPUTED_VALUE"""),41760.666666666664)</f>
        <v>41760.66667</v>
      </c>
      <c r="B1787" s="1">
        <f>IFERROR(__xludf.DUMMYFUNCTION("""COMPUTED_VALUE"""),2.03)</f>
        <v>2.03</v>
      </c>
      <c r="C1787" s="1">
        <f>IFERROR(__xludf.DUMMYFUNCTION("""COMPUTED_VALUE"""),2.04)</f>
        <v>2.04</v>
      </c>
      <c r="D1787" s="1">
        <f>IFERROR(__xludf.DUMMYFUNCTION("""COMPUTED_VALUE"""),1.96)</f>
        <v>1.96</v>
      </c>
      <c r="E1787" s="1">
        <f>IFERROR(__xludf.DUMMYFUNCTION("""COMPUTED_VALUE"""),1.98)</f>
        <v>1.98</v>
      </c>
      <c r="F1787" s="1">
        <f>IFERROR(__xludf.DUMMYFUNCTION("""COMPUTED_VALUE"""),374297.0)</f>
        <v>374297</v>
      </c>
    </row>
    <row r="1788">
      <c r="A1788" s="2">
        <f>IFERROR(__xludf.DUMMYFUNCTION("""COMPUTED_VALUE"""),41761.666666666664)</f>
        <v>41761.66667</v>
      </c>
      <c r="B1788" s="1">
        <f>IFERROR(__xludf.DUMMYFUNCTION("""COMPUTED_VALUE"""),1.99)</f>
        <v>1.99</v>
      </c>
      <c r="C1788" s="1">
        <f>IFERROR(__xludf.DUMMYFUNCTION("""COMPUTED_VALUE"""),2.06)</f>
        <v>2.06</v>
      </c>
      <c r="D1788" s="1">
        <f>IFERROR(__xludf.DUMMYFUNCTION("""COMPUTED_VALUE"""),1.99)</f>
        <v>1.99</v>
      </c>
      <c r="E1788" s="1">
        <f>IFERROR(__xludf.DUMMYFUNCTION("""COMPUTED_VALUE"""),2.03)</f>
        <v>2.03</v>
      </c>
      <c r="F1788" s="1">
        <f>IFERROR(__xludf.DUMMYFUNCTION("""COMPUTED_VALUE"""),393974.0)</f>
        <v>393974</v>
      </c>
    </row>
    <row r="1789">
      <c r="A1789" s="2">
        <f>IFERROR(__xludf.DUMMYFUNCTION("""COMPUTED_VALUE"""),41764.666666666664)</f>
        <v>41764.66667</v>
      </c>
      <c r="B1789" s="1">
        <f>IFERROR(__xludf.DUMMYFUNCTION("""COMPUTED_VALUE"""),2.02)</f>
        <v>2.02</v>
      </c>
      <c r="C1789" s="1">
        <f>IFERROR(__xludf.DUMMYFUNCTION("""COMPUTED_VALUE"""),2.03)</f>
        <v>2.03</v>
      </c>
      <c r="D1789" s="1">
        <f>IFERROR(__xludf.DUMMYFUNCTION("""COMPUTED_VALUE"""),1.98)</f>
        <v>1.98</v>
      </c>
      <c r="E1789" s="1">
        <f>IFERROR(__xludf.DUMMYFUNCTION("""COMPUTED_VALUE"""),1.98)</f>
        <v>1.98</v>
      </c>
      <c r="F1789" s="1">
        <f>IFERROR(__xludf.DUMMYFUNCTION("""COMPUTED_VALUE"""),246153.0)</f>
        <v>246153</v>
      </c>
    </row>
    <row r="1790">
      <c r="A1790" s="2">
        <f>IFERROR(__xludf.DUMMYFUNCTION("""COMPUTED_VALUE"""),41765.666666666664)</f>
        <v>41765.66667</v>
      </c>
      <c r="B1790" s="1">
        <f>IFERROR(__xludf.DUMMYFUNCTION("""COMPUTED_VALUE"""),1.98)</f>
        <v>1.98</v>
      </c>
      <c r="C1790" s="1">
        <f>IFERROR(__xludf.DUMMYFUNCTION("""COMPUTED_VALUE"""),2.0)</f>
        <v>2</v>
      </c>
      <c r="D1790" s="1">
        <f>IFERROR(__xludf.DUMMYFUNCTION("""COMPUTED_VALUE"""),1.94)</f>
        <v>1.94</v>
      </c>
      <c r="E1790" s="1">
        <f>IFERROR(__xludf.DUMMYFUNCTION("""COMPUTED_VALUE"""),1.94)</f>
        <v>1.94</v>
      </c>
      <c r="F1790" s="1">
        <f>IFERROR(__xludf.DUMMYFUNCTION("""COMPUTED_VALUE"""),260444.0)</f>
        <v>260444</v>
      </c>
    </row>
    <row r="1791">
      <c r="A1791" s="2">
        <f>IFERROR(__xludf.DUMMYFUNCTION("""COMPUTED_VALUE"""),41766.666666666664)</f>
        <v>41766.66667</v>
      </c>
      <c r="B1791" s="1">
        <f>IFERROR(__xludf.DUMMYFUNCTION("""COMPUTED_VALUE"""),1.94)</f>
        <v>1.94</v>
      </c>
      <c r="C1791" s="1">
        <f>IFERROR(__xludf.DUMMYFUNCTION("""COMPUTED_VALUE"""),1.95)</f>
        <v>1.95</v>
      </c>
      <c r="D1791" s="1">
        <f>IFERROR(__xludf.DUMMYFUNCTION("""COMPUTED_VALUE"""),1.86)</f>
        <v>1.86</v>
      </c>
      <c r="E1791" s="1">
        <f>IFERROR(__xludf.DUMMYFUNCTION("""COMPUTED_VALUE"""),1.92)</f>
        <v>1.92</v>
      </c>
      <c r="F1791" s="1">
        <f>IFERROR(__xludf.DUMMYFUNCTION("""COMPUTED_VALUE"""),499426.0)</f>
        <v>499426</v>
      </c>
    </row>
    <row r="1792">
      <c r="A1792" s="2">
        <f>IFERROR(__xludf.DUMMYFUNCTION("""COMPUTED_VALUE"""),41767.666666666664)</f>
        <v>41767.66667</v>
      </c>
      <c r="B1792" s="1">
        <f>IFERROR(__xludf.DUMMYFUNCTION("""COMPUTED_VALUE"""),1.9)</f>
        <v>1.9</v>
      </c>
      <c r="C1792" s="1">
        <f>IFERROR(__xludf.DUMMYFUNCTION("""COMPUTED_VALUE"""),1.92)</f>
        <v>1.92</v>
      </c>
      <c r="D1792" s="1">
        <f>IFERROR(__xludf.DUMMYFUNCTION("""COMPUTED_VALUE"""),1.83)</f>
        <v>1.83</v>
      </c>
      <c r="E1792" s="1">
        <f>IFERROR(__xludf.DUMMYFUNCTION("""COMPUTED_VALUE"""),1.84)</f>
        <v>1.84</v>
      </c>
      <c r="F1792" s="1">
        <f>IFERROR(__xludf.DUMMYFUNCTION("""COMPUTED_VALUE"""),442522.0)</f>
        <v>442522</v>
      </c>
    </row>
    <row r="1793">
      <c r="A1793" s="2">
        <f>IFERROR(__xludf.DUMMYFUNCTION("""COMPUTED_VALUE"""),41768.666666666664)</f>
        <v>41768.66667</v>
      </c>
      <c r="B1793" s="1">
        <f>IFERROR(__xludf.DUMMYFUNCTION("""COMPUTED_VALUE"""),1.82)</f>
        <v>1.82</v>
      </c>
      <c r="C1793" s="1">
        <f>IFERROR(__xludf.DUMMYFUNCTION("""COMPUTED_VALUE"""),1.85)</f>
        <v>1.85</v>
      </c>
      <c r="D1793" s="1">
        <f>IFERROR(__xludf.DUMMYFUNCTION("""COMPUTED_VALUE"""),1.81)</f>
        <v>1.81</v>
      </c>
      <c r="E1793" s="1">
        <f>IFERROR(__xludf.DUMMYFUNCTION("""COMPUTED_VALUE"""),1.85)</f>
        <v>1.85</v>
      </c>
      <c r="F1793" s="1">
        <f>IFERROR(__xludf.DUMMYFUNCTION("""COMPUTED_VALUE"""),399195.0)</f>
        <v>399195</v>
      </c>
    </row>
    <row r="1794">
      <c r="A1794" s="2">
        <f>IFERROR(__xludf.DUMMYFUNCTION("""COMPUTED_VALUE"""),41771.666666666664)</f>
        <v>41771.66667</v>
      </c>
      <c r="B1794" s="1">
        <f>IFERROR(__xludf.DUMMYFUNCTION("""COMPUTED_VALUE"""),1.84)</f>
        <v>1.84</v>
      </c>
      <c r="C1794" s="1">
        <f>IFERROR(__xludf.DUMMYFUNCTION("""COMPUTED_VALUE"""),1.9)</f>
        <v>1.9</v>
      </c>
      <c r="D1794" s="1">
        <f>IFERROR(__xludf.DUMMYFUNCTION("""COMPUTED_VALUE"""),1.84)</f>
        <v>1.84</v>
      </c>
      <c r="E1794" s="1">
        <f>IFERROR(__xludf.DUMMYFUNCTION("""COMPUTED_VALUE"""),1.88)</f>
        <v>1.88</v>
      </c>
      <c r="F1794" s="1">
        <f>IFERROR(__xludf.DUMMYFUNCTION("""COMPUTED_VALUE"""),448206.0)</f>
        <v>448206</v>
      </c>
    </row>
    <row r="1795">
      <c r="A1795" s="2">
        <f>IFERROR(__xludf.DUMMYFUNCTION("""COMPUTED_VALUE"""),41772.666666666664)</f>
        <v>41772.66667</v>
      </c>
      <c r="B1795" s="1">
        <f>IFERROR(__xludf.DUMMYFUNCTION("""COMPUTED_VALUE"""),1.88)</f>
        <v>1.88</v>
      </c>
      <c r="C1795" s="1">
        <f>IFERROR(__xludf.DUMMYFUNCTION("""COMPUTED_VALUE"""),1.89)</f>
        <v>1.89</v>
      </c>
      <c r="D1795" s="1">
        <f>IFERROR(__xludf.DUMMYFUNCTION("""COMPUTED_VALUE"""),1.83)</f>
        <v>1.83</v>
      </c>
      <c r="E1795" s="1">
        <f>IFERROR(__xludf.DUMMYFUNCTION("""COMPUTED_VALUE"""),1.84)</f>
        <v>1.84</v>
      </c>
      <c r="F1795" s="1">
        <f>IFERROR(__xludf.DUMMYFUNCTION("""COMPUTED_VALUE"""),473749.0)</f>
        <v>473749</v>
      </c>
    </row>
    <row r="1796">
      <c r="A1796" s="2">
        <f>IFERROR(__xludf.DUMMYFUNCTION("""COMPUTED_VALUE"""),41773.666666666664)</f>
        <v>41773.66667</v>
      </c>
      <c r="B1796" s="1">
        <f>IFERROR(__xludf.DUMMYFUNCTION("""COMPUTED_VALUE"""),1.84)</f>
        <v>1.84</v>
      </c>
      <c r="C1796" s="1">
        <f>IFERROR(__xludf.DUMMYFUNCTION("""COMPUTED_VALUE"""),1.84)</f>
        <v>1.84</v>
      </c>
      <c r="D1796" s="1">
        <f>IFERROR(__xludf.DUMMYFUNCTION("""COMPUTED_VALUE"""),1.73)</f>
        <v>1.73</v>
      </c>
      <c r="E1796" s="1">
        <f>IFERROR(__xludf.DUMMYFUNCTION("""COMPUTED_VALUE"""),1.78)</f>
        <v>1.78</v>
      </c>
      <c r="F1796" s="1">
        <f>IFERROR(__xludf.DUMMYFUNCTION("""COMPUTED_VALUE"""),732640.0)</f>
        <v>732640</v>
      </c>
    </row>
    <row r="1797">
      <c r="A1797" s="2">
        <f>IFERROR(__xludf.DUMMYFUNCTION("""COMPUTED_VALUE"""),41774.666666666664)</f>
        <v>41774.66667</v>
      </c>
      <c r="B1797" s="1">
        <f>IFERROR(__xludf.DUMMYFUNCTION("""COMPUTED_VALUE"""),1.77)</f>
        <v>1.77</v>
      </c>
      <c r="C1797" s="1">
        <f>IFERROR(__xludf.DUMMYFUNCTION("""COMPUTED_VALUE"""),1.8)</f>
        <v>1.8</v>
      </c>
      <c r="D1797" s="1">
        <f>IFERROR(__xludf.DUMMYFUNCTION("""COMPUTED_VALUE"""),1.74)</f>
        <v>1.74</v>
      </c>
      <c r="E1797" s="1">
        <f>IFERROR(__xludf.DUMMYFUNCTION("""COMPUTED_VALUE"""),1.79)</f>
        <v>1.79</v>
      </c>
      <c r="F1797" s="1">
        <f>IFERROR(__xludf.DUMMYFUNCTION("""COMPUTED_VALUE"""),305487.0)</f>
        <v>305487</v>
      </c>
    </row>
    <row r="1798">
      <c r="A1798" s="2">
        <f>IFERROR(__xludf.DUMMYFUNCTION("""COMPUTED_VALUE"""),41775.666666666664)</f>
        <v>41775.66667</v>
      </c>
      <c r="B1798" s="1">
        <f>IFERROR(__xludf.DUMMYFUNCTION("""COMPUTED_VALUE"""),1.9)</f>
        <v>1.9</v>
      </c>
      <c r="C1798" s="1">
        <f>IFERROR(__xludf.DUMMYFUNCTION("""COMPUTED_VALUE"""),1.99)</f>
        <v>1.99</v>
      </c>
      <c r="D1798" s="1">
        <f>IFERROR(__xludf.DUMMYFUNCTION("""COMPUTED_VALUE"""),1.86)</f>
        <v>1.86</v>
      </c>
      <c r="E1798" s="1">
        <f>IFERROR(__xludf.DUMMYFUNCTION("""COMPUTED_VALUE"""),1.98)</f>
        <v>1.98</v>
      </c>
      <c r="F1798" s="1">
        <f>IFERROR(__xludf.DUMMYFUNCTION("""COMPUTED_VALUE"""),989504.0)</f>
        <v>989504</v>
      </c>
    </row>
    <row r="1799">
      <c r="A1799" s="2">
        <f>IFERROR(__xludf.DUMMYFUNCTION("""COMPUTED_VALUE"""),41778.666666666664)</f>
        <v>41778.66667</v>
      </c>
      <c r="B1799" s="1">
        <f>IFERROR(__xludf.DUMMYFUNCTION("""COMPUTED_VALUE"""),1.97)</f>
        <v>1.97</v>
      </c>
      <c r="C1799" s="1">
        <f>IFERROR(__xludf.DUMMYFUNCTION("""COMPUTED_VALUE"""),2.09)</f>
        <v>2.09</v>
      </c>
      <c r="D1799" s="1">
        <f>IFERROR(__xludf.DUMMYFUNCTION("""COMPUTED_VALUE"""),1.97)</f>
        <v>1.97</v>
      </c>
      <c r="E1799" s="1">
        <f>IFERROR(__xludf.DUMMYFUNCTION("""COMPUTED_VALUE"""),2.07)</f>
        <v>2.07</v>
      </c>
      <c r="F1799" s="1">
        <f>IFERROR(__xludf.DUMMYFUNCTION("""COMPUTED_VALUE"""),737766.0)</f>
        <v>737766</v>
      </c>
    </row>
    <row r="1800">
      <c r="A1800" s="2">
        <f>IFERROR(__xludf.DUMMYFUNCTION("""COMPUTED_VALUE"""),41779.666666666664)</f>
        <v>41779.66667</v>
      </c>
      <c r="B1800" s="1">
        <f>IFERROR(__xludf.DUMMYFUNCTION("""COMPUTED_VALUE"""),2.07)</f>
        <v>2.07</v>
      </c>
      <c r="C1800" s="1">
        <f>IFERROR(__xludf.DUMMYFUNCTION("""COMPUTED_VALUE"""),2.09)</f>
        <v>2.09</v>
      </c>
      <c r="D1800" s="1">
        <f>IFERROR(__xludf.DUMMYFUNCTION("""COMPUTED_VALUE"""),2.02)</f>
        <v>2.02</v>
      </c>
      <c r="E1800" s="1">
        <f>IFERROR(__xludf.DUMMYFUNCTION("""COMPUTED_VALUE"""),2.05)</f>
        <v>2.05</v>
      </c>
      <c r="F1800" s="1">
        <f>IFERROR(__xludf.DUMMYFUNCTION("""COMPUTED_VALUE"""),517648.0)</f>
        <v>517648</v>
      </c>
    </row>
    <row r="1801">
      <c r="A1801" s="2">
        <f>IFERROR(__xludf.DUMMYFUNCTION("""COMPUTED_VALUE"""),41780.666666666664)</f>
        <v>41780.66667</v>
      </c>
      <c r="B1801" s="1">
        <f>IFERROR(__xludf.DUMMYFUNCTION("""COMPUTED_VALUE"""),2.05)</f>
        <v>2.05</v>
      </c>
      <c r="C1801" s="1">
        <f>IFERROR(__xludf.DUMMYFUNCTION("""COMPUTED_VALUE"""),2.09)</f>
        <v>2.09</v>
      </c>
      <c r="D1801" s="1">
        <f>IFERROR(__xludf.DUMMYFUNCTION("""COMPUTED_VALUE"""),2.03)</f>
        <v>2.03</v>
      </c>
      <c r="E1801" s="1">
        <f>IFERROR(__xludf.DUMMYFUNCTION("""COMPUTED_VALUE"""),2.07)</f>
        <v>2.07</v>
      </c>
      <c r="F1801" s="1">
        <f>IFERROR(__xludf.DUMMYFUNCTION("""COMPUTED_VALUE"""),360142.0)</f>
        <v>360142</v>
      </c>
    </row>
    <row r="1802">
      <c r="A1802" s="2">
        <f>IFERROR(__xludf.DUMMYFUNCTION("""COMPUTED_VALUE"""),41781.666666666664)</f>
        <v>41781.66667</v>
      </c>
      <c r="B1802" s="1">
        <f>IFERROR(__xludf.DUMMYFUNCTION("""COMPUTED_VALUE"""),2.08)</f>
        <v>2.08</v>
      </c>
      <c r="C1802" s="1">
        <f>IFERROR(__xludf.DUMMYFUNCTION("""COMPUTED_VALUE"""),2.08)</f>
        <v>2.08</v>
      </c>
      <c r="D1802" s="1">
        <f>IFERROR(__xludf.DUMMYFUNCTION("""COMPUTED_VALUE"""),2.04)</f>
        <v>2.04</v>
      </c>
      <c r="E1802" s="1">
        <f>IFERROR(__xludf.DUMMYFUNCTION("""COMPUTED_VALUE"""),2.06)</f>
        <v>2.06</v>
      </c>
      <c r="F1802" s="1">
        <f>IFERROR(__xludf.DUMMYFUNCTION("""COMPUTED_VALUE"""),220230.0)</f>
        <v>220230</v>
      </c>
    </row>
    <row r="1803">
      <c r="A1803" s="2">
        <f>IFERROR(__xludf.DUMMYFUNCTION("""COMPUTED_VALUE"""),41782.666666666664)</f>
        <v>41782.66667</v>
      </c>
      <c r="B1803" s="1">
        <f>IFERROR(__xludf.DUMMYFUNCTION("""COMPUTED_VALUE"""),2.07)</f>
        <v>2.07</v>
      </c>
      <c r="C1803" s="1">
        <f>IFERROR(__xludf.DUMMYFUNCTION("""COMPUTED_VALUE"""),2.13)</f>
        <v>2.13</v>
      </c>
      <c r="D1803" s="1">
        <f>IFERROR(__xludf.DUMMYFUNCTION("""COMPUTED_VALUE"""),2.07)</f>
        <v>2.07</v>
      </c>
      <c r="E1803" s="1">
        <f>IFERROR(__xludf.DUMMYFUNCTION("""COMPUTED_VALUE"""),2.12)</f>
        <v>2.12</v>
      </c>
      <c r="F1803" s="1">
        <f>IFERROR(__xludf.DUMMYFUNCTION("""COMPUTED_VALUE"""),420436.0)</f>
        <v>420436</v>
      </c>
    </row>
    <row r="1804">
      <c r="A1804" s="2">
        <f>IFERROR(__xludf.DUMMYFUNCTION("""COMPUTED_VALUE"""),41786.666666666664)</f>
        <v>41786.66667</v>
      </c>
      <c r="B1804" s="1">
        <f>IFERROR(__xludf.DUMMYFUNCTION("""COMPUTED_VALUE"""),2.13)</f>
        <v>2.13</v>
      </c>
      <c r="C1804" s="1">
        <f>IFERROR(__xludf.DUMMYFUNCTION("""COMPUTED_VALUE"""),2.17)</f>
        <v>2.17</v>
      </c>
      <c r="D1804" s="1">
        <f>IFERROR(__xludf.DUMMYFUNCTION("""COMPUTED_VALUE"""),2.11)</f>
        <v>2.11</v>
      </c>
      <c r="E1804" s="1">
        <f>IFERROR(__xludf.DUMMYFUNCTION("""COMPUTED_VALUE"""),2.14)</f>
        <v>2.14</v>
      </c>
      <c r="F1804" s="1">
        <f>IFERROR(__xludf.DUMMYFUNCTION("""COMPUTED_VALUE"""),454983.0)</f>
        <v>454983</v>
      </c>
    </row>
    <row r="1805">
      <c r="A1805" s="2">
        <f>IFERROR(__xludf.DUMMYFUNCTION("""COMPUTED_VALUE"""),41787.666666666664)</f>
        <v>41787.66667</v>
      </c>
      <c r="B1805" s="1">
        <f>IFERROR(__xludf.DUMMYFUNCTION("""COMPUTED_VALUE"""),2.13)</f>
        <v>2.13</v>
      </c>
      <c r="C1805" s="1">
        <f>IFERROR(__xludf.DUMMYFUNCTION("""COMPUTED_VALUE"""),2.18)</f>
        <v>2.18</v>
      </c>
      <c r="D1805" s="1">
        <f>IFERROR(__xludf.DUMMYFUNCTION("""COMPUTED_VALUE"""),2.12)</f>
        <v>2.12</v>
      </c>
      <c r="E1805" s="1">
        <f>IFERROR(__xludf.DUMMYFUNCTION("""COMPUTED_VALUE"""),2.17)</f>
        <v>2.17</v>
      </c>
      <c r="F1805" s="1">
        <f>IFERROR(__xludf.DUMMYFUNCTION("""COMPUTED_VALUE"""),410319.0)</f>
        <v>410319</v>
      </c>
    </row>
    <row r="1806">
      <c r="A1806" s="2">
        <f>IFERROR(__xludf.DUMMYFUNCTION("""COMPUTED_VALUE"""),41788.666666666664)</f>
        <v>41788.66667</v>
      </c>
      <c r="B1806" s="1">
        <f>IFERROR(__xludf.DUMMYFUNCTION("""COMPUTED_VALUE"""),2.17)</f>
        <v>2.17</v>
      </c>
      <c r="C1806" s="1">
        <f>IFERROR(__xludf.DUMMYFUNCTION("""COMPUTED_VALUE"""),2.18)</f>
        <v>2.18</v>
      </c>
      <c r="D1806" s="1">
        <f>IFERROR(__xludf.DUMMYFUNCTION("""COMPUTED_VALUE"""),2.14)</f>
        <v>2.14</v>
      </c>
      <c r="E1806" s="1">
        <f>IFERROR(__xludf.DUMMYFUNCTION("""COMPUTED_VALUE"""),2.18)</f>
        <v>2.18</v>
      </c>
      <c r="F1806" s="1">
        <f>IFERROR(__xludf.DUMMYFUNCTION("""COMPUTED_VALUE"""),333050.0)</f>
        <v>333050</v>
      </c>
    </row>
    <row r="1807">
      <c r="A1807" s="2">
        <f>IFERROR(__xludf.DUMMYFUNCTION("""COMPUTED_VALUE"""),41789.666666666664)</f>
        <v>41789.66667</v>
      </c>
      <c r="B1807" s="1">
        <f>IFERROR(__xludf.DUMMYFUNCTION("""COMPUTED_VALUE"""),2.17)</f>
        <v>2.17</v>
      </c>
      <c r="C1807" s="1">
        <f>IFERROR(__xludf.DUMMYFUNCTION("""COMPUTED_VALUE"""),2.18)</f>
        <v>2.18</v>
      </c>
      <c r="D1807" s="1">
        <f>IFERROR(__xludf.DUMMYFUNCTION("""COMPUTED_VALUE"""),2.14)</f>
        <v>2.14</v>
      </c>
      <c r="E1807" s="1">
        <f>IFERROR(__xludf.DUMMYFUNCTION("""COMPUTED_VALUE"""),2.15)</f>
        <v>2.15</v>
      </c>
      <c r="F1807" s="1">
        <f>IFERROR(__xludf.DUMMYFUNCTION("""COMPUTED_VALUE"""),693029.0)</f>
        <v>693029</v>
      </c>
    </row>
    <row r="1808">
      <c r="A1808" s="2">
        <f>IFERROR(__xludf.DUMMYFUNCTION("""COMPUTED_VALUE"""),41792.666666666664)</f>
        <v>41792.66667</v>
      </c>
      <c r="B1808" s="1">
        <f>IFERROR(__xludf.DUMMYFUNCTION("""COMPUTED_VALUE"""),2.15)</f>
        <v>2.15</v>
      </c>
      <c r="C1808" s="1">
        <f>IFERROR(__xludf.DUMMYFUNCTION("""COMPUTED_VALUE"""),2.16)</f>
        <v>2.16</v>
      </c>
      <c r="D1808" s="1">
        <f>IFERROR(__xludf.DUMMYFUNCTION("""COMPUTED_VALUE"""),2.11)</f>
        <v>2.11</v>
      </c>
      <c r="E1808" s="1">
        <f>IFERROR(__xludf.DUMMYFUNCTION("""COMPUTED_VALUE"""),2.12)</f>
        <v>2.12</v>
      </c>
      <c r="F1808" s="1">
        <f>IFERROR(__xludf.DUMMYFUNCTION("""COMPUTED_VALUE"""),309015.0)</f>
        <v>309015</v>
      </c>
    </row>
    <row r="1809">
      <c r="A1809" s="2">
        <f>IFERROR(__xludf.DUMMYFUNCTION("""COMPUTED_VALUE"""),41793.666666666664)</f>
        <v>41793.66667</v>
      </c>
      <c r="B1809" s="1">
        <f>IFERROR(__xludf.DUMMYFUNCTION("""COMPUTED_VALUE"""),2.11)</f>
        <v>2.11</v>
      </c>
      <c r="C1809" s="1">
        <f>IFERROR(__xludf.DUMMYFUNCTION("""COMPUTED_VALUE"""),2.13)</f>
        <v>2.13</v>
      </c>
      <c r="D1809" s="1">
        <f>IFERROR(__xludf.DUMMYFUNCTION("""COMPUTED_VALUE"""),2.08)</f>
        <v>2.08</v>
      </c>
      <c r="E1809" s="1">
        <f>IFERROR(__xludf.DUMMYFUNCTION("""COMPUTED_VALUE"""),2.12)</f>
        <v>2.12</v>
      </c>
      <c r="F1809" s="1">
        <f>IFERROR(__xludf.DUMMYFUNCTION("""COMPUTED_VALUE"""),320954.0)</f>
        <v>320954</v>
      </c>
    </row>
    <row r="1810">
      <c r="A1810" s="2">
        <f>IFERROR(__xludf.DUMMYFUNCTION("""COMPUTED_VALUE"""),41794.666666666664)</f>
        <v>41794.66667</v>
      </c>
      <c r="B1810" s="1">
        <f>IFERROR(__xludf.DUMMYFUNCTION("""COMPUTED_VALUE"""),2.1)</f>
        <v>2.1</v>
      </c>
      <c r="C1810" s="1">
        <f>IFERROR(__xludf.DUMMYFUNCTION("""COMPUTED_VALUE"""),2.21)</f>
        <v>2.21</v>
      </c>
      <c r="D1810" s="1">
        <f>IFERROR(__xludf.DUMMYFUNCTION("""COMPUTED_VALUE"""),2.09)</f>
        <v>2.09</v>
      </c>
      <c r="E1810" s="1">
        <f>IFERROR(__xludf.DUMMYFUNCTION("""COMPUTED_VALUE"""),2.15)</f>
        <v>2.15</v>
      </c>
      <c r="F1810" s="1">
        <f>IFERROR(__xludf.DUMMYFUNCTION("""COMPUTED_VALUE"""),476769.0)</f>
        <v>476769</v>
      </c>
    </row>
    <row r="1811">
      <c r="A1811" s="2">
        <f>IFERROR(__xludf.DUMMYFUNCTION("""COMPUTED_VALUE"""),41795.666666666664)</f>
        <v>41795.66667</v>
      </c>
      <c r="B1811" s="1">
        <f>IFERROR(__xludf.DUMMYFUNCTION("""COMPUTED_VALUE"""),2.17)</f>
        <v>2.17</v>
      </c>
      <c r="C1811" s="1">
        <f>IFERROR(__xludf.DUMMYFUNCTION("""COMPUTED_VALUE"""),2.2)</f>
        <v>2.2</v>
      </c>
      <c r="D1811" s="1">
        <f>IFERROR(__xludf.DUMMYFUNCTION("""COMPUTED_VALUE"""),2.13)</f>
        <v>2.13</v>
      </c>
      <c r="E1811" s="1">
        <f>IFERROR(__xludf.DUMMYFUNCTION("""COMPUTED_VALUE"""),2.19)</f>
        <v>2.19</v>
      </c>
      <c r="F1811" s="1">
        <f>IFERROR(__xludf.DUMMYFUNCTION("""COMPUTED_VALUE"""),277476.0)</f>
        <v>277476</v>
      </c>
    </row>
    <row r="1812">
      <c r="A1812" s="2">
        <f>IFERROR(__xludf.DUMMYFUNCTION("""COMPUTED_VALUE"""),41796.666666666664)</f>
        <v>41796.66667</v>
      </c>
      <c r="B1812" s="1">
        <f>IFERROR(__xludf.DUMMYFUNCTION("""COMPUTED_VALUE"""),2.2)</f>
        <v>2.2</v>
      </c>
      <c r="C1812" s="1">
        <f>IFERROR(__xludf.DUMMYFUNCTION("""COMPUTED_VALUE"""),2.2)</f>
        <v>2.2</v>
      </c>
      <c r="D1812" s="1">
        <f>IFERROR(__xludf.DUMMYFUNCTION("""COMPUTED_VALUE"""),2.17)</f>
        <v>2.17</v>
      </c>
      <c r="E1812" s="1">
        <f>IFERROR(__xludf.DUMMYFUNCTION("""COMPUTED_VALUE"""),2.18)</f>
        <v>2.18</v>
      </c>
      <c r="F1812" s="1">
        <f>IFERROR(__xludf.DUMMYFUNCTION("""COMPUTED_VALUE"""),286394.0)</f>
        <v>286394</v>
      </c>
    </row>
    <row r="1813">
      <c r="A1813" s="2">
        <f>IFERROR(__xludf.DUMMYFUNCTION("""COMPUTED_VALUE"""),41799.666666666664)</f>
        <v>41799.66667</v>
      </c>
      <c r="B1813" s="1">
        <f>IFERROR(__xludf.DUMMYFUNCTION("""COMPUTED_VALUE"""),2.19)</f>
        <v>2.19</v>
      </c>
      <c r="C1813" s="1">
        <f>IFERROR(__xludf.DUMMYFUNCTION("""COMPUTED_VALUE"""),2.29)</f>
        <v>2.29</v>
      </c>
      <c r="D1813" s="1">
        <f>IFERROR(__xludf.DUMMYFUNCTION("""COMPUTED_VALUE"""),2.18)</f>
        <v>2.18</v>
      </c>
      <c r="E1813" s="1">
        <f>IFERROR(__xludf.DUMMYFUNCTION("""COMPUTED_VALUE"""),2.27)</f>
        <v>2.27</v>
      </c>
      <c r="F1813" s="1">
        <f>IFERROR(__xludf.DUMMYFUNCTION("""COMPUTED_VALUE"""),417376.0)</f>
        <v>417376</v>
      </c>
    </row>
    <row r="1814">
      <c r="A1814" s="2">
        <f>IFERROR(__xludf.DUMMYFUNCTION("""COMPUTED_VALUE"""),41800.666666666664)</f>
        <v>41800.66667</v>
      </c>
      <c r="B1814" s="1">
        <f>IFERROR(__xludf.DUMMYFUNCTION("""COMPUTED_VALUE"""),2.27)</f>
        <v>2.27</v>
      </c>
      <c r="C1814" s="1">
        <f>IFERROR(__xludf.DUMMYFUNCTION("""COMPUTED_VALUE"""),2.28)</f>
        <v>2.28</v>
      </c>
      <c r="D1814" s="1">
        <f>IFERROR(__xludf.DUMMYFUNCTION("""COMPUTED_VALUE"""),2.23)</f>
        <v>2.23</v>
      </c>
      <c r="E1814" s="1">
        <f>IFERROR(__xludf.DUMMYFUNCTION("""COMPUTED_VALUE"""),2.28)</f>
        <v>2.28</v>
      </c>
      <c r="F1814" s="1">
        <f>IFERROR(__xludf.DUMMYFUNCTION("""COMPUTED_VALUE"""),271272.0)</f>
        <v>271272</v>
      </c>
    </row>
    <row r="1815">
      <c r="A1815" s="2">
        <f>IFERROR(__xludf.DUMMYFUNCTION("""COMPUTED_VALUE"""),41801.666666666664)</f>
        <v>41801.66667</v>
      </c>
      <c r="B1815" s="1">
        <f>IFERROR(__xludf.DUMMYFUNCTION("""COMPUTED_VALUE"""),2.26)</f>
        <v>2.26</v>
      </c>
      <c r="C1815" s="1">
        <f>IFERROR(__xludf.DUMMYFUNCTION("""COMPUTED_VALUE"""),2.28)</f>
        <v>2.28</v>
      </c>
      <c r="D1815" s="1">
        <f>IFERROR(__xludf.DUMMYFUNCTION("""COMPUTED_VALUE"""),2.24)</f>
        <v>2.24</v>
      </c>
      <c r="E1815" s="1">
        <f>IFERROR(__xludf.DUMMYFUNCTION("""COMPUTED_VALUE"""),2.27)</f>
        <v>2.27</v>
      </c>
      <c r="F1815" s="1">
        <f>IFERROR(__xludf.DUMMYFUNCTION("""COMPUTED_VALUE"""),208932.0)</f>
        <v>208932</v>
      </c>
    </row>
    <row r="1816">
      <c r="A1816" s="2">
        <f>IFERROR(__xludf.DUMMYFUNCTION("""COMPUTED_VALUE"""),41802.666666666664)</f>
        <v>41802.66667</v>
      </c>
      <c r="B1816" s="1">
        <f>IFERROR(__xludf.DUMMYFUNCTION("""COMPUTED_VALUE"""),2.26)</f>
        <v>2.26</v>
      </c>
      <c r="C1816" s="1">
        <f>IFERROR(__xludf.DUMMYFUNCTION("""COMPUTED_VALUE"""),2.27)</f>
        <v>2.27</v>
      </c>
      <c r="D1816" s="1">
        <f>IFERROR(__xludf.DUMMYFUNCTION("""COMPUTED_VALUE"""),2.23)</f>
        <v>2.23</v>
      </c>
      <c r="E1816" s="1">
        <f>IFERROR(__xludf.DUMMYFUNCTION("""COMPUTED_VALUE"""),2.24)</f>
        <v>2.24</v>
      </c>
      <c r="F1816" s="1">
        <f>IFERROR(__xludf.DUMMYFUNCTION("""COMPUTED_VALUE"""),157198.0)</f>
        <v>157198</v>
      </c>
    </row>
    <row r="1817">
      <c r="A1817" s="2">
        <f>IFERROR(__xludf.DUMMYFUNCTION("""COMPUTED_VALUE"""),41803.666666666664)</f>
        <v>41803.66667</v>
      </c>
      <c r="B1817" s="1">
        <f>IFERROR(__xludf.DUMMYFUNCTION("""COMPUTED_VALUE"""),2.24)</f>
        <v>2.24</v>
      </c>
      <c r="C1817" s="1">
        <f>IFERROR(__xludf.DUMMYFUNCTION("""COMPUTED_VALUE"""),2.31)</f>
        <v>2.31</v>
      </c>
      <c r="D1817" s="1">
        <f>IFERROR(__xludf.DUMMYFUNCTION("""COMPUTED_VALUE"""),2.24)</f>
        <v>2.24</v>
      </c>
      <c r="E1817" s="1">
        <f>IFERROR(__xludf.DUMMYFUNCTION("""COMPUTED_VALUE"""),2.31)</f>
        <v>2.31</v>
      </c>
      <c r="F1817" s="1">
        <f>IFERROR(__xludf.DUMMYFUNCTION("""COMPUTED_VALUE"""),283595.0)</f>
        <v>283595</v>
      </c>
    </row>
    <row r="1818">
      <c r="A1818" s="2">
        <f>IFERROR(__xludf.DUMMYFUNCTION("""COMPUTED_VALUE"""),41806.666666666664)</f>
        <v>41806.66667</v>
      </c>
      <c r="B1818" s="1">
        <f>IFERROR(__xludf.DUMMYFUNCTION("""COMPUTED_VALUE"""),2.31)</f>
        <v>2.31</v>
      </c>
      <c r="C1818" s="1">
        <f>IFERROR(__xludf.DUMMYFUNCTION("""COMPUTED_VALUE"""),2.57)</f>
        <v>2.57</v>
      </c>
      <c r="D1818" s="1">
        <f>IFERROR(__xludf.DUMMYFUNCTION("""COMPUTED_VALUE"""),2.31)</f>
        <v>2.31</v>
      </c>
      <c r="E1818" s="1">
        <f>IFERROR(__xludf.DUMMYFUNCTION("""COMPUTED_VALUE"""),2.56)</f>
        <v>2.56</v>
      </c>
      <c r="F1818" s="1">
        <f>IFERROR(__xludf.DUMMYFUNCTION("""COMPUTED_VALUE"""),1190149.0)</f>
        <v>1190149</v>
      </c>
    </row>
    <row r="1819">
      <c r="A1819" s="2">
        <f>IFERROR(__xludf.DUMMYFUNCTION("""COMPUTED_VALUE"""),41807.666666666664)</f>
        <v>41807.66667</v>
      </c>
      <c r="B1819" s="1">
        <f>IFERROR(__xludf.DUMMYFUNCTION("""COMPUTED_VALUE"""),2.58)</f>
        <v>2.58</v>
      </c>
      <c r="C1819" s="1">
        <f>IFERROR(__xludf.DUMMYFUNCTION("""COMPUTED_VALUE"""),2.58)</f>
        <v>2.58</v>
      </c>
      <c r="D1819" s="1">
        <f>IFERROR(__xludf.DUMMYFUNCTION("""COMPUTED_VALUE"""),2.43)</f>
        <v>2.43</v>
      </c>
      <c r="E1819" s="1">
        <f>IFERROR(__xludf.DUMMYFUNCTION("""COMPUTED_VALUE"""),2.49)</f>
        <v>2.49</v>
      </c>
      <c r="F1819" s="1">
        <f>IFERROR(__xludf.DUMMYFUNCTION("""COMPUTED_VALUE"""),651208.0)</f>
        <v>651208</v>
      </c>
    </row>
    <row r="1820">
      <c r="A1820" s="2">
        <f>IFERROR(__xludf.DUMMYFUNCTION("""COMPUTED_VALUE"""),41808.666666666664)</f>
        <v>41808.66667</v>
      </c>
      <c r="B1820" s="1">
        <f>IFERROR(__xludf.DUMMYFUNCTION("""COMPUTED_VALUE"""),2.49)</f>
        <v>2.49</v>
      </c>
      <c r="C1820" s="1">
        <f>IFERROR(__xludf.DUMMYFUNCTION("""COMPUTED_VALUE"""),2.63)</f>
        <v>2.63</v>
      </c>
      <c r="D1820" s="1">
        <f>IFERROR(__xludf.DUMMYFUNCTION("""COMPUTED_VALUE"""),2.49)</f>
        <v>2.49</v>
      </c>
      <c r="E1820" s="1">
        <f>IFERROR(__xludf.DUMMYFUNCTION("""COMPUTED_VALUE"""),2.6)</f>
        <v>2.6</v>
      </c>
      <c r="F1820" s="1">
        <f>IFERROR(__xludf.DUMMYFUNCTION("""COMPUTED_VALUE"""),607353.0)</f>
        <v>607353</v>
      </c>
    </row>
    <row r="1821">
      <c r="A1821" s="2">
        <f>IFERROR(__xludf.DUMMYFUNCTION("""COMPUTED_VALUE"""),41809.666666666664)</f>
        <v>41809.66667</v>
      </c>
      <c r="B1821" s="1">
        <f>IFERROR(__xludf.DUMMYFUNCTION("""COMPUTED_VALUE"""),2.65)</f>
        <v>2.65</v>
      </c>
      <c r="C1821" s="1">
        <f>IFERROR(__xludf.DUMMYFUNCTION("""COMPUTED_VALUE"""),2.68)</f>
        <v>2.68</v>
      </c>
      <c r="D1821" s="1">
        <f>IFERROR(__xludf.DUMMYFUNCTION("""COMPUTED_VALUE"""),2.54)</f>
        <v>2.54</v>
      </c>
      <c r="E1821" s="1">
        <f>IFERROR(__xludf.DUMMYFUNCTION("""COMPUTED_VALUE"""),2.59)</f>
        <v>2.59</v>
      </c>
      <c r="F1821" s="1">
        <f>IFERROR(__xludf.DUMMYFUNCTION("""COMPUTED_VALUE"""),722866.0)</f>
        <v>722866</v>
      </c>
    </row>
    <row r="1822">
      <c r="A1822" s="2">
        <f>IFERROR(__xludf.DUMMYFUNCTION("""COMPUTED_VALUE"""),41810.666666666664)</f>
        <v>41810.66667</v>
      </c>
      <c r="B1822" s="1">
        <f>IFERROR(__xludf.DUMMYFUNCTION("""COMPUTED_VALUE"""),2.61)</f>
        <v>2.61</v>
      </c>
      <c r="C1822" s="1">
        <f>IFERROR(__xludf.DUMMYFUNCTION("""COMPUTED_VALUE"""),2.63)</f>
        <v>2.63</v>
      </c>
      <c r="D1822" s="1">
        <f>IFERROR(__xludf.DUMMYFUNCTION("""COMPUTED_VALUE"""),2.55)</f>
        <v>2.55</v>
      </c>
      <c r="E1822" s="1">
        <f>IFERROR(__xludf.DUMMYFUNCTION("""COMPUTED_VALUE"""),2.6)</f>
        <v>2.6</v>
      </c>
      <c r="F1822" s="1">
        <f>IFERROR(__xludf.DUMMYFUNCTION("""COMPUTED_VALUE"""),595555.0)</f>
        <v>595555</v>
      </c>
    </row>
    <row r="1823">
      <c r="A1823" s="2">
        <f>IFERROR(__xludf.DUMMYFUNCTION("""COMPUTED_VALUE"""),41813.666666666664)</f>
        <v>41813.66667</v>
      </c>
      <c r="B1823" s="1">
        <f>IFERROR(__xludf.DUMMYFUNCTION("""COMPUTED_VALUE"""),2.62)</f>
        <v>2.62</v>
      </c>
      <c r="C1823" s="1">
        <f>IFERROR(__xludf.DUMMYFUNCTION("""COMPUTED_VALUE"""),2.62)</f>
        <v>2.62</v>
      </c>
      <c r="D1823" s="1">
        <f>IFERROR(__xludf.DUMMYFUNCTION("""COMPUTED_VALUE"""),2.56)</f>
        <v>2.56</v>
      </c>
      <c r="E1823" s="1">
        <f>IFERROR(__xludf.DUMMYFUNCTION("""COMPUTED_VALUE"""),2.57)</f>
        <v>2.57</v>
      </c>
      <c r="F1823" s="1">
        <f>IFERROR(__xludf.DUMMYFUNCTION("""COMPUTED_VALUE"""),373077.0)</f>
        <v>373077</v>
      </c>
    </row>
    <row r="1824">
      <c r="A1824" s="2">
        <f>IFERROR(__xludf.DUMMYFUNCTION("""COMPUTED_VALUE"""),41814.666666666664)</f>
        <v>41814.66667</v>
      </c>
      <c r="B1824" s="1">
        <f>IFERROR(__xludf.DUMMYFUNCTION("""COMPUTED_VALUE"""),2.55)</f>
        <v>2.55</v>
      </c>
      <c r="C1824" s="1">
        <f>IFERROR(__xludf.DUMMYFUNCTION("""COMPUTED_VALUE"""),2.6)</f>
        <v>2.6</v>
      </c>
      <c r="D1824" s="1">
        <f>IFERROR(__xludf.DUMMYFUNCTION("""COMPUTED_VALUE"""),2.53)</f>
        <v>2.53</v>
      </c>
      <c r="E1824" s="1">
        <f>IFERROR(__xludf.DUMMYFUNCTION("""COMPUTED_VALUE"""),2.53)</f>
        <v>2.53</v>
      </c>
      <c r="F1824" s="1">
        <f>IFERROR(__xludf.DUMMYFUNCTION("""COMPUTED_VALUE"""),243530.0)</f>
        <v>243530</v>
      </c>
    </row>
    <row r="1825">
      <c r="A1825" s="2">
        <f>IFERROR(__xludf.DUMMYFUNCTION("""COMPUTED_VALUE"""),41815.666666666664)</f>
        <v>41815.66667</v>
      </c>
      <c r="B1825" s="1">
        <f>IFERROR(__xludf.DUMMYFUNCTION("""COMPUTED_VALUE"""),2.52)</f>
        <v>2.52</v>
      </c>
      <c r="C1825" s="1">
        <f>IFERROR(__xludf.DUMMYFUNCTION("""COMPUTED_VALUE"""),2.55)</f>
        <v>2.55</v>
      </c>
      <c r="D1825" s="1">
        <f>IFERROR(__xludf.DUMMYFUNCTION("""COMPUTED_VALUE"""),2.46)</f>
        <v>2.46</v>
      </c>
      <c r="E1825" s="1">
        <f>IFERROR(__xludf.DUMMYFUNCTION("""COMPUTED_VALUE"""),2.53)</f>
        <v>2.53</v>
      </c>
      <c r="F1825" s="1">
        <f>IFERROR(__xludf.DUMMYFUNCTION("""COMPUTED_VALUE"""),491864.0)</f>
        <v>491864</v>
      </c>
    </row>
    <row r="1826">
      <c r="A1826" s="2">
        <f>IFERROR(__xludf.DUMMYFUNCTION("""COMPUTED_VALUE"""),41816.666666666664)</f>
        <v>41816.66667</v>
      </c>
      <c r="B1826" s="1">
        <f>IFERROR(__xludf.DUMMYFUNCTION("""COMPUTED_VALUE"""),2.6)</f>
        <v>2.6</v>
      </c>
      <c r="C1826" s="1">
        <f>IFERROR(__xludf.DUMMYFUNCTION("""COMPUTED_VALUE"""),2.6)</f>
        <v>2.6</v>
      </c>
      <c r="D1826" s="1">
        <f>IFERROR(__xludf.DUMMYFUNCTION("""COMPUTED_VALUE"""),2.52)</f>
        <v>2.52</v>
      </c>
      <c r="E1826" s="1">
        <f>IFERROR(__xludf.DUMMYFUNCTION("""COMPUTED_VALUE"""),2.55)</f>
        <v>2.55</v>
      </c>
      <c r="F1826" s="1">
        <f>IFERROR(__xludf.DUMMYFUNCTION("""COMPUTED_VALUE"""),342669.0)</f>
        <v>342669</v>
      </c>
    </row>
    <row r="1827">
      <c r="A1827" s="2">
        <f>IFERROR(__xludf.DUMMYFUNCTION("""COMPUTED_VALUE"""),41817.666666666664)</f>
        <v>41817.66667</v>
      </c>
      <c r="B1827" s="1">
        <f>IFERROR(__xludf.DUMMYFUNCTION("""COMPUTED_VALUE"""),2.52)</f>
        <v>2.52</v>
      </c>
      <c r="C1827" s="1">
        <f>IFERROR(__xludf.DUMMYFUNCTION("""COMPUTED_VALUE"""),2.54)</f>
        <v>2.54</v>
      </c>
      <c r="D1827" s="1">
        <f>IFERROR(__xludf.DUMMYFUNCTION("""COMPUTED_VALUE"""),2.47)</f>
        <v>2.47</v>
      </c>
      <c r="E1827" s="1">
        <f>IFERROR(__xludf.DUMMYFUNCTION("""COMPUTED_VALUE"""),2.47)</f>
        <v>2.47</v>
      </c>
      <c r="F1827" s="1">
        <f>IFERROR(__xludf.DUMMYFUNCTION("""COMPUTED_VALUE"""),1532917.0)</f>
        <v>1532917</v>
      </c>
    </row>
    <row r="1828">
      <c r="A1828" s="2">
        <f>IFERROR(__xludf.DUMMYFUNCTION("""COMPUTED_VALUE"""),41820.666666666664)</f>
        <v>41820.66667</v>
      </c>
      <c r="B1828" s="1">
        <f>IFERROR(__xludf.DUMMYFUNCTION("""COMPUTED_VALUE"""),2.47)</f>
        <v>2.47</v>
      </c>
      <c r="C1828" s="1">
        <f>IFERROR(__xludf.DUMMYFUNCTION("""COMPUTED_VALUE"""),2.54)</f>
        <v>2.54</v>
      </c>
      <c r="D1828" s="1">
        <f>IFERROR(__xludf.DUMMYFUNCTION("""COMPUTED_VALUE"""),2.46)</f>
        <v>2.46</v>
      </c>
      <c r="E1828" s="1">
        <f>IFERROR(__xludf.DUMMYFUNCTION("""COMPUTED_VALUE"""),2.53)</f>
        <v>2.53</v>
      </c>
      <c r="F1828" s="1">
        <f>IFERROR(__xludf.DUMMYFUNCTION("""COMPUTED_VALUE"""),648222.0)</f>
        <v>648222</v>
      </c>
    </row>
    <row r="1829">
      <c r="A1829" s="2">
        <f>IFERROR(__xludf.DUMMYFUNCTION("""COMPUTED_VALUE"""),41821.666666666664)</f>
        <v>41821.66667</v>
      </c>
      <c r="B1829" s="1">
        <f>IFERROR(__xludf.DUMMYFUNCTION("""COMPUTED_VALUE"""),2.53)</f>
        <v>2.53</v>
      </c>
      <c r="C1829" s="1">
        <f>IFERROR(__xludf.DUMMYFUNCTION("""COMPUTED_VALUE"""),2.57)</f>
        <v>2.57</v>
      </c>
      <c r="D1829" s="1">
        <f>IFERROR(__xludf.DUMMYFUNCTION("""COMPUTED_VALUE"""),2.53)</f>
        <v>2.53</v>
      </c>
      <c r="E1829" s="1">
        <f>IFERROR(__xludf.DUMMYFUNCTION("""COMPUTED_VALUE"""),2.54)</f>
        <v>2.54</v>
      </c>
      <c r="F1829" s="1">
        <f>IFERROR(__xludf.DUMMYFUNCTION("""COMPUTED_VALUE"""),500711.0)</f>
        <v>500711</v>
      </c>
    </row>
    <row r="1830">
      <c r="A1830" s="2">
        <f>IFERROR(__xludf.DUMMYFUNCTION("""COMPUTED_VALUE"""),41822.666666666664)</f>
        <v>41822.66667</v>
      </c>
      <c r="B1830" s="1">
        <f>IFERROR(__xludf.DUMMYFUNCTION("""COMPUTED_VALUE"""),2.55)</f>
        <v>2.55</v>
      </c>
      <c r="C1830" s="1">
        <f>IFERROR(__xludf.DUMMYFUNCTION("""COMPUTED_VALUE"""),2.57)</f>
        <v>2.57</v>
      </c>
      <c r="D1830" s="1">
        <f>IFERROR(__xludf.DUMMYFUNCTION("""COMPUTED_VALUE"""),2.54)</f>
        <v>2.54</v>
      </c>
      <c r="E1830" s="1">
        <f>IFERROR(__xludf.DUMMYFUNCTION("""COMPUTED_VALUE"""),2.56)</f>
        <v>2.56</v>
      </c>
      <c r="F1830" s="1">
        <f>IFERROR(__xludf.DUMMYFUNCTION("""COMPUTED_VALUE"""),428821.0)</f>
        <v>428821</v>
      </c>
    </row>
    <row r="1831">
      <c r="A1831" s="2">
        <f>IFERROR(__xludf.DUMMYFUNCTION("""COMPUTED_VALUE"""),41823.666666666664)</f>
        <v>41823.66667</v>
      </c>
      <c r="B1831" s="1">
        <f>IFERROR(__xludf.DUMMYFUNCTION("""COMPUTED_VALUE"""),2.56)</f>
        <v>2.56</v>
      </c>
      <c r="C1831" s="1">
        <f>IFERROR(__xludf.DUMMYFUNCTION("""COMPUTED_VALUE"""),2.6)</f>
        <v>2.6</v>
      </c>
      <c r="D1831" s="1">
        <f>IFERROR(__xludf.DUMMYFUNCTION("""COMPUTED_VALUE"""),2.55)</f>
        <v>2.55</v>
      </c>
      <c r="E1831" s="1">
        <f>IFERROR(__xludf.DUMMYFUNCTION("""COMPUTED_VALUE"""),2.6)</f>
        <v>2.6</v>
      </c>
      <c r="F1831" s="1">
        <f>IFERROR(__xludf.DUMMYFUNCTION("""COMPUTED_VALUE"""),246299.0)</f>
        <v>246299</v>
      </c>
    </row>
    <row r="1832">
      <c r="A1832" s="2">
        <f>IFERROR(__xludf.DUMMYFUNCTION("""COMPUTED_VALUE"""),41827.666666666664)</f>
        <v>41827.66667</v>
      </c>
      <c r="B1832" s="1">
        <f>IFERROR(__xludf.DUMMYFUNCTION("""COMPUTED_VALUE"""),2.59)</f>
        <v>2.59</v>
      </c>
      <c r="C1832" s="1">
        <f>IFERROR(__xludf.DUMMYFUNCTION("""COMPUTED_VALUE"""),2.6)</f>
        <v>2.6</v>
      </c>
      <c r="D1832" s="1">
        <f>IFERROR(__xludf.DUMMYFUNCTION("""COMPUTED_VALUE"""),2.54)</f>
        <v>2.54</v>
      </c>
      <c r="E1832" s="1">
        <f>IFERROR(__xludf.DUMMYFUNCTION("""COMPUTED_VALUE"""),2.55)</f>
        <v>2.55</v>
      </c>
      <c r="F1832" s="1">
        <f>IFERROR(__xludf.DUMMYFUNCTION("""COMPUTED_VALUE"""),334565.0)</f>
        <v>334565</v>
      </c>
    </row>
    <row r="1833">
      <c r="A1833" s="2">
        <f>IFERROR(__xludf.DUMMYFUNCTION("""COMPUTED_VALUE"""),41828.666666666664)</f>
        <v>41828.66667</v>
      </c>
      <c r="B1833" s="1">
        <f>IFERROR(__xludf.DUMMYFUNCTION("""COMPUTED_VALUE"""),2.54)</f>
        <v>2.54</v>
      </c>
      <c r="C1833" s="1">
        <f>IFERROR(__xludf.DUMMYFUNCTION("""COMPUTED_VALUE"""),2.54)</f>
        <v>2.54</v>
      </c>
      <c r="D1833" s="1">
        <f>IFERROR(__xludf.DUMMYFUNCTION("""COMPUTED_VALUE"""),2.38)</f>
        <v>2.38</v>
      </c>
      <c r="E1833" s="1">
        <f>IFERROR(__xludf.DUMMYFUNCTION("""COMPUTED_VALUE"""),2.42)</f>
        <v>2.42</v>
      </c>
      <c r="F1833" s="1">
        <f>IFERROR(__xludf.DUMMYFUNCTION("""COMPUTED_VALUE"""),689479.0)</f>
        <v>689479</v>
      </c>
    </row>
    <row r="1834">
      <c r="A1834" s="2">
        <f>IFERROR(__xludf.DUMMYFUNCTION("""COMPUTED_VALUE"""),41829.666666666664)</f>
        <v>41829.66667</v>
      </c>
      <c r="B1834" s="1">
        <f>IFERROR(__xludf.DUMMYFUNCTION("""COMPUTED_VALUE"""),2.43)</f>
        <v>2.43</v>
      </c>
      <c r="C1834" s="1">
        <f>IFERROR(__xludf.DUMMYFUNCTION("""COMPUTED_VALUE"""),2.52)</f>
        <v>2.52</v>
      </c>
      <c r="D1834" s="1">
        <f>IFERROR(__xludf.DUMMYFUNCTION("""COMPUTED_VALUE"""),2.41)</f>
        <v>2.41</v>
      </c>
      <c r="E1834" s="1">
        <f>IFERROR(__xludf.DUMMYFUNCTION("""COMPUTED_VALUE"""),2.49)</f>
        <v>2.49</v>
      </c>
      <c r="F1834" s="1">
        <f>IFERROR(__xludf.DUMMYFUNCTION("""COMPUTED_VALUE"""),407860.0)</f>
        <v>407860</v>
      </c>
    </row>
    <row r="1835">
      <c r="A1835" s="2">
        <f>IFERROR(__xludf.DUMMYFUNCTION("""COMPUTED_VALUE"""),41830.666666666664)</f>
        <v>41830.66667</v>
      </c>
      <c r="B1835" s="1">
        <f>IFERROR(__xludf.DUMMYFUNCTION("""COMPUTED_VALUE"""),2.44)</f>
        <v>2.44</v>
      </c>
      <c r="C1835" s="1">
        <f>IFERROR(__xludf.DUMMYFUNCTION("""COMPUTED_VALUE"""),2.49)</f>
        <v>2.49</v>
      </c>
      <c r="D1835" s="1">
        <f>IFERROR(__xludf.DUMMYFUNCTION("""COMPUTED_VALUE"""),2.36)</f>
        <v>2.36</v>
      </c>
      <c r="E1835" s="1">
        <f>IFERROR(__xludf.DUMMYFUNCTION("""COMPUTED_VALUE"""),2.46)</f>
        <v>2.46</v>
      </c>
      <c r="F1835" s="1">
        <f>IFERROR(__xludf.DUMMYFUNCTION("""COMPUTED_VALUE"""),446854.0)</f>
        <v>446854</v>
      </c>
    </row>
    <row r="1836">
      <c r="A1836" s="2">
        <f>IFERROR(__xludf.DUMMYFUNCTION("""COMPUTED_VALUE"""),41831.666666666664)</f>
        <v>41831.66667</v>
      </c>
      <c r="B1836" s="1">
        <f>IFERROR(__xludf.DUMMYFUNCTION("""COMPUTED_VALUE"""),2.45)</f>
        <v>2.45</v>
      </c>
      <c r="C1836" s="1">
        <f>IFERROR(__xludf.DUMMYFUNCTION("""COMPUTED_VALUE"""),2.53)</f>
        <v>2.53</v>
      </c>
      <c r="D1836" s="1">
        <f>IFERROR(__xludf.DUMMYFUNCTION("""COMPUTED_VALUE"""),2.42)</f>
        <v>2.42</v>
      </c>
      <c r="E1836" s="1">
        <f>IFERROR(__xludf.DUMMYFUNCTION("""COMPUTED_VALUE"""),2.51)</f>
        <v>2.51</v>
      </c>
      <c r="F1836" s="1">
        <f>IFERROR(__xludf.DUMMYFUNCTION("""COMPUTED_VALUE"""),326618.0)</f>
        <v>326618</v>
      </c>
    </row>
    <row r="1837">
      <c r="A1837" s="2">
        <f>IFERROR(__xludf.DUMMYFUNCTION("""COMPUTED_VALUE"""),41834.666666666664)</f>
        <v>41834.66667</v>
      </c>
      <c r="B1837" s="1">
        <f>IFERROR(__xludf.DUMMYFUNCTION("""COMPUTED_VALUE"""),2.53)</f>
        <v>2.53</v>
      </c>
      <c r="C1837" s="1">
        <f>IFERROR(__xludf.DUMMYFUNCTION("""COMPUTED_VALUE"""),2.53)</f>
        <v>2.53</v>
      </c>
      <c r="D1837" s="1">
        <f>IFERROR(__xludf.DUMMYFUNCTION("""COMPUTED_VALUE"""),2.47)</f>
        <v>2.47</v>
      </c>
      <c r="E1837" s="1">
        <f>IFERROR(__xludf.DUMMYFUNCTION("""COMPUTED_VALUE"""),2.49)</f>
        <v>2.49</v>
      </c>
      <c r="F1837" s="1">
        <f>IFERROR(__xludf.DUMMYFUNCTION("""COMPUTED_VALUE"""),327484.0)</f>
        <v>327484</v>
      </c>
    </row>
    <row r="1838">
      <c r="A1838" s="2">
        <f>IFERROR(__xludf.DUMMYFUNCTION("""COMPUTED_VALUE"""),41835.666666666664)</f>
        <v>41835.66667</v>
      </c>
      <c r="B1838" s="1">
        <f>IFERROR(__xludf.DUMMYFUNCTION("""COMPUTED_VALUE"""),2.49)</f>
        <v>2.49</v>
      </c>
      <c r="C1838" s="1">
        <f>IFERROR(__xludf.DUMMYFUNCTION("""COMPUTED_VALUE"""),2.49)</f>
        <v>2.49</v>
      </c>
      <c r="D1838" s="1">
        <f>IFERROR(__xludf.DUMMYFUNCTION("""COMPUTED_VALUE"""),2.42)</f>
        <v>2.42</v>
      </c>
      <c r="E1838" s="1">
        <f>IFERROR(__xludf.DUMMYFUNCTION("""COMPUTED_VALUE"""),2.44)</f>
        <v>2.44</v>
      </c>
      <c r="F1838" s="1">
        <f>IFERROR(__xludf.DUMMYFUNCTION("""COMPUTED_VALUE"""),285077.0)</f>
        <v>285077</v>
      </c>
    </row>
    <row r="1839">
      <c r="A1839" s="2">
        <f>IFERROR(__xludf.DUMMYFUNCTION("""COMPUTED_VALUE"""),41836.666666666664)</f>
        <v>41836.66667</v>
      </c>
      <c r="B1839" s="1">
        <f>IFERROR(__xludf.DUMMYFUNCTION("""COMPUTED_VALUE"""),2.47)</f>
        <v>2.47</v>
      </c>
      <c r="C1839" s="1">
        <f>IFERROR(__xludf.DUMMYFUNCTION("""COMPUTED_VALUE"""),2.5)</f>
        <v>2.5</v>
      </c>
      <c r="D1839" s="1">
        <f>IFERROR(__xludf.DUMMYFUNCTION("""COMPUTED_VALUE"""),2.44)</f>
        <v>2.44</v>
      </c>
      <c r="E1839" s="1">
        <f>IFERROR(__xludf.DUMMYFUNCTION("""COMPUTED_VALUE"""),2.44)</f>
        <v>2.44</v>
      </c>
      <c r="F1839" s="1">
        <f>IFERROR(__xludf.DUMMYFUNCTION("""COMPUTED_VALUE"""),207068.0)</f>
        <v>207068</v>
      </c>
    </row>
    <row r="1840">
      <c r="A1840" s="2">
        <f>IFERROR(__xludf.DUMMYFUNCTION("""COMPUTED_VALUE"""),41837.666666666664)</f>
        <v>41837.66667</v>
      </c>
      <c r="B1840" s="1">
        <f>IFERROR(__xludf.DUMMYFUNCTION("""COMPUTED_VALUE"""),2.43)</f>
        <v>2.43</v>
      </c>
      <c r="C1840" s="1">
        <f>IFERROR(__xludf.DUMMYFUNCTION("""COMPUTED_VALUE"""),2.47)</f>
        <v>2.47</v>
      </c>
      <c r="D1840" s="1">
        <f>IFERROR(__xludf.DUMMYFUNCTION("""COMPUTED_VALUE"""),2.41)</f>
        <v>2.41</v>
      </c>
      <c r="E1840" s="1">
        <f>IFERROR(__xludf.DUMMYFUNCTION("""COMPUTED_VALUE"""),2.42)</f>
        <v>2.42</v>
      </c>
      <c r="F1840" s="1">
        <f>IFERROR(__xludf.DUMMYFUNCTION("""COMPUTED_VALUE"""),252146.0)</f>
        <v>252146</v>
      </c>
    </row>
    <row r="1841">
      <c r="A1841" s="2">
        <f>IFERROR(__xludf.DUMMYFUNCTION("""COMPUTED_VALUE"""),41838.666666666664)</f>
        <v>41838.66667</v>
      </c>
      <c r="B1841" s="1">
        <f>IFERROR(__xludf.DUMMYFUNCTION("""COMPUTED_VALUE"""),2.41)</f>
        <v>2.41</v>
      </c>
      <c r="C1841" s="1">
        <f>IFERROR(__xludf.DUMMYFUNCTION("""COMPUTED_VALUE"""),2.55)</f>
        <v>2.55</v>
      </c>
      <c r="D1841" s="1">
        <f>IFERROR(__xludf.DUMMYFUNCTION("""COMPUTED_VALUE"""),2.41)</f>
        <v>2.41</v>
      </c>
      <c r="E1841" s="1">
        <f>IFERROR(__xludf.DUMMYFUNCTION("""COMPUTED_VALUE"""),2.54)</f>
        <v>2.54</v>
      </c>
      <c r="F1841" s="1">
        <f>IFERROR(__xludf.DUMMYFUNCTION("""COMPUTED_VALUE"""),300099.0)</f>
        <v>300099</v>
      </c>
    </row>
    <row r="1842">
      <c r="A1842" s="2">
        <f>IFERROR(__xludf.DUMMYFUNCTION("""COMPUTED_VALUE"""),41841.666666666664)</f>
        <v>41841.66667</v>
      </c>
      <c r="B1842" s="1">
        <f>IFERROR(__xludf.DUMMYFUNCTION("""COMPUTED_VALUE"""),2.53)</f>
        <v>2.53</v>
      </c>
      <c r="C1842" s="1">
        <f>IFERROR(__xludf.DUMMYFUNCTION("""COMPUTED_VALUE"""),2.64)</f>
        <v>2.64</v>
      </c>
      <c r="D1842" s="1">
        <f>IFERROR(__xludf.DUMMYFUNCTION("""COMPUTED_VALUE"""),2.51)</f>
        <v>2.51</v>
      </c>
      <c r="E1842" s="1">
        <f>IFERROR(__xludf.DUMMYFUNCTION("""COMPUTED_VALUE"""),2.62)</f>
        <v>2.62</v>
      </c>
      <c r="F1842" s="1">
        <f>IFERROR(__xludf.DUMMYFUNCTION("""COMPUTED_VALUE"""),483345.0)</f>
        <v>483345</v>
      </c>
    </row>
    <row r="1843">
      <c r="A1843" s="2">
        <f>IFERROR(__xludf.DUMMYFUNCTION("""COMPUTED_VALUE"""),41842.666666666664)</f>
        <v>41842.66667</v>
      </c>
      <c r="B1843" s="1">
        <f>IFERROR(__xludf.DUMMYFUNCTION("""COMPUTED_VALUE"""),2.64)</f>
        <v>2.64</v>
      </c>
      <c r="C1843" s="1">
        <f>IFERROR(__xludf.DUMMYFUNCTION("""COMPUTED_VALUE"""),2.73)</f>
        <v>2.73</v>
      </c>
      <c r="D1843" s="1">
        <f>IFERROR(__xludf.DUMMYFUNCTION("""COMPUTED_VALUE"""),2.62)</f>
        <v>2.62</v>
      </c>
      <c r="E1843" s="1">
        <f>IFERROR(__xludf.DUMMYFUNCTION("""COMPUTED_VALUE"""),2.66)</f>
        <v>2.66</v>
      </c>
      <c r="F1843" s="1">
        <f>IFERROR(__xludf.DUMMYFUNCTION("""COMPUTED_VALUE"""),633409.0)</f>
        <v>633409</v>
      </c>
    </row>
    <row r="1844">
      <c r="A1844" s="2">
        <f>IFERROR(__xludf.DUMMYFUNCTION("""COMPUTED_VALUE"""),41843.666666666664)</f>
        <v>41843.66667</v>
      </c>
      <c r="B1844" s="1">
        <f>IFERROR(__xludf.DUMMYFUNCTION("""COMPUTED_VALUE"""),2.66)</f>
        <v>2.66</v>
      </c>
      <c r="C1844" s="1">
        <f>IFERROR(__xludf.DUMMYFUNCTION("""COMPUTED_VALUE"""),2.66)</f>
        <v>2.66</v>
      </c>
      <c r="D1844" s="1">
        <f>IFERROR(__xludf.DUMMYFUNCTION("""COMPUTED_VALUE"""),2.56)</f>
        <v>2.56</v>
      </c>
      <c r="E1844" s="1">
        <f>IFERROR(__xludf.DUMMYFUNCTION("""COMPUTED_VALUE"""),2.58)</f>
        <v>2.58</v>
      </c>
      <c r="F1844" s="1">
        <f>IFERROR(__xludf.DUMMYFUNCTION("""COMPUTED_VALUE"""),335829.0)</f>
        <v>335829</v>
      </c>
    </row>
    <row r="1845">
      <c r="A1845" s="2">
        <f>IFERROR(__xludf.DUMMYFUNCTION("""COMPUTED_VALUE"""),41844.666666666664)</f>
        <v>41844.66667</v>
      </c>
      <c r="B1845" s="1">
        <f>IFERROR(__xludf.DUMMYFUNCTION("""COMPUTED_VALUE"""),2.57)</f>
        <v>2.57</v>
      </c>
      <c r="C1845" s="1">
        <f>IFERROR(__xludf.DUMMYFUNCTION("""COMPUTED_VALUE"""),2.63)</f>
        <v>2.63</v>
      </c>
      <c r="D1845" s="1">
        <f>IFERROR(__xludf.DUMMYFUNCTION("""COMPUTED_VALUE"""),2.53)</f>
        <v>2.53</v>
      </c>
      <c r="E1845" s="1">
        <f>IFERROR(__xludf.DUMMYFUNCTION("""COMPUTED_VALUE"""),2.57)</f>
        <v>2.57</v>
      </c>
      <c r="F1845" s="1">
        <f>IFERROR(__xludf.DUMMYFUNCTION("""COMPUTED_VALUE"""),279673.0)</f>
        <v>279673</v>
      </c>
    </row>
    <row r="1846">
      <c r="A1846" s="2">
        <f>IFERROR(__xludf.DUMMYFUNCTION("""COMPUTED_VALUE"""),41845.666666666664)</f>
        <v>41845.66667</v>
      </c>
      <c r="B1846" s="1">
        <f>IFERROR(__xludf.DUMMYFUNCTION("""COMPUTED_VALUE"""),2.54)</f>
        <v>2.54</v>
      </c>
      <c r="C1846" s="1">
        <f>IFERROR(__xludf.DUMMYFUNCTION("""COMPUTED_VALUE"""),2.55)</f>
        <v>2.55</v>
      </c>
      <c r="D1846" s="1">
        <f>IFERROR(__xludf.DUMMYFUNCTION("""COMPUTED_VALUE"""),2.47)</f>
        <v>2.47</v>
      </c>
      <c r="E1846" s="1">
        <f>IFERROR(__xludf.DUMMYFUNCTION("""COMPUTED_VALUE"""),2.52)</f>
        <v>2.52</v>
      </c>
      <c r="F1846" s="1">
        <f>IFERROR(__xludf.DUMMYFUNCTION("""COMPUTED_VALUE"""),255773.0)</f>
        <v>255773</v>
      </c>
    </row>
    <row r="1847">
      <c r="A1847" s="2">
        <f>IFERROR(__xludf.DUMMYFUNCTION("""COMPUTED_VALUE"""),41848.666666666664)</f>
        <v>41848.66667</v>
      </c>
      <c r="B1847" s="1">
        <f>IFERROR(__xludf.DUMMYFUNCTION("""COMPUTED_VALUE"""),2.51)</f>
        <v>2.51</v>
      </c>
      <c r="C1847" s="1">
        <f>IFERROR(__xludf.DUMMYFUNCTION("""COMPUTED_VALUE"""),2.53)</f>
        <v>2.53</v>
      </c>
      <c r="D1847" s="1">
        <f>IFERROR(__xludf.DUMMYFUNCTION("""COMPUTED_VALUE"""),2.46)</f>
        <v>2.46</v>
      </c>
      <c r="E1847" s="1">
        <f>IFERROR(__xludf.DUMMYFUNCTION("""COMPUTED_VALUE"""),2.5)</f>
        <v>2.5</v>
      </c>
      <c r="F1847" s="1">
        <f>IFERROR(__xludf.DUMMYFUNCTION("""COMPUTED_VALUE"""),191568.0)</f>
        <v>191568</v>
      </c>
    </row>
    <row r="1848">
      <c r="A1848" s="2">
        <f>IFERROR(__xludf.DUMMYFUNCTION("""COMPUTED_VALUE"""),41849.666666666664)</f>
        <v>41849.66667</v>
      </c>
      <c r="B1848" s="1">
        <f>IFERROR(__xludf.DUMMYFUNCTION("""COMPUTED_VALUE"""),2.52)</f>
        <v>2.52</v>
      </c>
      <c r="C1848" s="1">
        <f>IFERROR(__xludf.DUMMYFUNCTION("""COMPUTED_VALUE"""),2.66)</f>
        <v>2.66</v>
      </c>
      <c r="D1848" s="1">
        <f>IFERROR(__xludf.DUMMYFUNCTION("""COMPUTED_VALUE"""),2.52)</f>
        <v>2.52</v>
      </c>
      <c r="E1848" s="1">
        <f>IFERROR(__xludf.DUMMYFUNCTION("""COMPUTED_VALUE"""),2.64)</f>
        <v>2.64</v>
      </c>
      <c r="F1848" s="1">
        <f>IFERROR(__xludf.DUMMYFUNCTION("""COMPUTED_VALUE"""),405297.0)</f>
        <v>405297</v>
      </c>
    </row>
    <row r="1849">
      <c r="A1849" s="2">
        <f>IFERROR(__xludf.DUMMYFUNCTION("""COMPUTED_VALUE"""),41850.666666666664)</f>
        <v>41850.66667</v>
      </c>
      <c r="B1849" s="1">
        <f>IFERROR(__xludf.DUMMYFUNCTION("""COMPUTED_VALUE"""),2.65)</f>
        <v>2.65</v>
      </c>
      <c r="C1849" s="1">
        <f>IFERROR(__xludf.DUMMYFUNCTION("""COMPUTED_VALUE"""),2.68)</f>
        <v>2.68</v>
      </c>
      <c r="D1849" s="1">
        <f>IFERROR(__xludf.DUMMYFUNCTION("""COMPUTED_VALUE"""),2.61)</f>
        <v>2.61</v>
      </c>
      <c r="E1849" s="1">
        <f>IFERROR(__xludf.DUMMYFUNCTION("""COMPUTED_VALUE"""),2.66)</f>
        <v>2.66</v>
      </c>
      <c r="F1849" s="1">
        <f>IFERROR(__xludf.DUMMYFUNCTION("""COMPUTED_VALUE"""),283143.0)</f>
        <v>283143</v>
      </c>
    </row>
    <row r="1850">
      <c r="A1850" s="2">
        <f>IFERROR(__xludf.DUMMYFUNCTION("""COMPUTED_VALUE"""),41851.666666666664)</f>
        <v>41851.66667</v>
      </c>
      <c r="B1850" s="1">
        <f>IFERROR(__xludf.DUMMYFUNCTION("""COMPUTED_VALUE"""),2.62)</f>
        <v>2.62</v>
      </c>
      <c r="C1850" s="1">
        <f>IFERROR(__xludf.DUMMYFUNCTION("""COMPUTED_VALUE"""),2.66)</f>
        <v>2.66</v>
      </c>
      <c r="D1850" s="1">
        <f>IFERROR(__xludf.DUMMYFUNCTION("""COMPUTED_VALUE"""),2.58)</f>
        <v>2.58</v>
      </c>
      <c r="E1850" s="1">
        <f>IFERROR(__xludf.DUMMYFUNCTION("""COMPUTED_VALUE"""),2.62)</f>
        <v>2.62</v>
      </c>
      <c r="F1850" s="1">
        <f>IFERROR(__xludf.DUMMYFUNCTION("""COMPUTED_VALUE"""),591691.0)</f>
        <v>591691</v>
      </c>
    </row>
    <row r="1851">
      <c r="A1851" s="2">
        <f>IFERROR(__xludf.DUMMYFUNCTION("""COMPUTED_VALUE"""),41852.666666666664)</f>
        <v>41852.66667</v>
      </c>
      <c r="B1851" s="1">
        <f>IFERROR(__xludf.DUMMYFUNCTION("""COMPUTED_VALUE"""),2.63)</f>
        <v>2.63</v>
      </c>
      <c r="C1851" s="1">
        <f>IFERROR(__xludf.DUMMYFUNCTION("""COMPUTED_VALUE"""),2.63)</f>
        <v>2.63</v>
      </c>
      <c r="D1851" s="1">
        <f>IFERROR(__xludf.DUMMYFUNCTION("""COMPUTED_VALUE"""),2.51)</f>
        <v>2.51</v>
      </c>
      <c r="E1851" s="1">
        <f>IFERROR(__xludf.DUMMYFUNCTION("""COMPUTED_VALUE"""),2.56)</f>
        <v>2.56</v>
      </c>
      <c r="F1851" s="1">
        <f>IFERROR(__xludf.DUMMYFUNCTION("""COMPUTED_VALUE"""),357369.0)</f>
        <v>357369</v>
      </c>
    </row>
    <row r="1852">
      <c r="A1852" s="2">
        <f>IFERROR(__xludf.DUMMYFUNCTION("""COMPUTED_VALUE"""),41855.666666666664)</f>
        <v>41855.66667</v>
      </c>
      <c r="B1852" s="1">
        <f>IFERROR(__xludf.DUMMYFUNCTION("""COMPUTED_VALUE"""),2.59)</f>
        <v>2.59</v>
      </c>
      <c r="C1852" s="1">
        <f>IFERROR(__xludf.DUMMYFUNCTION("""COMPUTED_VALUE"""),2.69)</f>
        <v>2.69</v>
      </c>
      <c r="D1852" s="1">
        <f>IFERROR(__xludf.DUMMYFUNCTION("""COMPUTED_VALUE"""),2.57)</f>
        <v>2.57</v>
      </c>
      <c r="E1852" s="1">
        <f>IFERROR(__xludf.DUMMYFUNCTION("""COMPUTED_VALUE"""),2.68)</f>
        <v>2.68</v>
      </c>
      <c r="F1852" s="1">
        <f>IFERROR(__xludf.DUMMYFUNCTION("""COMPUTED_VALUE"""),546620.0)</f>
        <v>546620</v>
      </c>
    </row>
    <row r="1853">
      <c r="A1853" s="2">
        <f>IFERROR(__xludf.DUMMYFUNCTION("""COMPUTED_VALUE"""),41856.666666666664)</f>
        <v>41856.66667</v>
      </c>
      <c r="B1853" s="1">
        <f>IFERROR(__xludf.DUMMYFUNCTION("""COMPUTED_VALUE"""),2.67)</f>
        <v>2.67</v>
      </c>
      <c r="C1853" s="1">
        <f>IFERROR(__xludf.DUMMYFUNCTION("""COMPUTED_VALUE"""),2.7)</f>
        <v>2.7</v>
      </c>
      <c r="D1853" s="1">
        <f>IFERROR(__xludf.DUMMYFUNCTION("""COMPUTED_VALUE"""),2.62)</f>
        <v>2.62</v>
      </c>
      <c r="E1853" s="1">
        <f>IFERROR(__xludf.DUMMYFUNCTION("""COMPUTED_VALUE"""),2.69)</f>
        <v>2.69</v>
      </c>
      <c r="F1853" s="1">
        <f>IFERROR(__xludf.DUMMYFUNCTION("""COMPUTED_VALUE"""),541781.0)</f>
        <v>541781</v>
      </c>
    </row>
    <row r="1854">
      <c r="A1854" s="2">
        <f>IFERROR(__xludf.DUMMYFUNCTION("""COMPUTED_VALUE"""),41857.666666666664)</f>
        <v>41857.66667</v>
      </c>
      <c r="B1854" s="1">
        <f>IFERROR(__xludf.DUMMYFUNCTION("""COMPUTED_VALUE"""),2.59)</f>
        <v>2.59</v>
      </c>
      <c r="C1854" s="1">
        <f>IFERROR(__xludf.DUMMYFUNCTION("""COMPUTED_VALUE"""),2.6)</f>
        <v>2.6</v>
      </c>
      <c r="D1854" s="1">
        <f>IFERROR(__xludf.DUMMYFUNCTION("""COMPUTED_VALUE"""),2.34)</f>
        <v>2.34</v>
      </c>
      <c r="E1854" s="1">
        <f>IFERROR(__xludf.DUMMYFUNCTION("""COMPUTED_VALUE"""),2.48)</f>
        <v>2.48</v>
      </c>
      <c r="F1854" s="1">
        <f>IFERROR(__xludf.DUMMYFUNCTION("""COMPUTED_VALUE"""),1554424.0)</f>
        <v>1554424</v>
      </c>
    </row>
    <row r="1855">
      <c r="A1855" s="2">
        <f>IFERROR(__xludf.DUMMYFUNCTION("""COMPUTED_VALUE"""),41858.666666666664)</f>
        <v>41858.66667</v>
      </c>
      <c r="B1855" s="1">
        <f>IFERROR(__xludf.DUMMYFUNCTION("""COMPUTED_VALUE"""),2.48)</f>
        <v>2.48</v>
      </c>
      <c r="C1855" s="1">
        <f>IFERROR(__xludf.DUMMYFUNCTION("""COMPUTED_VALUE"""),2.56)</f>
        <v>2.56</v>
      </c>
      <c r="D1855" s="1">
        <f>IFERROR(__xludf.DUMMYFUNCTION("""COMPUTED_VALUE"""),2.46)</f>
        <v>2.46</v>
      </c>
      <c r="E1855" s="1">
        <f>IFERROR(__xludf.DUMMYFUNCTION("""COMPUTED_VALUE"""),2.49)</f>
        <v>2.49</v>
      </c>
      <c r="F1855" s="1">
        <f>IFERROR(__xludf.DUMMYFUNCTION("""COMPUTED_VALUE"""),260562.0)</f>
        <v>260562</v>
      </c>
    </row>
    <row r="1856">
      <c r="A1856" s="2">
        <f>IFERROR(__xludf.DUMMYFUNCTION("""COMPUTED_VALUE"""),41859.666666666664)</f>
        <v>41859.66667</v>
      </c>
      <c r="B1856" s="1">
        <f>IFERROR(__xludf.DUMMYFUNCTION("""COMPUTED_VALUE"""),2.46)</f>
        <v>2.46</v>
      </c>
      <c r="C1856" s="1">
        <f>IFERROR(__xludf.DUMMYFUNCTION("""COMPUTED_VALUE"""),2.49)</f>
        <v>2.49</v>
      </c>
      <c r="D1856" s="1">
        <f>IFERROR(__xludf.DUMMYFUNCTION("""COMPUTED_VALUE"""),2.41)</f>
        <v>2.41</v>
      </c>
      <c r="E1856" s="1">
        <f>IFERROR(__xludf.DUMMYFUNCTION("""COMPUTED_VALUE"""),2.43)</f>
        <v>2.43</v>
      </c>
      <c r="F1856" s="1">
        <f>IFERROR(__xludf.DUMMYFUNCTION("""COMPUTED_VALUE"""),406546.0)</f>
        <v>406546</v>
      </c>
    </row>
    <row r="1857">
      <c r="A1857" s="2">
        <f>IFERROR(__xludf.DUMMYFUNCTION("""COMPUTED_VALUE"""),41862.666666666664)</f>
        <v>41862.66667</v>
      </c>
      <c r="B1857" s="1">
        <f>IFERROR(__xludf.DUMMYFUNCTION("""COMPUTED_VALUE"""),2.44)</f>
        <v>2.44</v>
      </c>
      <c r="C1857" s="1">
        <f>IFERROR(__xludf.DUMMYFUNCTION("""COMPUTED_VALUE"""),2.51)</f>
        <v>2.51</v>
      </c>
      <c r="D1857" s="1">
        <f>IFERROR(__xludf.DUMMYFUNCTION("""COMPUTED_VALUE"""),2.41)</f>
        <v>2.41</v>
      </c>
      <c r="E1857" s="1">
        <f>IFERROR(__xludf.DUMMYFUNCTION("""COMPUTED_VALUE"""),2.48)</f>
        <v>2.48</v>
      </c>
      <c r="F1857" s="1">
        <f>IFERROR(__xludf.DUMMYFUNCTION("""COMPUTED_VALUE"""),318732.0)</f>
        <v>318732</v>
      </c>
    </row>
    <row r="1858">
      <c r="A1858" s="2">
        <f>IFERROR(__xludf.DUMMYFUNCTION("""COMPUTED_VALUE"""),41863.666666666664)</f>
        <v>41863.66667</v>
      </c>
      <c r="B1858" s="1">
        <f>IFERROR(__xludf.DUMMYFUNCTION("""COMPUTED_VALUE"""),2.48)</f>
        <v>2.48</v>
      </c>
      <c r="C1858" s="1">
        <f>IFERROR(__xludf.DUMMYFUNCTION("""COMPUTED_VALUE"""),2.5)</f>
        <v>2.5</v>
      </c>
      <c r="D1858" s="1">
        <f>IFERROR(__xludf.DUMMYFUNCTION("""COMPUTED_VALUE"""),2.44)</f>
        <v>2.44</v>
      </c>
      <c r="E1858" s="1">
        <f>IFERROR(__xludf.DUMMYFUNCTION("""COMPUTED_VALUE"""),2.46)</f>
        <v>2.46</v>
      </c>
      <c r="F1858" s="1">
        <f>IFERROR(__xludf.DUMMYFUNCTION("""COMPUTED_VALUE"""),204626.0)</f>
        <v>204626</v>
      </c>
    </row>
    <row r="1859">
      <c r="A1859" s="2">
        <f>IFERROR(__xludf.DUMMYFUNCTION("""COMPUTED_VALUE"""),41864.666666666664)</f>
        <v>41864.66667</v>
      </c>
      <c r="B1859" s="1">
        <f>IFERROR(__xludf.DUMMYFUNCTION("""COMPUTED_VALUE"""),2.48)</f>
        <v>2.48</v>
      </c>
      <c r="C1859" s="1">
        <f>IFERROR(__xludf.DUMMYFUNCTION("""COMPUTED_VALUE"""),2.52)</f>
        <v>2.52</v>
      </c>
      <c r="D1859" s="1">
        <f>IFERROR(__xludf.DUMMYFUNCTION("""COMPUTED_VALUE"""),2.47)</f>
        <v>2.47</v>
      </c>
      <c r="E1859" s="1">
        <f>IFERROR(__xludf.DUMMYFUNCTION("""COMPUTED_VALUE"""),2.51)</f>
        <v>2.51</v>
      </c>
      <c r="F1859" s="1">
        <f>IFERROR(__xludf.DUMMYFUNCTION("""COMPUTED_VALUE"""),314901.0)</f>
        <v>314901</v>
      </c>
    </row>
    <row r="1860">
      <c r="A1860" s="2">
        <f>IFERROR(__xludf.DUMMYFUNCTION("""COMPUTED_VALUE"""),41865.666666666664)</f>
        <v>41865.66667</v>
      </c>
      <c r="B1860" s="1">
        <f>IFERROR(__xludf.DUMMYFUNCTION("""COMPUTED_VALUE"""),2.54)</f>
        <v>2.54</v>
      </c>
      <c r="C1860" s="1">
        <f>IFERROR(__xludf.DUMMYFUNCTION("""COMPUTED_VALUE"""),2.57)</f>
        <v>2.57</v>
      </c>
      <c r="D1860" s="1">
        <f>IFERROR(__xludf.DUMMYFUNCTION("""COMPUTED_VALUE"""),2.52)</f>
        <v>2.52</v>
      </c>
      <c r="E1860" s="1">
        <f>IFERROR(__xludf.DUMMYFUNCTION("""COMPUTED_VALUE"""),2.54)</f>
        <v>2.54</v>
      </c>
      <c r="F1860" s="1">
        <f>IFERROR(__xludf.DUMMYFUNCTION("""COMPUTED_VALUE"""),353228.0)</f>
        <v>353228</v>
      </c>
    </row>
    <row r="1861">
      <c r="A1861" s="2">
        <f>IFERROR(__xludf.DUMMYFUNCTION("""COMPUTED_VALUE"""),41866.666666666664)</f>
        <v>41866.66667</v>
      </c>
      <c r="B1861" s="1">
        <f>IFERROR(__xludf.DUMMYFUNCTION("""COMPUTED_VALUE"""),2.58)</f>
        <v>2.58</v>
      </c>
      <c r="C1861" s="1">
        <f>IFERROR(__xludf.DUMMYFUNCTION("""COMPUTED_VALUE"""),2.59)</f>
        <v>2.59</v>
      </c>
      <c r="D1861" s="1">
        <f>IFERROR(__xludf.DUMMYFUNCTION("""COMPUTED_VALUE"""),2.5)</f>
        <v>2.5</v>
      </c>
      <c r="E1861" s="1">
        <f>IFERROR(__xludf.DUMMYFUNCTION("""COMPUTED_VALUE"""),2.53)</f>
        <v>2.53</v>
      </c>
      <c r="F1861" s="1">
        <f>IFERROR(__xludf.DUMMYFUNCTION("""COMPUTED_VALUE"""),394283.0)</f>
        <v>394283</v>
      </c>
    </row>
    <row r="1862">
      <c r="A1862" s="2">
        <f>IFERROR(__xludf.DUMMYFUNCTION("""COMPUTED_VALUE"""),41869.666666666664)</f>
        <v>41869.66667</v>
      </c>
      <c r="B1862" s="1">
        <f>IFERROR(__xludf.DUMMYFUNCTION("""COMPUTED_VALUE"""),2.57)</f>
        <v>2.57</v>
      </c>
      <c r="C1862" s="1">
        <f>IFERROR(__xludf.DUMMYFUNCTION("""COMPUTED_VALUE"""),2.61)</f>
        <v>2.61</v>
      </c>
      <c r="D1862" s="1">
        <f>IFERROR(__xludf.DUMMYFUNCTION("""COMPUTED_VALUE"""),2.53)</f>
        <v>2.53</v>
      </c>
      <c r="E1862" s="1">
        <f>IFERROR(__xludf.DUMMYFUNCTION("""COMPUTED_VALUE"""),2.58)</f>
        <v>2.58</v>
      </c>
      <c r="F1862" s="1">
        <f>IFERROR(__xludf.DUMMYFUNCTION("""COMPUTED_VALUE"""),390192.0)</f>
        <v>390192</v>
      </c>
    </row>
    <row r="1863">
      <c r="A1863" s="2">
        <f>IFERROR(__xludf.DUMMYFUNCTION("""COMPUTED_VALUE"""),41870.666666666664)</f>
        <v>41870.66667</v>
      </c>
      <c r="B1863" s="1">
        <f>IFERROR(__xludf.DUMMYFUNCTION("""COMPUTED_VALUE"""),2.59)</f>
        <v>2.59</v>
      </c>
      <c r="C1863" s="1">
        <f>IFERROR(__xludf.DUMMYFUNCTION("""COMPUTED_VALUE"""),2.61)</f>
        <v>2.61</v>
      </c>
      <c r="D1863" s="1">
        <f>IFERROR(__xludf.DUMMYFUNCTION("""COMPUTED_VALUE"""),2.56)</f>
        <v>2.56</v>
      </c>
      <c r="E1863" s="1">
        <f>IFERROR(__xludf.DUMMYFUNCTION("""COMPUTED_VALUE"""),2.6)</f>
        <v>2.6</v>
      </c>
      <c r="F1863" s="1">
        <f>IFERROR(__xludf.DUMMYFUNCTION("""COMPUTED_VALUE"""),263495.0)</f>
        <v>263495</v>
      </c>
    </row>
    <row r="1864">
      <c r="A1864" s="2">
        <f>IFERROR(__xludf.DUMMYFUNCTION("""COMPUTED_VALUE"""),41871.666666666664)</f>
        <v>41871.66667</v>
      </c>
      <c r="B1864" s="1">
        <f>IFERROR(__xludf.DUMMYFUNCTION("""COMPUTED_VALUE"""),2.57)</f>
        <v>2.57</v>
      </c>
      <c r="C1864" s="1">
        <f>IFERROR(__xludf.DUMMYFUNCTION("""COMPUTED_VALUE"""),2.6)</f>
        <v>2.6</v>
      </c>
      <c r="D1864" s="1">
        <f>IFERROR(__xludf.DUMMYFUNCTION("""COMPUTED_VALUE"""),2.52)</f>
        <v>2.52</v>
      </c>
      <c r="E1864" s="1">
        <f>IFERROR(__xludf.DUMMYFUNCTION("""COMPUTED_VALUE"""),2.53)</f>
        <v>2.53</v>
      </c>
      <c r="F1864" s="1">
        <f>IFERROR(__xludf.DUMMYFUNCTION("""COMPUTED_VALUE"""),405409.0)</f>
        <v>405409</v>
      </c>
    </row>
    <row r="1865">
      <c r="A1865" s="2">
        <f>IFERROR(__xludf.DUMMYFUNCTION("""COMPUTED_VALUE"""),41872.666666666664)</f>
        <v>41872.66667</v>
      </c>
      <c r="B1865" s="1">
        <f>IFERROR(__xludf.DUMMYFUNCTION("""COMPUTED_VALUE"""),2.52)</f>
        <v>2.52</v>
      </c>
      <c r="C1865" s="1">
        <f>IFERROR(__xludf.DUMMYFUNCTION("""COMPUTED_VALUE"""),2.53)</f>
        <v>2.53</v>
      </c>
      <c r="D1865" s="1">
        <f>IFERROR(__xludf.DUMMYFUNCTION("""COMPUTED_VALUE"""),2.46)</f>
        <v>2.46</v>
      </c>
      <c r="E1865" s="1">
        <f>IFERROR(__xludf.DUMMYFUNCTION("""COMPUTED_VALUE"""),2.5)</f>
        <v>2.5</v>
      </c>
      <c r="F1865" s="1">
        <f>IFERROR(__xludf.DUMMYFUNCTION("""COMPUTED_VALUE"""),219635.0)</f>
        <v>219635</v>
      </c>
    </row>
    <row r="1866">
      <c r="A1866" s="2">
        <f>IFERROR(__xludf.DUMMYFUNCTION("""COMPUTED_VALUE"""),41873.666666666664)</f>
        <v>41873.66667</v>
      </c>
      <c r="B1866" s="1">
        <f>IFERROR(__xludf.DUMMYFUNCTION("""COMPUTED_VALUE"""),2.47)</f>
        <v>2.47</v>
      </c>
      <c r="C1866" s="1">
        <f>IFERROR(__xludf.DUMMYFUNCTION("""COMPUTED_VALUE"""),2.5)</f>
        <v>2.5</v>
      </c>
      <c r="D1866" s="1">
        <f>IFERROR(__xludf.DUMMYFUNCTION("""COMPUTED_VALUE"""),2.41)</f>
        <v>2.41</v>
      </c>
      <c r="E1866" s="1">
        <f>IFERROR(__xludf.DUMMYFUNCTION("""COMPUTED_VALUE"""),2.46)</f>
        <v>2.46</v>
      </c>
      <c r="F1866" s="1">
        <f>IFERROR(__xludf.DUMMYFUNCTION("""COMPUTED_VALUE"""),417346.0)</f>
        <v>417346</v>
      </c>
    </row>
    <row r="1867">
      <c r="A1867" s="2">
        <f>IFERROR(__xludf.DUMMYFUNCTION("""COMPUTED_VALUE"""),41876.666666666664)</f>
        <v>41876.66667</v>
      </c>
      <c r="B1867" s="1">
        <f>IFERROR(__xludf.DUMMYFUNCTION("""COMPUTED_VALUE"""),2.48)</f>
        <v>2.48</v>
      </c>
      <c r="C1867" s="1">
        <f>IFERROR(__xludf.DUMMYFUNCTION("""COMPUTED_VALUE"""),2.52)</f>
        <v>2.52</v>
      </c>
      <c r="D1867" s="1">
        <f>IFERROR(__xludf.DUMMYFUNCTION("""COMPUTED_VALUE"""),2.45)</f>
        <v>2.45</v>
      </c>
      <c r="E1867" s="1">
        <f>IFERROR(__xludf.DUMMYFUNCTION("""COMPUTED_VALUE"""),2.46)</f>
        <v>2.46</v>
      </c>
      <c r="F1867" s="1">
        <f>IFERROR(__xludf.DUMMYFUNCTION("""COMPUTED_VALUE"""),263107.0)</f>
        <v>263107</v>
      </c>
    </row>
    <row r="1868">
      <c r="A1868" s="2">
        <f>IFERROR(__xludf.DUMMYFUNCTION("""COMPUTED_VALUE"""),41877.666666666664)</f>
        <v>41877.66667</v>
      </c>
      <c r="B1868" s="1">
        <f>IFERROR(__xludf.DUMMYFUNCTION("""COMPUTED_VALUE"""),2.46)</f>
        <v>2.46</v>
      </c>
      <c r="C1868" s="1">
        <f>IFERROR(__xludf.DUMMYFUNCTION("""COMPUTED_VALUE"""),2.5)</f>
        <v>2.5</v>
      </c>
      <c r="D1868" s="1">
        <f>IFERROR(__xludf.DUMMYFUNCTION("""COMPUTED_VALUE"""),2.45)</f>
        <v>2.45</v>
      </c>
      <c r="E1868" s="1">
        <f>IFERROR(__xludf.DUMMYFUNCTION("""COMPUTED_VALUE"""),2.47)</f>
        <v>2.47</v>
      </c>
      <c r="F1868" s="1">
        <f>IFERROR(__xludf.DUMMYFUNCTION("""COMPUTED_VALUE"""),389175.0)</f>
        <v>389175</v>
      </c>
    </row>
    <row r="1869">
      <c r="A1869" s="2">
        <f>IFERROR(__xludf.DUMMYFUNCTION("""COMPUTED_VALUE"""),41878.666666666664)</f>
        <v>41878.66667</v>
      </c>
      <c r="B1869" s="1">
        <f>IFERROR(__xludf.DUMMYFUNCTION("""COMPUTED_VALUE"""),2.47)</f>
        <v>2.47</v>
      </c>
      <c r="C1869" s="1">
        <f>IFERROR(__xludf.DUMMYFUNCTION("""COMPUTED_VALUE"""),2.53)</f>
        <v>2.53</v>
      </c>
      <c r="D1869" s="1">
        <f>IFERROR(__xludf.DUMMYFUNCTION("""COMPUTED_VALUE"""),2.47)</f>
        <v>2.47</v>
      </c>
      <c r="E1869" s="1">
        <f>IFERROR(__xludf.DUMMYFUNCTION("""COMPUTED_VALUE"""),2.51)</f>
        <v>2.51</v>
      </c>
      <c r="F1869" s="1">
        <f>IFERROR(__xludf.DUMMYFUNCTION("""COMPUTED_VALUE"""),256918.0)</f>
        <v>256918</v>
      </c>
    </row>
    <row r="1870">
      <c r="A1870" s="2">
        <f>IFERROR(__xludf.DUMMYFUNCTION("""COMPUTED_VALUE"""),41879.666666666664)</f>
        <v>41879.66667</v>
      </c>
      <c r="B1870" s="1">
        <f>IFERROR(__xludf.DUMMYFUNCTION("""COMPUTED_VALUE"""),2.49)</f>
        <v>2.49</v>
      </c>
      <c r="C1870" s="1">
        <f>IFERROR(__xludf.DUMMYFUNCTION("""COMPUTED_VALUE"""),2.5)</f>
        <v>2.5</v>
      </c>
      <c r="D1870" s="1">
        <f>IFERROR(__xludf.DUMMYFUNCTION("""COMPUTED_VALUE"""),2.46)</f>
        <v>2.46</v>
      </c>
      <c r="E1870" s="1">
        <f>IFERROR(__xludf.DUMMYFUNCTION("""COMPUTED_VALUE"""),2.47)</f>
        <v>2.47</v>
      </c>
      <c r="F1870" s="1">
        <f>IFERROR(__xludf.DUMMYFUNCTION("""COMPUTED_VALUE"""),206237.0)</f>
        <v>206237</v>
      </c>
    </row>
    <row r="1871">
      <c r="A1871" s="2">
        <f>IFERROR(__xludf.DUMMYFUNCTION("""COMPUTED_VALUE"""),41880.666666666664)</f>
        <v>41880.66667</v>
      </c>
      <c r="B1871" s="1">
        <f>IFERROR(__xludf.DUMMYFUNCTION("""COMPUTED_VALUE"""),2.48)</f>
        <v>2.48</v>
      </c>
      <c r="C1871" s="1">
        <f>IFERROR(__xludf.DUMMYFUNCTION("""COMPUTED_VALUE"""),2.49)</f>
        <v>2.49</v>
      </c>
      <c r="D1871" s="1">
        <f>IFERROR(__xludf.DUMMYFUNCTION("""COMPUTED_VALUE"""),2.43)</f>
        <v>2.43</v>
      </c>
      <c r="E1871" s="1">
        <f>IFERROR(__xludf.DUMMYFUNCTION("""COMPUTED_VALUE"""),2.45)</f>
        <v>2.45</v>
      </c>
      <c r="F1871" s="1">
        <f>IFERROR(__xludf.DUMMYFUNCTION("""COMPUTED_VALUE"""),324568.0)</f>
        <v>324568</v>
      </c>
    </row>
    <row r="1872">
      <c r="A1872" s="2">
        <f>IFERROR(__xludf.DUMMYFUNCTION("""COMPUTED_VALUE"""),41884.666666666664)</f>
        <v>41884.66667</v>
      </c>
      <c r="B1872" s="1">
        <f>IFERROR(__xludf.DUMMYFUNCTION("""COMPUTED_VALUE"""),2.49)</f>
        <v>2.49</v>
      </c>
      <c r="C1872" s="1">
        <f>IFERROR(__xludf.DUMMYFUNCTION("""COMPUTED_VALUE"""),2.71)</f>
        <v>2.71</v>
      </c>
      <c r="D1872" s="1">
        <f>IFERROR(__xludf.DUMMYFUNCTION("""COMPUTED_VALUE"""),2.49)</f>
        <v>2.49</v>
      </c>
      <c r="E1872" s="1">
        <f>IFERROR(__xludf.DUMMYFUNCTION("""COMPUTED_VALUE"""),2.7)</f>
        <v>2.7</v>
      </c>
      <c r="F1872" s="1">
        <f>IFERROR(__xludf.DUMMYFUNCTION("""COMPUTED_VALUE"""),861149.0)</f>
        <v>861149</v>
      </c>
    </row>
    <row r="1873">
      <c r="A1873" s="2">
        <f>IFERROR(__xludf.DUMMYFUNCTION("""COMPUTED_VALUE"""),41885.666666666664)</f>
        <v>41885.66667</v>
      </c>
      <c r="B1873" s="1">
        <f>IFERROR(__xludf.DUMMYFUNCTION("""COMPUTED_VALUE"""),2.72)</f>
        <v>2.72</v>
      </c>
      <c r="C1873" s="1">
        <f>IFERROR(__xludf.DUMMYFUNCTION("""COMPUTED_VALUE"""),2.76)</f>
        <v>2.76</v>
      </c>
      <c r="D1873" s="1">
        <f>IFERROR(__xludf.DUMMYFUNCTION("""COMPUTED_VALUE"""),2.55)</f>
        <v>2.55</v>
      </c>
      <c r="E1873" s="1">
        <f>IFERROR(__xludf.DUMMYFUNCTION("""COMPUTED_VALUE"""),2.57)</f>
        <v>2.57</v>
      </c>
      <c r="F1873" s="1">
        <f>IFERROR(__xludf.DUMMYFUNCTION("""COMPUTED_VALUE"""),590683.0)</f>
        <v>590683</v>
      </c>
    </row>
    <row r="1874">
      <c r="A1874" s="2">
        <f>IFERROR(__xludf.DUMMYFUNCTION("""COMPUTED_VALUE"""),41886.666666666664)</f>
        <v>41886.66667</v>
      </c>
      <c r="B1874" s="1">
        <f>IFERROR(__xludf.DUMMYFUNCTION("""COMPUTED_VALUE"""),2.59)</f>
        <v>2.59</v>
      </c>
      <c r="C1874" s="1">
        <f>IFERROR(__xludf.DUMMYFUNCTION("""COMPUTED_VALUE"""),2.62)</f>
        <v>2.62</v>
      </c>
      <c r="D1874" s="1">
        <f>IFERROR(__xludf.DUMMYFUNCTION("""COMPUTED_VALUE"""),2.53)</f>
        <v>2.53</v>
      </c>
      <c r="E1874" s="1">
        <f>IFERROR(__xludf.DUMMYFUNCTION("""COMPUTED_VALUE"""),2.56)</f>
        <v>2.56</v>
      </c>
      <c r="F1874" s="1">
        <f>IFERROR(__xludf.DUMMYFUNCTION("""COMPUTED_VALUE"""),317537.0)</f>
        <v>317537</v>
      </c>
    </row>
    <row r="1875">
      <c r="A1875" s="2">
        <f>IFERROR(__xludf.DUMMYFUNCTION("""COMPUTED_VALUE"""),41887.666666666664)</f>
        <v>41887.66667</v>
      </c>
      <c r="B1875" s="1">
        <f>IFERROR(__xludf.DUMMYFUNCTION("""COMPUTED_VALUE"""),2.56)</f>
        <v>2.56</v>
      </c>
      <c r="C1875" s="1">
        <f>IFERROR(__xludf.DUMMYFUNCTION("""COMPUTED_VALUE"""),2.59)</f>
        <v>2.59</v>
      </c>
      <c r="D1875" s="1">
        <f>IFERROR(__xludf.DUMMYFUNCTION("""COMPUTED_VALUE"""),2.52)</f>
        <v>2.52</v>
      </c>
      <c r="E1875" s="1">
        <f>IFERROR(__xludf.DUMMYFUNCTION("""COMPUTED_VALUE"""),2.55)</f>
        <v>2.55</v>
      </c>
      <c r="F1875" s="1">
        <f>IFERROR(__xludf.DUMMYFUNCTION("""COMPUTED_VALUE"""),194141.0)</f>
        <v>194141</v>
      </c>
    </row>
    <row r="1876">
      <c r="A1876" s="2">
        <f>IFERROR(__xludf.DUMMYFUNCTION("""COMPUTED_VALUE"""),41890.666666666664)</f>
        <v>41890.66667</v>
      </c>
      <c r="B1876" s="1">
        <f>IFERROR(__xludf.DUMMYFUNCTION("""COMPUTED_VALUE"""),2.55)</f>
        <v>2.55</v>
      </c>
      <c r="C1876" s="1">
        <f>IFERROR(__xludf.DUMMYFUNCTION("""COMPUTED_VALUE"""),2.68)</f>
        <v>2.68</v>
      </c>
      <c r="D1876" s="1">
        <f>IFERROR(__xludf.DUMMYFUNCTION("""COMPUTED_VALUE"""),2.55)</f>
        <v>2.55</v>
      </c>
      <c r="E1876" s="1">
        <f>IFERROR(__xludf.DUMMYFUNCTION("""COMPUTED_VALUE"""),2.66)</f>
        <v>2.66</v>
      </c>
      <c r="F1876" s="1">
        <f>IFERROR(__xludf.DUMMYFUNCTION("""COMPUTED_VALUE"""),324047.0)</f>
        <v>324047</v>
      </c>
    </row>
    <row r="1877">
      <c r="A1877" s="2">
        <f>IFERROR(__xludf.DUMMYFUNCTION("""COMPUTED_VALUE"""),41891.666666666664)</f>
        <v>41891.66667</v>
      </c>
      <c r="B1877" s="1">
        <f>IFERROR(__xludf.DUMMYFUNCTION("""COMPUTED_VALUE"""),2.66)</f>
        <v>2.66</v>
      </c>
      <c r="C1877" s="1">
        <f>IFERROR(__xludf.DUMMYFUNCTION("""COMPUTED_VALUE"""),2.68)</f>
        <v>2.68</v>
      </c>
      <c r="D1877" s="1">
        <f>IFERROR(__xludf.DUMMYFUNCTION("""COMPUTED_VALUE"""),2.56)</f>
        <v>2.56</v>
      </c>
      <c r="E1877" s="1">
        <f>IFERROR(__xludf.DUMMYFUNCTION("""COMPUTED_VALUE"""),2.56)</f>
        <v>2.56</v>
      </c>
      <c r="F1877" s="1">
        <f>IFERROR(__xludf.DUMMYFUNCTION("""COMPUTED_VALUE"""),289936.0)</f>
        <v>289936</v>
      </c>
    </row>
    <row r="1878">
      <c r="A1878" s="2">
        <f>IFERROR(__xludf.DUMMYFUNCTION("""COMPUTED_VALUE"""),41892.666666666664)</f>
        <v>41892.66667</v>
      </c>
      <c r="B1878" s="1">
        <f>IFERROR(__xludf.DUMMYFUNCTION("""COMPUTED_VALUE"""),2.57)</f>
        <v>2.57</v>
      </c>
      <c r="C1878" s="1">
        <f>IFERROR(__xludf.DUMMYFUNCTION("""COMPUTED_VALUE"""),2.58)</f>
        <v>2.58</v>
      </c>
      <c r="D1878" s="1">
        <f>IFERROR(__xludf.DUMMYFUNCTION("""COMPUTED_VALUE"""),2.52)</f>
        <v>2.52</v>
      </c>
      <c r="E1878" s="1">
        <f>IFERROR(__xludf.DUMMYFUNCTION("""COMPUTED_VALUE"""),2.53)</f>
        <v>2.53</v>
      </c>
      <c r="F1878" s="1">
        <f>IFERROR(__xludf.DUMMYFUNCTION("""COMPUTED_VALUE"""),278539.0)</f>
        <v>278539</v>
      </c>
    </row>
    <row r="1879">
      <c r="A1879" s="2">
        <f>IFERROR(__xludf.DUMMYFUNCTION("""COMPUTED_VALUE"""),41893.666666666664)</f>
        <v>41893.66667</v>
      </c>
      <c r="B1879" s="1">
        <f>IFERROR(__xludf.DUMMYFUNCTION("""COMPUTED_VALUE"""),2.52)</f>
        <v>2.52</v>
      </c>
      <c r="C1879" s="1">
        <f>IFERROR(__xludf.DUMMYFUNCTION("""COMPUTED_VALUE"""),2.6)</f>
        <v>2.6</v>
      </c>
      <c r="D1879" s="1">
        <f>IFERROR(__xludf.DUMMYFUNCTION("""COMPUTED_VALUE"""),2.5)</f>
        <v>2.5</v>
      </c>
      <c r="E1879" s="1">
        <f>IFERROR(__xludf.DUMMYFUNCTION("""COMPUTED_VALUE"""),2.6)</f>
        <v>2.6</v>
      </c>
      <c r="F1879" s="1">
        <f>IFERROR(__xludf.DUMMYFUNCTION("""COMPUTED_VALUE"""),204558.0)</f>
        <v>204558</v>
      </c>
    </row>
    <row r="1880">
      <c r="A1880" s="2">
        <f>IFERROR(__xludf.DUMMYFUNCTION("""COMPUTED_VALUE"""),41894.666666666664)</f>
        <v>41894.66667</v>
      </c>
      <c r="B1880" s="1">
        <f>IFERROR(__xludf.DUMMYFUNCTION("""COMPUTED_VALUE"""),2.61)</f>
        <v>2.61</v>
      </c>
      <c r="C1880" s="1">
        <f>IFERROR(__xludf.DUMMYFUNCTION("""COMPUTED_VALUE"""),2.64)</f>
        <v>2.64</v>
      </c>
      <c r="D1880" s="1">
        <f>IFERROR(__xludf.DUMMYFUNCTION("""COMPUTED_VALUE"""),2.57)</f>
        <v>2.57</v>
      </c>
      <c r="E1880" s="1">
        <f>IFERROR(__xludf.DUMMYFUNCTION("""COMPUTED_VALUE"""),2.61)</f>
        <v>2.61</v>
      </c>
      <c r="F1880" s="1">
        <f>IFERROR(__xludf.DUMMYFUNCTION("""COMPUTED_VALUE"""),346169.0)</f>
        <v>346169</v>
      </c>
    </row>
    <row r="1881">
      <c r="A1881" s="2">
        <f>IFERROR(__xludf.DUMMYFUNCTION("""COMPUTED_VALUE"""),41897.666666666664)</f>
        <v>41897.66667</v>
      </c>
      <c r="B1881" s="1">
        <f>IFERROR(__xludf.DUMMYFUNCTION("""COMPUTED_VALUE"""),2.64)</f>
        <v>2.64</v>
      </c>
      <c r="C1881" s="1">
        <f>IFERROR(__xludf.DUMMYFUNCTION("""COMPUTED_VALUE"""),2.64)</f>
        <v>2.64</v>
      </c>
      <c r="D1881" s="1">
        <f>IFERROR(__xludf.DUMMYFUNCTION("""COMPUTED_VALUE"""),2.57)</f>
        <v>2.57</v>
      </c>
      <c r="E1881" s="1">
        <f>IFERROR(__xludf.DUMMYFUNCTION("""COMPUTED_VALUE"""),2.63)</f>
        <v>2.63</v>
      </c>
      <c r="F1881" s="1">
        <f>IFERROR(__xludf.DUMMYFUNCTION("""COMPUTED_VALUE"""),287202.0)</f>
        <v>287202</v>
      </c>
    </row>
    <row r="1882">
      <c r="A1882" s="2">
        <f>IFERROR(__xludf.DUMMYFUNCTION("""COMPUTED_VALUE"""),41898.666666666664)</f>
        <v>41898.66667</v>
      </c>
      <c r="B1882" s="1">
        <f>IFERROR(__xludf.DUMMYFUNCTION("""COMPUTED_VALUE"""),2.6)</f>
        <v>2.6</v>
      </c>
      <c r="C1882" s="1">
        <f>IFERROR(__xludf.DUMMYFUNCTION("""COMPUTED_VALUE"""),2.7)</f>
        <v>2.7</v>
      </c>
      <c r="D1882" s="1">
        <f>IFERROR(__xludf.DUMMYFUNCTION("""COMPUTED_VALUE"""),2.59)</f>
        <v>2.59</v>
      </c>
      <c r="E1882" s="1">
        <f>IFERROR(__xludf.DUMMYFUNCTION("""COMPUTED_VALUE"""),2.68)</f>
        <v>2.68</v>
      </c>
      <c r="F1882" s="1">
        <f>IFERROR(__xludf.DUMMYFUNCTION("""COMPUTED_VALUE"""),355390.0)</f>
        <v>355390</v>
      </c>
    </row>
    <row r="1883">
      <c r="A1883" s="2">
        <f>IFERROR(__xludf.DUMMYFUNCTION("""COMPUTED_VALUE"""),41899.666666666664)</f>
        <v>41899.66667</v>
      </c>
      <c r="B1883" s="1">
        <f>IFERROR(__xludf.DUMMYFUNCTION("""COMPUTED_VALUE"""),2.66)</f>
        <v>2.66</v>
      </c>
      <c r="C1883" s="1">
        <f>IFERROR(__xludf.DUMMYFUNCTION("""COMPUTED_VALUE"""),2.85)</f>
        <v>2.85</v>
      </c>
      <c r="D1883" s="1">
        <f>IFERROR(__xludf.DUMMYFUNCTION("""COMPUTED_VALUE"""),2.66)</f>
        <v>2.66</v>
      </c>
      <c r="E1883" s="1">
        <f>IFERROR(__xludf.DUMMYFUNCTION("""COMPUTED_VALUE"""),2.84)</f>
        <v>2.84</v>
      </c>
      <c r="F1883" s="1">
        <f>IFERROR(__xludf.DUMMYFUNCTION("""COMPUTED_VALUE"""),770713.0)</f>
        <v>770713</v>
      </c>
    </row>
    <row r="1884">
      <c r="A1884" s="2">
        <f>IFERROR(__xludf.DUMMYFUNCTION("""COMPUTED_VALUE"""),41900.666666666664)</f>
        <v>41900.66667</v>
      </c>
      <c r="B1884" s="1">
        <f>IFERROR(__xludf.DUMMYFUNCTION("""COMPUTED_VALUE"""),2.87)</f>
        <v>2.87</v>
      </c>
      <c r="C1884" s="1">
        <f>IFERROR(__xludf.DUMMYFUNCTION("""COMPUTED_VALUE"""),2.97)</f>
        <v>2.97</v>
      </c>
      <c r="D1884" s="1">
        <f>IFERROR(__xludf.DUMMYFUNCTION("""COMPUTED_VALUE"""),2.86)</f>
        <v>2.86</v>
      </c>
      <c r="E1884" s="1">
        <f>IFERROR(__xludf.DUMMYFUNCTION("""COMPUTED_VALUE"""),2.9)</f>
        <v>2.9</v>
      </c>
      <c r="F1884" s="1">
        <f>IFERROR(__xludf.DUMMYFUNCTION("""COMPUTED_VALUE"""),633477.0)</f>
        <v>633477</v>
      </c>
    </row>
    <row r="1885">
      <c r="A1885" s="2">
        <f>IFERROR(__xludf.DUMMYFUNCTION("""COMPUTED_VALUE"""),41901.666666666664)</f>
        <v>41901.66667</v>
      </c>
      <c r="B1885" s="1">
        <f>IFERROR(__xludf.DUMMYFUNCTION("""COMPUTED_VALUE"""),2.91)</f>
        <v>2.91</v>
      </c>
      <c r="C1885" s="1">
        <f>IFERROR(__xludf.DUMMYFUNCTION("""COMPUTED_VALUE"""),2.94)</f>
        <v>2.94</v>
      </c>
      <c r="D1885" s="1">
        <f>IFERROR(__xludf.DUMMYFUNCTION("""COMPUTED_VALUE"""),2.84)</f>
        <v>2.84</v>
      </c>
      <c r="E1885" s="1">
        <f>IFERROR(__xludf.DUMMYFUNCTION("""COMPUTED_VALUE"""),2.84)</f>
        <v>2.84</v>
      </c>
      <c r="F1885" s="1">
        <f>IFERROR(__xludf.DUMMYFUNCTION("""COMPUTED_VALUE"""),532339.0)</f>
        <v>532339</v>
      </c>
    </row>
    <row r="1886">
      <c r="A1886" s="2">
        <f>IFERROR(__xludf.DUMMYFUNCTION("""COMPUTED_VALUE"""),41904.666666666664)</f>
        <v>41904.66667</v>
      </c>
      <c r="B1886" s="1">
        <f>IFERROR(__xludf.DUMMYFUNCTION("""COMPUTED_VALUE"""),2.86)</f>
        <v>2.86</v>
      </c>
      <c r="C1886" s="1">
        <f>IFERROR(__xludf.DUMMYFUNCTION("""COMPUTED_VALUE"""),2.86)</f>
        <v>2.86</v>
      </c>
      <c r="D1886" s="1">
        <f>IFERROR(__xludf.DUMMYFUNCTION("""COMPUTED_VALUE"""),2.79)</f>
        <v>2.79</v>
      </c>
      <c r="E1886" s="1">
        <f>IFERROR(__xludf.DUMMYFUNCTION("""COMPUTED_VALUE"""),2.83)</f>
        <v>2.83</v>
      </c>
      <c r="F1886" s="1">
        <f>IFERROR(__xludf.DUMMYFUNCTION("""COMPUTED_VALUE"""),270603.0)</f>
        <v>270603</v>
      </c>
    </row>
    <row r="1887">
      <c r="A1887" s="2">
        <f>IFERROR(__xludf.DUMMYFUNCTION("""COMPUTED_VALUE"""),41905.666666666664)</f>
        <v>41905.66667</v>
      </c>
      <c r="B1887" s="1">
        <f>IFERROR(__xludf.DUMMYFUNCTION("""COMPUTED_VALUE"""),2.82)</f>
        <v>2.82</v>
      </c>
      <c r="C1887" s="1">
        <f>IFERROR(__xludf.DUMMYFUNCTION("""COMPUTED_VALUE"""),2.84)</f>
        <v>2.84</v>
      </c>
      <c r="D1887" s="1">
        <f>IFERROR(__xludf.DUMMYFUNCTION("""COMPUTED_VALUE"""),2.75)</f>
        <v>2.75</v>
      </c>
      <c r="E1887" s="1">
        <f>IFERROR(__xludf.DUMMYFUNCTION("""COMPUTED_VALUE"""),2.78)</f>
        <v>2.78</v>
      </c>
      <c r="F1887" s="1">
        <f>IFERROR(__xludf.DUMMYFUNCTION("""COMPUTED_VALUE"""),345432.0)</f>
        <v>345432</v>
      </c>
    </row>
    <row r="1888">
      <c r="A1888" s="2">
        <f>IFERROR(__xludf.DUMMYFUNCTION("""COMPUTED_VALUE"""),41906.666666666664)</f>
        <v>41906.66667</v>
      </c>
      <c r="B1888" s="1">
        <f>IFERROR(__xludf.DUMMYFUNCTION("""COMPUTED_VALUE"""),2.79)</f>
        <v>2.79</v>
      </c>
      <c r="C1888" s="1">
        <f>IFERROR(__xludf.DUMMYFUNCTION("""COMPUTED_VALUE"""),2.9)</f>
        <v>2.9</v>
      </c>
      <c r="D1888" s="1">
        <f>IFERROR(__xludf.DUMMYFUNCTION("""COMPUTED_VALUE"""),2.75)</f>
        <v>2.75</v>
      </c>
      <c r="E1888" s="1">
        <f>IFERROR(__xludf.DUMMYFUNCTION("""COMPUTED_VALUE"""),2.89)</f>
        <v>2.89</v>
      </c>
      <c r="F1888" s="1">
        <f>IFERROR(__xludf.DUMMYFUNCTION("""COMPUTED_VALUE"""),471480.0)</f>
        <v>471480</v>
      </c>
    </row>
    <row r="1889">
      <c r="A1889" s="2">
        <f>IFERROR(__xludf.DUMMYFUNCTION("""COMPUTED_VALUE"""),41907.666666666664)</f>
        <v>41907.66667</v>
      </c>
      <c r="B1889" s="1">
        <f>IFERROR(__xludf.DUMMYFUNCTION("""COMPUTED_VALUE"""),2.89)</f>
        <v>2.89</v>
      </c>
      <c r="C1889" s="1">
        <f>IFERROR(__xludf.DUMMYFUNCTION("""COMPUTED_VALUE"""),2.89)</f>
        <v>2.89</v>
      </c>
      <c r="D1889" s="1">
        <f>IFERROR(__xludf.DUMMYFUNCTION("""COMPUTED_VALUE"""),2.74)</f>
        <v>2.74</v>
      </c>
      <c r="E1889" s="1">
        <f>IFERROR(__xludf.DUMMYFUNCTION("""COMPUTED_VALUE"""),2.78)</f>
        <v>2.78</v>
      </c>
      <c r="F1889" s="1">
        <f>IFERROR(__xludf.DUMMYFUNCTION("""COMPUTED_VALUE"""),385690.0)</f>
        <v>385690</v>
      </c>
    </row>
    <row r="1890">
      <c r="A1890" s="2">
        <f>IFERROR(__xludf.DUMMYFUNCTION("""COMPUTED_VALUE"""),41908.666666666664)</f>
        <v>41908.66667</v>
      </c>
      <c r="B1890" s="1">
        <f>IFERROR(__xludf.DUMMYFUNCTION("""COMPUTED_VALUE"""),2.79)</f>
        <v>2.79</v>
      </c>
      <c r="C1890" s="1">
        <f>IFERROR(__xludf.DUMMYFUNCTION("""COMPUTED_VALUE"""),2.87)</f>
        <v>2.87</v>
      </c>
      <c r="D1890" s="1">
        <f>IFERROR(__xludf.DUMMYFUNCTION("""COMPUTED_VALUE"""),2.78)</f>
        <v>2.78</v>
      </c>
      <c r="E1890" s="1">
        <f>IFERROR(__xludf.DUMMYFUNCTION("""COMPUTED_VALUE"""),2.84)</f>
        <v>2.84</v>
      </c>
      <c r="F1890" s="1">
        <f>IFERROR(__xludf.DUMMYFUNCTION("""COMPUTED_VALUE"""),324954.0)</f>
        <v>324954</v>
      </c>
    </row>
    <row r="1891">
      <c r="A1891" s="2">
        <f>IFERROR(__xludf.DUMMYFUNCTION("""COMPUTED_VALUE"""),41911.666666666664)</f>
        <v>41911.66667</v>
      </c>
      <c r="B1891" s="1">
        <f>IFERROR(__xludf.DUMMYFUNCTION("""COMPUTED_VALUE"""),2.88)</f>
        <v>2.88</v>
      </c>
      <c r="C1891" s="1">
        <f>IFERROR(__xludf.DUMMYFUNCTION("""COMPUTED_VALUE"""),2.95)</f>
        <v>2.95</v>
      </c>
      <c r="D1891" s="1">
        <f>IFERROR(__xludf.DUMMYFUNCTION("""COMPUTED_VALUE"""),2.85)</f>
        <v>2.85</v>
      </c>
      <c r="E1891" s="1">
        <f>IFERROR(__xludf.DUMMYFUNCTION("""COMPUTED_VALUE"""),2.94)</f>
        <v>2.94</v>
      </c>
      <c r="F1891" s="1">
        <f>IFERROR(__xludf.DUMMYFUNCTION("""COMPUTED_VALUE"""),492145.0)</f>
        <v>492145</v>
      </c>
    </row>
    <row r="1892">
      <c r="A1892" s="2">
        <f>IFERROR(__xludf.DUMMYFUNCTION("""COMPUTED_VALUE"""),41912.666666666664)</f>
        <v>41912.66667</v>
      </c>
      <c r="B1892" s="1">
        <f>IFERROR(__xludf.DUMMYFUNCTION("""COMPUTED_VALUE"""),2.94)</f>
        <v>2.94</v>
      </c>
      <c r="C1892" s="1">
        <f>IFERROR(__xludf.DUMMYFUNCTION("""COMPUTED_VALUE"""),3.01)</f>
        <v>3.01</v>
      </c>
      <c r="D1892" s="1">
        <f>IFERROR(__xludf.DUMMYFUNCTION("""COMPUTED_VALUE"""),2.91)</f>
        <v>2.91</v>
      </c>
      <c r="E1892" s="1">
        <f>IFERROR(__xludf.DUMMYFUNCTION("""COMPUTED_VALUE"""),2.94)</f>
        <v>2.94</v>
      </c>
      <c r="F1892" s="1">
        <f>IFERROR(__xludf.DUMMYFUNCTION("""COMPUTED_VALUE"""),651829.0)</f>
        <v>651829</v>
      </c>
    </row>
    <row r="1893">
      <c r="A1893" s="2">
        <f>IFERROR(__xludf.DUMMYFUNCTION("""COMPUTED_VALUE"""),41913.666666666664)</f>
        <v>41913.66667</v>
      </c>
      <c r="B1893" s="1">
        <f>IFERROR(__xludf.DUMMYFUNCTION("""COMPUTED_VALUE"""),2.95)</f>
        <v>2.95</v>
      </c>
      <c r="C1893" s="1">
        <f>IFERROR(__xludf.DUMMYFUNCTION("""COMPUTED_VALUE"""),2.97)</f>
        <v>2.97</v>
      </c>
      <c r="D1893" s="1">
        <f>IFERROR(__xludf.DUMMYFUNCTION("""COMPUTED_VALUE"""),2.8)</f>
        <v>2.8</v>
      </c>
      <c r="E1893" s="1">
        <f>IFERROR(__xludf.DUMMYFUNCTION("""COMPUTED_VALUE"""),2.86)</f>
        <v>2.86</v>
      </c>
      <c r="F1893" s="1">
        <f>IFERROR(__xludf.DUMMYFUNCTION("""COMPUTED_VALUE"""),829655.0)</f>
        <v>829655</v>
      </c>
    </row>
    <row r="1894">
      <c r="A1894" s="2">
        <f>IFERROR(__xludf.DUMMYFUNCTION("""COMPUTED_VALUE"""),41914.666666666664)</f>
        <v>41914.66667</v>
      </c>
      <c r="B1894" s="1">
        <f>IFERROR(__xludf.DUMMYFUNCTION("""COMPUTED_VALUE"""),2.83)</f>
        <v>2.83</v>
      </c>
      <c r="C1894" s="1">
        <f>IFERROR(__xludf.DUMMYFUNCTION("""COMPUTED_VALUE"""),2.85)</f>
        <v>2.85</v>
      </c>
      <c r="D1894" s="1">
        <f>IFERROR(__xludf.DUMMYFUNCTION("""COMPUTED_VALUE"""),2.63)</f>
        <v>2.63</v>
      </c>
      <c r="E1894" s="1">
        <f>IFERROR(__xludf.DUMMYFUNCTION("""COMPUTED_VALUE"""),2.74)</f>
        <v>2.74</v>
      </c>
      <c r="F1894" s="1">
        <f>IFERROR(__xludf.DUMMYFUNCTION("""COMPUTED_VALUE"""),792678.0)</f>
        <v>792678</v>
      </c>
    </row>
    <row r="1895">
      <c r="A1895" s="2">
        <f>IFERROR(__xludf.DUMMYFUNCTION("""COMPUTED_VALUE"""),41915.666666666664)</f>
        <v>41915.66667</v>
      </c>
      <c r="B1895" s="1">
        <f>IFERROR(__xludf.DUMMYFUNCTION("""COMPUTED_VALUE"""),2.76)</f>
        <v>2.76</v>
      </c>
      <c r="C1895" s="1">
        <f>IFERROR(__xludf.DUMMYFUNCTION("""COMPUTED_VALUE"""),2.79)</f>
        <v>2.79</v>
      </c>
      <c r="D1895" s="1">
        <f>IFERROR(__xludf.DUMMYFUNCTION("""COMPUTED_VALUE"""),2.71)</f>
        <v>2.71</v>
      </c>
      <c r="E1895" s="1">
        <f>IFERROR(__xludf.DUMMYFUNCTION("""COMPUTED_VALUE"""),2.72)</f>
        <v>2.72</v>
      </c>
      <c r="F1895" s="1">
        <f>IFERROR(__xludf.DUMMYFUNCTION("""COMPUTED_VALUE"""),369665.0)</f>
        <v>369665</v>
      </c>
    </row>
    <row r="1896">
      <c r="A1896" s="2">
        <f>IFERROR(__xludf.DUMMYFUNCTION("""COMPUTED_VALUE"""),41918.666666666664)</f>
        <v>41918.66667</v>
      </c>
      <c r="B1896" s="1">
        <f>IFERROR(__xludf.DUMMYFUNCTION("""COMPUTED_VALUE"""),2.74)</f>
        <v>2.74</v>
      </c>
      <c r="C1896" s="1">
        <f>IFERROR(__xludf.DUMMYFUNCTION("""COMPUTED_VALUE"""),2.74)</f>
        <v>2.74</v>
      </c>
      <c r="D1896" s="1">
        <f>IFERROR(__xludf.DUMMYFUNCTION("""COMPUTED_VALUE"""),2.47)</f>
        <v>2.47</v>
      </c>
      <c r="E1896" s="1">
        <f>IFERROR(__xludf.DUMMYFUNCTION("""COMPUTED_VALUE"""),2.52)</f>
        <v>2.52</v>
      </c>
      <c r="F1896" s="1">
        <f>IFERROR(__xludf.DUMMYFUNCTION("""COMPUTED_VALUE"""),1151777.0)</f>
        <v>1151777</v>
      </c>
    </row>
    <row r="1897">
      <c r="A1897" s="2">
        <f>IFERROR(__xludf.DUMMYFUNCTION("""COMPUTED_VALUE"""),41919.666666666664)</f>
        <v>41919.66667</v>
      </c>
      <c r="B1897" s="1">
        <f>IFERROR(__xludf.DUMMYFUNCTION("""COMPUTED_VALUE"""),2.5)</f>
        <v>2.5</v>
      </c>
      <c r="C1897" s="1">
        <f>IFERROR(__xludf.DUMMYFUNCTION("""COMPUTED_VALUE"""),2.53)</f>
        <v>2.53</v>
      </c>
      <c r="D1897" s="1">
        <f>IFERROR(__xludf.DUMMYFUNCTION("""COMPUTED_VALUE"""),2.45)</f>
        <v>2.45</v>
      </c>
      <c r="E1897" s="1">
        <f>IFERROR(__xludf.DUMMYFUNCTION("""COMPUTED_VALUE"""),2.46)</f>
        <v>2.46</v>
      </c>
      <c r="F1897" s="1">
        <f>IFERROR(__xludf.DUMMYFUNCTION("""COMPUTED_VALUE"""),623811.0)</f>
        <v>623811</v>
      </c>
    </row>
    <row r="1898">
      <c r="A1898" s="2">
        <f>IFERROR(__xludf.DUMMYFUNCTION("""COMPUTED_VALUE"""),41920.666666666664)</f>
        <v>41920.66667</v>
      </c>
      <c r="B1898" s="1">
        <f>IFERROR(__xludf.DUMMYFUNCTION("""COMPUTED_VALUE"""),2.4)</f>
        <v>2.4</v>
      </c>
      <c r="C1898" s="1">
        <f>IFERROR(__xludf.DUMMYFUNCTION("""COMPUTED_VALUE"""),2.46)</f>
        <v>2.46</v>
      </c>
      <c r="D1898" s="1">
        <f>IFERROR(__xludf.DUMMYFUNCTION("""COMPUTED_VALUE"""),2.31)</f>
        <v>2.31</v>
      </c>
      <c r="E1898" s="1">
        <f>IFERROR(__xludf.DUMMYFUNCTION("""COMPUTED_VALUE"""),2.42)</f>
        <v>2.42</v>
      </c>
      <c r="F1898" s="1">
        <f>IFERROR(__xludf.DUMMYFUNCTION("""COMPUTED_VALUE"""),981670.0)</f>
        <v>981670</v>
      </c>
    </row>
    <row r="1899">
      <c r="A1899" s="2">
        <f>IFERROR(__xludf.DUMMYFUNCTION("""COMPUTED_VALUE"""),41921.666666666664)</f>
        <v>41921.66667</v>
      </c>
      <c r="B1899" s="1">
        <f>IFERROR(__xludf.DUMMYFUNCTION("""COMPUTED_VALUE"""),2.42)</f>
        <v>2.42</v>
      </c>
      <c r="C1899" s="1">
        <f>IFERROR(__xludf.DUMMYFUNCTION("""COMPUTED_VALUE"""),2.42)</f>
        <v>2.42</v>
      </c>
      <c r="D1899" s="1">
        <f>IFERROR(__xludf.DUMMYFUNCTION("""COMPUTED_VALUE"""),2.34)</f>
        <v>2.34</v>
      </c>
      <c r="E1899" s="1">
        <f>IFERROR(__xludf.DUMMYFUNCTION("""COMPUTED_VALUE"""),2.35)</f>
        <v>2.35</v>
      </c>
      <c r="F1899" s="1">
        <f>IFERROR(__xludf.DUMMYFUNCTION("""COMPUTED_VALUE"""),531128.0)</f>
        <v>531128</v>
      </c>
    </row>
    <row r="1900">
      <c r="A1900" s="2">
        <f>IFERROR(__xludf.DUMMYFUNCTION("""COMPUTED_VALUE"""),41922.666666666664)</f>
        <v>41922.66667</v>
      </c>
      <c r="B1900" s="1">
        <f>IFERROR(__xludf.DUMMYFUNCTION("""COMPUTED_VALUE"""),2.31)</f>
        <v>2.31</v>
      </c>
      <c r="C1900" s="1">
        <f>IFERROR(__xludf.DUMMYFUNCTION("""COMPUTED_VALUE"""),2.36)</f>
        <v>2.36</v>
      </c>
      <c r="D1900" s="1">
        <f>IFERROR(__xludf.DUMMYFUNCTION("""COMPUTED_VALUE"""),2.24)</f>
        <v>2.24</v>
      </c>
      <c r="E1900" s="1">
        <f>IFERROR(__xludf.DUMMYFUNCTION("""COMPUTED_VALUE"""),2.29)</f>
        <v>2.29</v>
      </c>
      <c r="F1900" s="1">
        <f>IFERROR(__xludf.DUMMYFUNCTION("""COMPUTED_VALUE"""),644989.0)</f>
        <v>644989</v>
      </c>
    </row>
    <row r="1901">
      <c r="A1901" s="2">
        <f>IFERROR(__xludf.DUMMYFUNCTION("""COMPUTED_VALUE"""),41925.666666666664)</f>
        <v>41925.66667</v>
      </c>
      <c r="B1901" s="1">
        <f>IFERROR(__xludf.DUMMYFUNCTION("""COMPUTED_VALUE"""),2.29)</f>
        <v>2.29</v>
      </c>
      <c r="C1901" s="1">
        <f>IFERROR(__xludf.DUMMYFUNCTION("""COMPUTED_VALUE"""),2.36)</f>
        <v>2.36</v>
      </c>
      <c r="D1901" s="1">
        <f>IFERROR(__xludf.DUMMYFUNCTION("""COMPUTED_VALUE"""),2.27)</f>
        <v>2.27</v>
      </c>
      <c r="E1901" s="1">
        <f>IFERROR(__xludf.DUMMYFUNCTION("""COMPUTED_VALUE"""),2.31)</f>
        <v>2.31</v>
      </c>
      <c r="F1901" s="1">
        <f>IFERROR(__xludf.DUMMYFUNCTION("""COMPUTED_VALUE"""),573873.0)</f>
        <v>573873</v>
      </c>
    </row>
    <row r="1902">
      <c r="A1902" s="2">
        <f>IFERROR(__xludf.DUMMYFUNCTION("""COMPUTED_VALUE"""),41926.666666666664)</f>
        <v>41926.66667</v>
      </c>
      <c r="B1902" s="1">
        <f>IFERROR(__xludf.DUMMYFUNCTION("""COMPUTED_VALUE"""),2.29)</f>
        <v>2.29</v>
      </c>
      <c r="C1902" s="1">
        <f>IFERROR(__xludf.DUMMYFUNCTION("""COMPUTED_VALUE"""),2.4)</f>
        <v>2.4</v>
      </c>
      <c r="D1902" s="1">
        <f>IFERROR(__xludf.DUMMYFUNCTION("""COMPUTED_VALUE"""),2.28)</f>
        <v>2.28</v>
      </c>
      <c r="E1902" s="1">
        <f>IFERROR(__xludf.DUMMYFUNCTION("""COMPUTED_VALUE"""),2.32)</f>
        <v>2.32</v>
      </c>
      <c r="F1902" s="1">
        <f>IFERROR(__xludf.DUMMYFUNCTION("""COMPUTED_VALUE"""),411946.0)</f>
        <v>411946</v>
      </c>
    </row>
    <row r="1903">
      <c r="A1903" s="2">
        <f>IFERROR(__xludf.DUMMYFUNCTION("""COMPUTED_VALUE"""),41927.666666666664)</f>
        <v>41927.66667</v>
      </c>
      <c r="B1903" s="1">
        <f>IFERROR(__xludf.DUMMYFUNCTION("""COMPUTED_VALUE"""),2.28)</f>
        <v>2.28</v>
      </c>
      <c r="C1903" s="1">
        <f>IFERROR(__xludf.DUMMYFUNCTION("""COMPUTED_VALUE"""),2.4)</f>
        <v>2.4</v>
      </c>
      <c r="D1903" s="1">
        <f>IFERROR(__xludf.DUMMYFUNCTION("""COMPUTED_VALUE"""),2.23)</f>
        <v>2.23</v>
      </c>
      <c r="E1903" s="1">
        <f>IFERROR(__xludf.DUMMYFUNCTION("""COMPUTED_VALUE"""),2.39)</f>
        <v>2.39</v>
      </c>
      <c r="F1903" s="1">
        <f>IFERROR(__xludf.DUMMYFUNCTION("""COMPUTED_VALUE"""),517906.0)</f>
        <v>517906</v>
      </c>
    </row>
    <row r="1904">
      <c r="A1904" s="2">
        <f>IFERROR(__xludf.DUMMYFUNCTION("""COMPUTED_VALUE"""),41928.666666666664)</f>
        <v>41928.66667</v>
      </c>
      <c r="B1904" s="1">
        <f>IFERROR(__xludf.DUMMYFUNCTION("""COMPUTED_VALUE"""),2.19)</f>
        <v>2.19</v>
      </c>
      <c r="C1904" s="1">
        <f>IFERROR(__xludf.DUMMYFUNCTION("""COMPUTED_VALUE"""),2.42)</f>
        <v>2.42</v>
      </c>
      <c r="D1904" s="1">
        <f>IFERROR(__xludf.DUMMYFUNCTION("""COMPUTED_VALUE"""),2.15)</f>
        <v>2.15</v>
      </c>
      <c r="E1904" s="1">
        <f>IFERROR(__xludf.DUMMYFUNCTION("""COMPUTED_VALUE"""),2.4)</f>
        <v>2.4</v>
      </c>
      <c r="F1904" s="1">
        <f>IFERROR(__xludf.DUMMYFUNCTION("""COMPUTED_VALUE"""),442705.0)</f>
        <v>442705</v>
      </c>
    </row>
    <row r="1905">
      <c r="A1905" s="2">
        <f>IFERROR(__xludf.DUMMYFUNCTION("""COMPUTED_VALUE"""),41929.666666666664)</f>
        <v>41929.66667</v>
      </c>
      <c r="B1905" s="1">
        <f>IFERROR(__xludf.DUMMYFUNCTION("""COMPUTED_VALUE"""),2.44)</f>
        <v>2.44</v>
      </c>
      <c r="C1905" s="1">
        <f>IFERROR(__xludf.DUMMYFUNCTION("""COMPUTED_VALUE"""),2.52)</f>
        <v>2.52</v>
      </c>
      <c r="D1905" s="1">
        <f>IFERROR(__xludf.DUMMYFUNCTION("""COMPUTED_VALUE"""),2.44)</f>
        <v>2.44</v>
      </c>
      <c r="E1905" s="1">
        <f>IFERROR(__xludf.DUMMYFUNCTION("""COMPUTED_VALUE"""),2.5)</f>
        <v>2.5</v>
      </c>
      <c r="F1905" s="1">
        <f>IFERROR(__xludf.DUMMYFUNCTION("""COMPUTED_VALUE"""),493370.0)</f>
        <v>493370</v>
      </c>
    </row>
    <row r="1906">
      <c r="A1906" s="2">
        <f>IFERROR(__xludf.DUMMYFUNCTION("""COMPUTED_VALUE"""),41932.666666666664)</f>
        <v>41932.66667</v>
      </c>
      <c r="B1906" s="1">
        <f>IFERROR(__xludf.DUMMYFUNCTION("""COMPUTED_VALUE"""),2.5)</f>
        <v>2.5</v>
      </c>
      <c r="C1906" s="1">
        <f>IFERROR(__xludf.DUMMYFUNCTION("""COMPUTED_VALUE"""),2.57)</f>
        <v>2.57</v>
      </c>
      <c r="D1906" s="1">
        <f>IFERROR(__xludf.DUMMYFUNCTION("""COMPUTED_VALUE"""),2.5)</f>
        <v>2.5</v>
      </c>
      <c r="E1906" s="1">
        <f>IFERROR(__xludf.DUMMYFUNCTION("""COMPUTED_VALUE"""),2.54)</f>
        <v>2.54</v>
      </c>
      <c r="F1906" s="1">
        <f>IFERROR(__xludf.DUMMYFUNCTION("""COMPUTED_VALUE"""),462113.0)</f>
        <v>462113</v>
      </c>
    </row>
    <row r="1907">
      <c r="A1907" s="2">
        <f>IFERROR(__xludf.DUMMYFUNCTION("""COMPUTED_VALUE"""),41933.666666666664)</f>
        <v>41933.66667</v>
      </c>
      <c r="B1907" s="1">
        <f>IFERROR(__xludf.DUMMYFUNCTION("""COMPUTED_VALUE"""),2.55)</f>
        <v>2.55</v>
      </c>
      <c r="C1907" s="1">
        <f>IFERROR(__xludf.DUMMYFUNCTION("""COMPUTED_VALUE"""),2.66)</f>
        <v>2.66</v>
      </c>
      <c r="D1907" s="1">
        <f>IFERROR(__xludf.DUMMYFUNCTION("""COMPUTED_VALUE"""),2.55)</f>
        <v>2.55</v>
      </c>
      <c r="E1907" s="1">
        <f>IFERROR(__xludf.DUMMYFUNCTION("""COMPUTED_VALUE"""),2.65)</f>
        <v>2.65</v>
      </c>
      <c r="F1907" s="1">
        <f>IFERROR(__xludf.DUMMYFUNCTION("""COMPUTED_VALUE"""),643736.0)</f>
        <v>643736</v>
      </c>
    </row>
    <row r="1908">
      <c r="A1908" s="2">
        <f>IFERROR(__xludf.DUMMYFUNCTION("""COMPUTED_VALUE"""),41934.666666666664)</f>
        <v>41934.66667</v>
      </c>
      <c r="B1908" s="1">
        <f>IFERROR(__xludf.DUMMYFUNCTION("""COMPUTED_VALUE"""),2.87)</f>
        <v>2.87</v>
      </c>
      <c r="C1908" s="1">
        <f>IFERROR(__xludf.DUMMYFUNCTION("""COMPUTED_VALUE"""),3.02)</f>
        <v>3.02</v>
      </c>
      <c r="D1908" s="1">
        <f>IFERROR(__xludf.DUMMYFUNCTION("""COMPUTED_VALUE"""),2.81)</f>
        <v>2.81</v>
      </c>
      <c r="E1908" s="1">
        <f>IFERROR(__xludf.DUMMYFUNCTION("""COMPUTED_VALUE"""),2.88)</f>
        <v>2.88</v>
      </c>
      <c r="F1908" s="1">
        <f>IFERROR(__xludf.DUMMYFUNCTION("""COMPUTED_VALUE"""),2198632.0)</f>
        <v>2198632</v>
      </c>
    </row>
    <row r="1909">
      <c r="A1909" s="2">
        <f>IFERROR(__xludf.DUMMYFUNCTION("""COMPUTED_VALUE"""),41935.666666666664)</f>
        <v>41935.66667</v>
      </c>
      <c r="B1909" s="1">
        <f>IFERROR(__xludf.DUMMYFUNCTION("""COMPUTED_VALUE"""),2.93)</f>
        <v>2.93</v>
      </c>
      <c r="C1909" s="1">
        <f>IFERROR(__xludf.DUMMYFUNCTION("""COMPUTED_VALUE"""),3.08)</f>
        <v>3.08</v>
      </c>
      <c r="D1909" s="1">
        <f>IFERROR(__xludf.DUMMYFUNCTION("""COMPUTED_VALUE"""),2.92)</f>
        <v>2.92</v>
      </c>
      <c r="E1909" s="1">
        <f>IFERROR(__xludf.DUMMYFUNCTION("""COMPUTED_VALUE"""),3.08)</f>
        <v>3.08</v>
      </c>
      <c r="F1909" s="1">
        <f>IFERROR(__xludf.DUMMYFUNCTION("""COMPUTED_VALUE"""),887423.0)</f>
        <v>887423</v>
      </c>
    </row>
    <row r="1910">
      <c r="A1910" s="2">
        <f>IFERROR(__xludf.DUMMYFUNCTION("""COMPUTED_VALUE"""),41936.666666666664)</f>
        <v>41936.66667</v>
      </c>
      <c r="B1910" s="1">
        <f>IFERROR(__xludf.DUMMYFUNCTION("""COMPUTED_VALUE"""),3.03)</f>
        <v>3.03</v>
      </c>
      <c r="C1910" s="1">
        <f>IFERROR(__xludf.DUMMYFUNCTION("""COMPUTED_VALUE"""),3.1)</f>
        <v>3.1</v>
      </c>
      <c r="D1910" s="1">
        <f>IFERROR(__xludf.DUMMYFUNCTION("""COMPUTED_VALUE"""),3.01)</f>
        <v>3.01</v>
      </c>
      <c r="E1910" s="1">
        <f>IFERROR(__xludf.DUMMYFUNCTION("""COMPUTED_VALUE"""),3.06)</f>
        <v>3.06</v>
      </c>
      <c r="F1910" s="1">
        <f>IFERROR(__xludf.DUMMYFUNCTION("""COMPUTED_VALUE"""),913954.0)</f>
        <v>913954</v>
      </c>
    </row>
    <row r="1911">
      <c r="A1911" s="2">
        <f>IFERROR(__xludf.DUMMYFUNCTION("""COMPUTED_VALUE"""),41939.666666666664)</f>
        <v>41939.66667</v>
      </c>
      <c r="B1911" s="1">
        <f>IFERROR(__xludf.DUMMYFUNCTION("""COMPUTED_VALUE"""),3.02)</f>
        <v>3.02</v>
      </c>
      <c r="C1911" s="1">
        <f>IFERROR(__xludf.DUMMYFUNCTION("""COMPUTED_VALUE"""),3.08)</f>
        <v>3.08</v>
      </c>
      <c r="D1911" s="1">
        <f>IFERROR(__xludf.DUMMYFUNCTION("""COMPUTED_VALUE"""),3.01)</f>
        <v>3.01</v>
      </c>
      <c r="E1911" s="1">
        <f>IFERROR(__xludf.DUMMYFUNCTION("""COMPUTED_VALUE"""),3.07)</f>
        <v>3.07</v>
      </c>
      <c r="F1911" s="1">
        <f>IFERROR(__xludf.DUMMYFUNCTION("""COMPUTED_VALUE"""),611653.0)</f>
        <v>611653</v>
      </c>
    </row>
    <row r="1912">
      <c r="A1912" s="2">
        <f>IFERROR(__xludf.DUMMYFUNCTION("""COMPUTED_VALUE"""),41940.666666666664)</f>
        <v>41940.66667</v>
      </c>
      <c r="B1912" s="1">
        <f>IFERROR(__xludf.DUMMYFUNCTION("""COMPUTED_VALUE"""),3.09)</f>
        <v>3.09</v>
      </c>
      <c r="C1912" s="1">
        <f>IFERROR(__xludf.DUMMYFUNCTION("""COMPUTED_VALUE"""),3.19)</f>
        <v>3.19</v>
      </c>
      <c r="D1912" s="1">
        <f>IFERROR(__xludf.DUMMYFUNCTION("""COMPUTED_VALUE"""),3.07)</f>
        <v>3.07</v>
      </c>
      <c r="E1912" s="1">
        <f>IFERROR(__xludf.DUMMYFUNCTION("""COMPUTED_VALUE"""),3.15)</f>
        <v>3.15</v>
      </c>
      <c r="F1912" s="1">
        <f>IFERROR(__xludf.DUMMYFUNCTION("""COMPUTED_VALUE"""),774565.0)</f>
        <v>774565</v>
      </c>
    </row>
    <row r="1913">
      <c r="A1913" s="2">
        <f>IFERROR(__xludf.DUMMYFUNCTION("""COMPUTED_VALUE"""),41941.666666666664)</f>
        <v>41941.66667</v>
      </c>
      <c r="B1913" s="1">
        <f>IFERROR(__xludf.DUMMYFUNCTION("""COMPUTED_VALUE"""),3.17)</f>
        <v>3.17</v>
      </c>
      <c r="C1913" s="1">
        <f>IFERROR(__xludf.DUMMYFUNCTION("""COMPUTED_VALUE"""),3.18)</f>
        <v>3.18</v>
      </c>
      <c r="D1913" s="1">
        <f>IFERROR(__xludf.DUMMYFUNCTION("""COMPUTED_VALUE"""),3.07)</f>
        <v>3.07</v>
      </c>
      <c r="E1913" s="1">
        <f>IFERROR(__xludf.DUMMYFUNCTION("""COMPUTED_VALUE"""),3.16)</f>
        <v>3.16</v>
      </c>
      <c r="F1913" s="1">
        <f>IFERROR(__xludf.DUMMYFUNCTION("""COMPUTED_VALUE"""),453736.0)</f>
        <v>453736</v>
      </c>
    </row>
    <row r="1914">
      <c r="A1914" s="2">
        <f>IFERROR(__xludf.DUMMYFUNCTION("""COMPUTED_VALUE"""),41942.666666666664)</f>
        <v>41942.66667</v>
      </c>
      <c r="B1914" s="1">
        <f>IFERROR(__xludf.DUMMYFUNCTION("""COMPUTED_VALUE"""),3.15)</f>
        <v>3.15</v>
      </c>
      <c r="C1914" s="1">
        <f>IFERROR(__xludf.DUMMYFUNCTION("""COMPUTED_VALUE"""),3.21)</f>
        <v>3.21</v>
      </c>
      <c r="D1914" s="1">
        <f>IFERROR(__xludf.DUMMYFUNCTION("""COMPUTED_VALUE"""),3.12)</f>
        <v>3.12</v>
      </c>
      <c r="E1914" s="1">
        <f>IFERROR(__xludf.DUMMYFUNCTION("""COMPUTED_VALUE"""),3.18)</f>
        <v>3.18</v>
      </c>
      <c r="F1914" s="1">
        <f>IFERROR(__xludf.DUMMYFUNCTION("""COMPUTED_VALUE"""),393757.0)</f>
        <v>393757</v>
      </c>
    </row>
    <row r="1915">
      <c r="A1915" s="2">
        <f>IFERROR(__xludf.DUMMYFUNCTION("""COMPUTED_VALUE"""),41943.666666666664)</f>
        <v>41943.66667</v>
      </c>
      <c r="B1915" s="1">
        <f>IFERROR(__xludf.DUMMYFUNCTION("""COMPUTED_VALUE"""),3.22)</f>
        <v>3.22</v>
      </c>
      <c r="C1915" s="1">
        <f>IFERROR(__xludf.DUMMYFUNCTION("""COMPUTED_VALUE"""),3.24)</f>
        <v>3.24</v>
      </c>
      <c r="D1915" s="1">
        <f>IFERROR(__xludf.DUMMYFUNCTION("""COMPUTED_VALUE"""),3.18)</f>
        <v>3.18</v>
      </c>
      <c r="E1915" s="1">
        <f>IFERROR(__xludf.DUMMYFUNCTION("""COMPUTED_VALUE"""),3.2)</f>
        <v>3.2</v>
      </c>
      <c r="F1915" s="1">
        <f>IFERROR(__xludf.DUMMYFUNCTION("""COMPUTED_VALUE"""),504778.0)</f>
        <v>504778</v>
      </c>
    </row>
    <row r="1916">
      <c r="A1916" s="2">
        <f>IFERROR(__xludf.DUMMYFUNCTION("""COMPUTED_VALUE"""),41946.666666666664)</f>
        <v>41946.66667</v>
      </c>
      <c r="B1916" s="1">
        <f>IFERROR(__xludf.DUMMYFUNCTION("""COMPUTED_VALUE"""),3.2)</f>
        <v>3.2</v>
      </c>
      <c r="C1916" s="1">
        <f>IFERROR(__xludf.DUMMYFUNCTION("""COMPUTED_VALUE"""),3.3)</f>
        <v>3.3</v>
      </c>
      <c r="D1916" s="1">
        <f>IFERROR(__xludf.DUMMYFUNCTION("""COMPUTED_VALUE"""),3.17)</f>
        <v>3.17</v>
      </c>
      <c r="E1916" s="1">
        <f>IFERROR(__xludf.DUMMYFUNCTION("""COMPUTED_VALUE"""),3.27)</f>
        <v>3.27</v>
      </c>
      <c r="F1916" s="1">
        <f>IFERROR(__xludf.DUMMYFUNCTION("""COMPUTED_VALUE"""),495810.0)</f>
        <v>495810</v>
      </c>
    </row>
    <row r="1917">
      <c r="A1917" s="2">
        <f>IFERROR(__xludf.DUMMYFUNCTION("""COMPUTED_VALUE"""),41947.666666666664)</f>
        <v>41947.66667</v>
      </c>
      <c r="B1917" s="1">
        <f>IFERROR(__xludf.DUMMYFUNCTION("""COMPUTED_VALUE"""),3.27)</f>
        <v>3.27</v>
      </c>
      <c r="C1917" s="1">
        <f>IFERROR(__xludf.DUMMYFUNCTION("""COMPUTED_VALUE"""),3.3)</f>
        <v>3.3</v>
      </c>
      <c r="D1917" s="1">
        <f>IFERROR(__xludf.DUMMYFUNCTION("""COMPUTED_VALUE"""),3.21)</f>
        <v>3.21</v>
      </c>
      <c r="E1917" s="1">
        <f>IFERROR(__xludf.DUMMYFUNCTION("""COMPUTED_VALUE"""),3.28)</f>
        <v>3.28</v>
      </c>
      <c r="F1917" s="1">
        <f>IFERROR(__xludf.DUMMYFUNCTION("""COMPUTED_VALUE"""),432227.0)</f>
        <v>432227</v>
      </c>
    </row>
    <row r="1918">
      <c r="A1918" s="2">
        <f>IFERROR(__xludf.DUMMYFUNCTION("""COMPUTED_VALUE"""),41948.666666666664)</f>
        <v>41948.66667</v>
      </c>
      <c r="B1918" s="1">
        <f>IFERROR(__xludf.DUMMYFUNCTION("""COMPUTED_VALUE"""),3.3)</f>
        <v>3.3</v>
      </c>
      <c r="C1918" s="1">
        <f>IFERROR(__xludf.DUMMYFUNCTION("""COMPUTED_VALUE"""),3.31)</f>
        <v>3.31</v>
      </c>
      <c r="D1918" s="1">
        <f>IFERROR(__xludf.DUMMYFUNCTION("""COMPUTED_VALUE"""),3.19)</f>
        <v>3.19</v>
      </c>
      <c r="E1918" s="1">
        <f>IFERROR(__xludf.DUMMYFUNCTION("""COMPUTED_VALUE"""),3.23)</f>
        <v>3.23</v>
      </c>
      <c r="F1918" s="1">
        <f>IFERROR(__xludf.DUMMYFUNCTION("""COMPUTED_VALUE"""),528212.0)</f>
        <v>528212</v>
      </c>
    </row>
    <row r="1919">
      <c r="A1919" s="2">
        <f>IFERROR(__xludf.DUMMYFUNCTION("""COMPUTED_VALUE"""),41949.666666666664)</f>
        <v>41949.66667</v>
      </c>
      <c r="B1919" s="1">
        <f>IFERROR(__xludf.DUMMYFUNCTION("""COMPUTED_VALUE"""),3.26)</f>
        <v>3.26</v>
      </c>
      <c r="C1919" s="1">
        <f>IFERROR(__xludf.DUMMYFUNCTION("""COMPUTED_VALUE"""),3.32)</f>
        <v>3.32</v>
      </c>
      <c r="D1919" s="1">
        <f>IFERROR(__xludf.DUMMYFUNCTION("""COMPUTED_VALUE"""),3.24)</f>
        <v>3.24</v>
      </c>
      <c r="E1919" s="1">
        <f>IFERROR(__xludf.DUMMYFUNCTION("""COMPUTED_VALUE"""),3.29)</f>
        <v>3.29</v>
      </c>
      <c r="F1919" s="1">
        <f>IFERROR(__xludf.DUMMYFUNCTION("""COMPUTED_VALUE"""),539556.0)</f>
        <v>539556</v>
      </c>
    </row>
    <row r="1920">
      <c r="A1920" s="2">
        <f>IFERROR(__xludf.DUMMYFUNCTION("""COMPUTED_VALUE"""),41950.666666666664)</f>
        <v>41950.66667</v>
      </c>
      <c r="B1920" s="1">
        <f>IFERROR(__xludf.DUMMYFUNCTION("""COMPUTED_VALUE"""),3.29)</f>
        <v>3.29</v>
      </c>
      <c r="C1920" s="1">
        <f>IFERROR(__xludf.DUMMYFUNCTION("""COMPUTED_VALUE"""),3.4)</f>
        <v>3.4</v>
      </c>
      <c r="D1920" s="1">
        <f>IFERROR(__xludf.DUMMYFUNCTION("""COMPUTED_VALUE"""),3.27)</f>
        <v>3.27</v>
      </c>
      <c r="E1920" s="1">
        <f>IFERROR(__xludf.DUMMYFUNCTION("""COMPUTED_VALUE"""),3.39)</f>
        <v>3.39</v>
      </c>
      <c r="F1920" s="1">
        <f>IFERROR(__xludf.DUMMYFUNCTION("""COMPUTED_VALUE"""),484517.0)</f>
        <v>484517</v>
      </c>
    </row>
    <row r="1921">
      <c r="A1921" s="2">
        <f>IFERROR(__xludf.DUMMYFUNCTION("""COMPUTED_VALUE"""),41953.66666666667)</f>
        <v>41953.66667</v>
      </c>
      <c r="B1921" s="1">
        <f>IFERROR(__xludf.DUMMYFUNCTION("""COMPUTED_VALUE"""),3.39)</f>
        <v>3.39</v>
      </c>
      <c r="C1921" s="1">
        <f>IFERROR(__xludf.DUMMYFUNCTION("""COMPUTED_VALUE"""),3.4)</f>
        <v>3.4</v>
      </c>
      <c r="D1921" s="1">
        <f>IFERROR(__xludf.DUMMYFUNCTION("""COMPUTED_VALUE"""),3.33)</f>
        <v>3.33</v>
      </c>
      <c r="E1921" s="1">
        <f>IFERROR(__xludf.DUMMYFUNCTION("""COMPUTED_VALUE"""),3.37)</f>
        <v>3.37</v>
      </c>
      <c r="F1921" s="1">
        <f>IFERROR(__xludf.DUMMYFUNCTION("""COMPUTED_VALUE"""),406928.0)</f>
        <v>406928</v>
      </c>
    </row>
    <row r="1922">
      <c r="A1922" s="2">
        <f>IFERROR(__xludf.DUMMYFUNCTION("""COMPUTED_VALUE"""),41954.66666666667)</f>
        <v>41954.66667</v>
      </c>
      <c r="B1922" s="1">
        <f>IFERROR(__xludf.DUMMYFUNCTION("""COMPUTED_VALUE"""),3.35)</f>
        <v>3.35</v>
      </c>
      <c r="C1922" s="1">
        <f>IFERROR(__xludf.DUMMYFUNCTION("""COMPUTED_VALUE"""),3.4)</f>
        <v>3.4</v>
      </c>
      <c r="D1922" s="1">
        <f>IFERROR(__xludf.DUMMYFUNCTION("""COMPUTED_VALUE"""),3.28)</f>
        <v>3.28</v>
      </c>
      <c r="E1922" s="1">
        <f>IFERROR(__xludf.DUMMYFUNCTION("""COMPUTED_VALUE"""),3.37)</f>
        <v>3.37</v>
      </c>
      <c r="F1922" s="1">
        <f>IFERROR(__xludf.DUMMYFUNCTION("""COMPUTED_VALUE"""),405074.0)</f>
        <v>405074</v>
      </c>
    </row>
    <row r="1923">
      <c r="A1923" s="2">
        <f>IFERROR(__xludf.DUMMYFUNCTION("""COMPUTED_VALUE"""),41955.66666666667)</f>
        <v>41955.66667</v>
      </c>
      <c r="B1923" s="1">
        <f>IFERROR(__xludf.DUMMYFUNCTION("""COMPUTED_VALUE"""),3.33)</f>
        <v>3.33</v>
      </c>
      <c r="C1923" s="1">
        <f>IFERROR(__xludf.DUMMYFUNCTION("""COMPUTED_VALUE"""),3.38)</f>
        <v>3.38</v>
      </c>
      <c r="D1923" s="1">
        <f>IFERROR(__xludf.DUMMYFUNCTION("""COMPUTED_VALUE"""),3.33)</f>
        <v>3.33</v>
      </c>
      <c r="E1923" s="1">
        <f>IFERROR(__xludf.DUMMYFUNCTION("""COMPUTED_VALUE"""),3.37)</f>
        <v>3.37</v>
      </c>
      <c r="F1923" s="1">
        <f>IFERROR(__xludf.DUMMYFUNCTION("""COMPUTED_VALUE"""),229321.0)</f>
        <v>229321</v>
      </c>
    </row>
    <row r="1924">
      <c r="A1924" s="2">
        <f>IFERROR(__xludf.DUMMYFUNCTION("""COMPUTED_VALUE"""),41956.66666666667)</f>
        <v>41956.66667</v>
      </c>
      <c r="B1924" s="1">
        <f>IFERROR(__xludf.DUMMYFUNCTION("""COMPUTED_VALUE"""),3.38)</f>
        <v>3.38</v>
      </c>
      <c r="C1924" s="1">
        <f>IFERROR(__xludf.DUMMYFUNCTION("""COMPUTED_VALUE"""),3.44)</f>
        <v>3.44</v>
      </c>
      <c r="D1924" s="1">
        <f>IFERROR(__xludf.DUMMYFUNCTION("""COMPUTED_VALUE"""),3.37)</f>
        <v>3.37</v>
      </c>
      <c r="E1924" s="1">
        <f>IFERROR(__xludf.DUMMYFUNCTION("""COMPUTED_VALUE"""),3.37)</f>
        <v>3.37</v>
      </c>
      <c r="F1924" s="1">
        <f>IFERROR(__xludf.DUMMYFUNCTION("""COMPUTED_VALUE"""),265566.0)</f>
        <v>265566</v>
      </c>
    </row>
    <row r="1925">
      <c r="A1925" s="2">
        <f>IFERROR(__xludf.DUMMYFUNCTION("""COMPUTED_VALUE"""),41957.66666666667)</f>
        <v>41957.66667</v>
      </c>
      <c r="B1925" s="1">
        <f>IFERROR(__xludf.DUMMYFUNCTION("""COMPUTED_VALUE"""),3.4)</f>
        <v>3.4</v>
      </c>
      <c r="C1925" s="1">
        <f>IFERROR(__xludf.DUMMYFUNCTION("""COMPUTED_VALUE"""),3.5)</f>
        <v>3.5</v>
      </c>
      <c r="D1925" s="1">
        <f>IFERROR(__xludf.DUMMYFUNCTION("""COMPUTED_VALUE"""),3.38)</f>
        <v>3.38</v>
      </c>
      <c r="E1925" s="1">
        <f>IFERROR(__xludf.DUMMYFUNCTION("""COMPUTED_VALUE"""),3.47)</f>
        <v>3.47</v>
      </c>
      <c r="F1925" s="1">
        <f>IFERROR(__xludf.DUMMYFUNCTION("""COMPUTED_VALUE"""),424391.0)</f>
        <v>424391</v>
      </c>
    </row>
    <row r="1926">
      <c r="A1926" s="2">
        <f>IFERROR(__xludf.DUMMYFUNCTION("""COMPUTED_VALUE"""),41960.66666666667)</f>
        <v>41960.66667</v>
      </c>
      <c r="B1926" s="1">
        <f>IFERROR(__xludf.DUMMYFUNCTION("""COMPUTED_VALUE"""),3.47)</f>
        <v>3.47</v>
      </c>
      <c r="C1926" s="1">
        <f>IFERROR(__xludf.DUMMYFUNCTION("""COMPUTED_VALUE"""),3.48)</f>
        <v>3.48</v>
      </c>
      <c r="D1926" s="1">
        <f>IFERROR(__xludf.DUMMYFUNCTION("""COMPUTED_VALUE"""),3.38)</f>
        <v>3.38</v>
      </c>
      <c r="E1926" s="1">
        <f>IFERROR(__xludf.DUMMYFUNCTION("""COMPUTED_VALUE"""),3.42)</f>
        <v>3.42</v>
      </c>
      <c r="F1926" s="1">
        <f>IFERROR(__xludf.DUMMYFUNCTION("""COMPUTED_VALUE"""),408695.0)</f>
        <v>408695</v>
      </c>
    </row>
    <row r="1927">
      <c r="A1927" s="2">
        <f>IFERROR(__xludf.DUMMYFUNCTION("""COMPUTED_VALUE"""),41961.66666666667)</f>
        <v>41961.66667</v>
      </c>
      <c r="B1927" s="1">
        <f>IFERROR(__xludf.DUMMYFUNCTION("""COMPUTED_VALUE"""),3.44)</f>
        <v>3.44</v>
      </c>
      <c r="C1927" s="1">
        <f>IFERROR(__xludf.DUMMYFUNCTION("""COMPUTED_VALUE"""),3.46)</f>
        <v>3.46</v>
      </c>
      <c r="D1927" s="1">
        <f>IFERROR(__xludf.DUMMYFUNCTION("""COMPUTED_VALUE"""),3.39)</f>
        <v>3.39</v>
      </c>
      <c r="E1927" s="1">
        <f>IFERROR(__xludf.DUMMYFUNCTION("""COMPUTED_VALUE"""),3.42)</f>
        <v>3.42</v>
      </c>
      <c r="F1927" s="1">
        <f>IFERROR(__xludf.DUMMYFUNCTION("""COMPUTED_VALUE"""),559971.0)</f>
        <v>559971</v>
      </c>
    </row>
    <row r="1928">
      <c r="A1928" s="2">
        <f>IFERROR(__xludf.DUMMYFUNCTION("""COMPUTED_VALUE"""),41962.66666666667)</f>
        <v>41962.66667</v>
      </c>
      <c r="B1928" s="1">
        <f>IFERROR(__xludf.DUMMYFUNCTION("""COMPUTED_VALUE"""),3.4)</f>
        <v>3.4</v>
      </c>
      <c r="C1928" s="1">
        <f>IFERROR(__xludf.DUMMYFUNCTION("""COMPUTED_VALUE"""),3.44)</f>
        <v>3.44</v>
      </c>
      <c r="D1928" s="1">
        <f>IFERROR(__xludf.DUMMYFUNCTION("""COMPUTED_VALUE"""),3.32)</f>
        <v>3.32</v>
      </c>
      <c r="E1928" s="1">
        <f>IFERROR(__xludf.DUMMYFUNCTION("""COMPUTED_VALUE"""),3.35)</f>
        <v>3.35</v>
      </c>
      <c r="F1928" s="1">
        <f>IFERROR(__xludf.DUMMYFUNCTION("""COMPUTED_VALUE"""),416794.0)</f>
        <v>416794</v>
      </c>
    </row>
    <row r="1929">
      <c r="A1929" s="2">
        <f>IFERROR(__xludf.DUMMYFUNCTION("""COMPUTED_VALUE"""),41963.66666666667)</f>
        <v>41963.66667</v>
      </c>
      <c r="B1929" s="1">
        <f>IFERROR(__xludf.DUMMYFUNCTION("""COMPUTED_VALUE"""),3.34)</f>
        <v>3.34</v>
      </c>
      <c r="C1929" s="1">
        <f>IFERROR(__xludf.DUMMYFUNCTION("""COMPUTED_VALUE"""),3.35)</f>
        <v>3.35</v>
      </c>
      <c r="D1929" s="1">
        <f>IFERROR(__xludf.DUMMYFUNCTION("""COMPUTED_VALUE"""),3.23)</f>
        <v>3.23</v>
      </c>
      <c r="E1929" s="1">
        <f>IFERROR(__xludf.DUMMYFUNCTION("""COMPUTED_VALUE"""),3.34)</f>
        <v>3.34</v>
      </c>
      <c r="F1929" s="1">
        <f>IFERROR(__xludf.DUMMYFUNCTION("""COMPUTED_VALUE"""),473415.0)</f>
        <v>473415</v>
      </c>
    </row>
    <row r="1930">
      <c r="A1930" s="2">
        <f>IFERROR(__xludf.DUMMYFUNCTION("""COMPUTED_VALUE"""),41964.66666666667)</f>
        <v>41964.66667</v>
      </c>
      <c r="B1930" s="1">
        <f>IFERROR(__xludf.DUMMYFUNCTION("""COMPUTED_VALUE"""),3.41)</f>
        <v>3.41</v>
      </c>
      <c r="C1930" s="1">
        <f>IFERROR(__xludf.DUMMYFUNCTION("""COMPUTED_VALUE"""),3.46)</f>
        <v>3.46</v>
      </c>
      <c r="D1930" s="1">
        <f>IFERROR(__xludf.DUMMYFUNCTION("""COMPUTED_VALUE"""),3.37)</f>
        <v>3.37</v>
      </c>
      <c r="E1930" s="1">
        <f>IFERROR(__xludf.DUMMYFUNCTION("""COMPUTED_VALUE"""),3.38)</f>
        <v>3.38</v>
      </c>
      <c r="F1930" s="1">
        <f>IFERROR(__xludf.DUMMYFUNCTION("""COMPUTED_VALUE"""),316590.0)</f>
        <v>316590</v>
      </c>
    </row>
    <row r="1931">
      <c r="A1931" s="2">
        <f>IFERROR(__xludf.DUMMYFUNCTION("""COMPUTED_VALUE"""),41967.66666666667)</f>
        <v>41967.66667</v>
      </c>
      <c r="B1931" s="1">
        <f>IFERROR(__xludf.DUMMYFUNCTION("""COMPUTED_VALUE"""),3.44)</f>
        <v>3.44</v>
      </c>
      <c r="C1931" s="1">
        <f>IFERROR(__xludf.DUMMYFUNCTION("""COMPUTED_VALUE"""),3.44)</f>
        <v>3.44</v>
      </c>
      <c r="D1931" s="1">
        <f>IFERROR(__xludf.DUMMYFUNCTION("""COMPUTED_VALUE"""),3.34)</f>
        <v>3.34</v>
      </c>
      <c r="E1931" s="1">
        <f>IFERROR(__xludf.DUMMYFUNCTION("""COMPUTED_VALUE"""),3.4)</f>
        <v>3.4</v>
      </c>
      <c r="F1931" s="1">
        <f>IFERROR(__xludf.DUMMYFUNCTION("""COMPUTED_VALUE"""),332378.0)</f>
        <v>332378</v>
      </c>
    </row>
    <row r="1932">
      <c r="A1932" s="2">
        <f>IFERROR(__xludf.DUMMYFUNCTION("""COMPUTED_VALUE"""),41968.66666666667)</f>
        <v>41968.66667</v>
      </c>
      <c r="B1932" s="1">
        <f>IFERROR(__xludf.DUMMYFUNCTION("""COMPUTED_VALUE"""),3.42)</f>
        <v>3.42</v>
      </c>
      <c r="C1932" s="1">
        <f>IFERROR(__xludf.DUMMYFUNCTION("""COMPUTED_VALUE"""),3.42)</f>
        <v>3.42</v>
      </c>
      <c r="D1932" s="1">
        <f>IFERROR(__xludf.DUMMYFUNCTION("""COMPUTED_VALUE"""),3.35)</f>
        <v>3.35</v>
      </c>
      <c r="E1932" s="1">
        <f>IFERROR(__xludf.DUMMYFUNCTION("""COMPUTED_VALUE"""),3.36)</f>
        <v>3.36</v>
      </c>
      <c r="F1932" s="1">
        <f>IFERROR(__xludf.DUMMYFUNCTION("""COMPUTED_VALUE"""),177618.0)</f>
        <v>177618</v>
      </c>
    </row>
    <row r="1933">
      <c r="A1933" s="2">
        <f>IFERROR(__xludf.DUMMYFUNCTION("""COMPUTED_VALUE"""),41969.66666666667)</f>
        <v>41969.66667</v>
      </c>
      <c r="B1933" s="1">
        <f>IFERROR(__xludf.DUMMYFUNCTION("""COMPUTED_VALUE"""),3.38)</f>
        <v>3.38</v>
      </c>
      <c r="C1933" s="1">
        <f>IFERROR(__xludf.DUMMYFUNCTION("""COMPUTED_VALUE"""),3.39)</f>
        <v>3.39</v>
      </c>
      <c r="D1933" s="1">
        <f>IFERROR(__xludf.DUMMYFUNCTION("""COMPUTED_VALUE"""),3.34)</f>
        <v>3.34</v>
      </c>
      <c r="E1933" s="1">
        <f>IFERROR(__xludf.DUMMYFUNCTION("""COMPUTED_VALUE"""),3.38)</f>
        <v>3.38</v>
      </c>
      <c r="F1933" s="1">
        <f>IFERROR(__xludf.DUMMYFUNCTION("""COMPUTED_VALUE"""),227366.0)</f>
        <v>227366</v>
      </c>
    </row>
    <row r="1934">
      <c r="A1934" s="2">
        <f>IFERROR(__xludf.DUMMYFUNCTION("""COMPUTED_VALUE"""),41971.66666666667)</f>
        <v>41971.66667</v>
      </c>
      <c r="B1934" s="1">
        <f>IFERROR(__xludf.DUMMYFUNCTION("""COMPUTED_VALUE"""),3.4)</f>
        <v>3.4</v>
      </c>
      <c r="C1934" s="1">
        <f>IFERROR(__xludf.DUMMYFUNCTION("""COMPUTED_VALUE"""),3.4)</f>
        <v>3.4</v>
      </c>
      <c r="D1934" s="1">
        <f>IFERROR(__xludf.DUMMYFUNCTION("""COMPUTED_VALUE"""),3.32)</f>
        <v>3.32</v>
      </c>
      <c r="E1934" s="1">
        <f>IFERROR(__xludf.DUMMYFUNCTION("""COMPUTED_VALUE"""),3.33)</f>
        <v>3.33</v>
      </c>
      <c r="F1934" s="1">
        <f>IFERROR(__xludf.DUMMYFUNCTION("""COMPUTED_VALUE"""),145730.0)</f>
        <v>145730</v>
      </c>
    </row>
    <row r="1935">
      <c r="A1935" s="2">
        <f>IFERROR(__xludf.DUMMYFUNCTION("""COMPUTED_VALUE"""),41974.66666666667)</f>
        <v>41974.66667</v>
      </c>
      <c r="B1935" s="1">
        <f>IFERROR(__xludf.DUMMYFUNCTION("""COMPUTED_VALUE"""),3.3)</f>
        <v>3.3</v>
      </c>
      <c r="C1935" s="1">
        <f>IFERROR(__xludf.DUMMYFUNCTION("""COMPUTED_VALUE"""),3.32)</f>
        <v>3.32</v>
      </c>
      <c r="D1935" s="1">
        <f>IFERROR(__xludf.DUMMYFUNCTION("""COMPUTED_VALUE"""),3.22)</f>
        <v>3.22</v>
      </c>
      <c r="E1935" s="1">
        <f>IFERROR(__xludf.DUMMYFUNCTION("""COMPUTED_VALUE"""),3.22)</f>
        <v>3.22</v>
      </c>
      <c r="F1935" s="1">
        <f>IFERROR(__xludf.DUMMYFUNCTION("""COMPUTED_VALUE"""),293057.0)</f>
        <v>293057</v>
      </c>
    </row>
    <row r="1936">
      <c r="A1936" s="2">
        <f>IFERROR(__xludf.DUMMYFUNCTION("""COMPUTED_VALUE"""),41975.66666666667)</f>
        <v>41975.66667</v>
      </c>
      <c r="B1936" s="1">
        <f>IFERROR(__xludf.DUMMYFUNCTION("""COMPUTED_VALUE"""),3.21)</f>
        <v>3.21</v>
      </c>
      <c r="C1936" s="1">
        <f>IFERROR(__xludf.DUMMYFUNCTION("""COMPUTED_VALUE"""),3.28)</f>
        <v>3.28</v>
      </c>
      <c r="D1936" s="1">
        <f>IFERROR(__xludf.DUMMYFUNCTION("""COMPUTED_VALUE"""),3.16)</f>
        <v>3.16</v>
      </c>
      <c r="E1936" s="1">
        <f>IFERROR(__xludf.DUMMYFUNCTION("""COMPUTED_VALUE"""),3.28)</f>
        <v>3.28</v>
      </c>
      <c r="F1936" s="1">
        <f>IFERROR(__xludf.DUMMYFUNCTION("""COMPUTED_VALUE"""),283464.0)</f>
        <v>283464</v>
      </c>
    </row>
    <row r="1937">
      <c r="A1937" s="2">
        <f>IFERROR(__xludf.DUMMYFUNCTION("""COMPUTED_VALUE"""),41976.66666666667)</f>
        <v>41976.66667</v>
      </c>
      <c r="B1937" s="1">
        <f>IFERROR(__xludf.DUMMYFUNCTION("""COMPUTED_VALUE"""),3.26)</f>
        <v>3.26</v>
      </c>
      <c r="C1937" s="1">
        <f>IFERROR(__xludf.DUMMYFUNCTION("""COMPUTED_VALUE"""),3.39)</f>
        <v>3.39</v>
      </c>
      <c r="D1937" s="1">
        <f>IFERROR(__xludf.DUMMYFUNCTION("""COMPUTED_VALUE"""),3.25)</f>
        <v>3.25</v>
      </c>
      <c r="E1937" s="1">
        <f>IFERROR(__xludf.DUMMYFUNCTION("""COMPUTED_VALUE"""),3.37)</f>
        <v>3.37</v>
      </c>
      <c r="F1937" s="1">
        <f>IFERROR(__xludf.DUMMYFUNCTION("""COMPUTED_VALUE"""),344029.0)</f>
        <v>344029</v>
      </c>
    </row>
    <row r="1938">
      <c r="A1938" s="2">
        <f>IFERROR(__xludf.DUMMYFUNCTION("""COMPUTED_VALUE"""),41977.66666666667)</f>
        <v>41977.66667</v>
      </c>
      <c r="B1938" s="1">
        <f>IFERROR(__xludf.DUMMYFUNCTION("""COMPUTED_VALUE"""),3.38)</f>
        <v>3.38</v>
      </c>
      <c r="C1938" s="1">
        <f>IFERROR(__xludf.DUMMYFUNCTION("""COMPUTED_VALUE"""),3.39)</f>
        <v>3.39</v>
      </c>
      <c r="D1938" s="1">
        <f>IFERROR(__xludf.DUMMYFUNCTION("""COMPUTED_VALUE"""),3.3)</f>
        <v>3.3</v>
      </c>
      <c r="E1938" s="1">
        <f>IFERROR(__xludf.DUMMYFUNCTION("""COMPUTED_VALUE"""),3.3)</f>
        <v>3.3</v>
      </c>
      <c r="F1938" s="1">
        <f>IFERROR(__xludf.DUMMYFUNCTION("""COMPUTED_VALUE"""),278668.0)</f>
        <v>278668</v>
      </c>
    </row>
    <row r="1939">
      <c r="A1939" s="2">
        <f>IFERROR(__xludf.DUMMYFUNCTION("""COMPUTED_VALUE"""),41978.66666666667)</f>
        <v>41978.66667</v>
      </c>
      <c r="B1939" s="1">
        <f>IFERROR(__xludf.DUMMYFUNCTION("""COMPUTED_VALUE"""),3.34)</f>
        <v>3.34</v>
      </c>
      <c r="C1939" s="1">
        <f>IFERROR(__xludf.DUMMYFUNCTION("""COMPUTED_VALUE"""),3.35)</f>
        <v>3.35</v>
      </c>
      <c r="D1939" s="1">
        <f>IFERROR(__xludf.DUMMYFUNCTION("""COMPUTED_VALUE"""),3.29)</f>
        <v>3.29</v>
      </c>
      <c r="E1939" s="1">
        <f>IFERROR(__xludf.DUMMYFUNCTION("""COMPUTED_VALUE"""),3.33)</f>
        <v>3.33</v>
      </c>
      <c r="F1939" s="1">
        <f>IFERROR(__xludf.DUMMYFUNCTION("""COMPUTED_VALUE"""),244346.0)</f>
        <v>244346</v>
      </c>
    </row>
    <row r="1940">
      <c r="A1940" s="2">
        <f>IFERROR(__xludf.DUMMYFUNCTION("""COMPUTED_VALUE"""),41981.66666666667)</f>
        <v>41981.66667</v>
      </c>
      <c r="B1940" s="1">
        <f>IFERROR(__xludf.DUMMYFUNCTION("""COMPUTED_VALUE"""),3.3)</f>
        <v>3.3</v>
      </c>
      <c r="C1940" s="1">
        <f>IFERROR(__xludf.DUMMYFUNCTION("""COMPUTED_VALUE"""),3.32)</f>
        <v>3.32</v>
      </c>
      <c r="D1940" s="1">
        <f>IFERROR(__xludf.DUMMYFUNCTION("""COMPUTED_VALUE"""),3.12)</f>
        <v>3.12</v>
      </c>
      <c r="E1940" s="1">
        <f>IFERROR(__xludf.DUMMYFUNCTION("""COMPUTED_VALUE"""),3.16)</f>
        <v>3.16</v>
      </c>
      <c r="F1940" s="1">
        <f>IFERROR(__xludf.DUMMYFUNCTION("""COMPUTED_VALUE"""),391148.0)</f>
        <v>391148</v>
      </c>
    </row>
    <row r="1941">
      <c r="A1941" s="2">
        <f>IFERROR(__xludf.DUMMYFUNCTION("""COMPUTED_VALUE"""),41982.66666666667)</f>
        <v>41982.66667</v>
      </c>
      <c r="B1941" s="1">
        <f>IFERROR(__xludf.DUMMYFUNCTION("""COMPUTED_VALUE"""),3.11)</f>
        <v>3.11</v>
      </c>
      <c r="C1941" s="1">
        <f>IFERROR(__xludf.DUMMYFUNCTION("""COMPUTED_VALUE"""),3.23)</f>
        <v>3.23</v>
      </c>
      <c r="D1941" s="1">
        <f>IFERROR(__xludf.DUMMYFUNCTION("""COMPUTED_VALUE"""),3.03)</f>
        <v>3.03</v>
      </c>
      <c r="E1941" s="1">
        <f>IFERROR(__xludf.DUMMYFUNCTION("""COMPUTED_VALUE"""),3.2)</f>
        <v>3.2</v>
      </c>
      <c r="F1941" s="1">
        <f>IFERROR(__xludf.DUMMYFUNCTION("""COMPUTED_VALUE"""),480355.0)</f>
        <v>480355</v>
      </c>
    </row>
    <row r="1942">
      <c r="A1942" s="2">
        <f>IFERROR(__xludf.DUMMYFUNCTION("""COMPUTED_VALUE"""),41983.66666666667)</f>
        <v>41983.66667</v>
      </c>
      <c r="B1942" s="1">
        <f>IFERROR(__xludf.DUMMYFUNCTION("""COMPUTED_VALUE"""),3.24)</f>
        <v>3.24</v>
      </c>
      <c r="C1942" s="1">
        <f>IFERROR(__xludf.DUMMYFUNCTION("""COMPUTED_VALUE"""),3.24)</f>
        <v>3.24</v>
      </c>
      <c r="D1942" s="1">
        <f>IFERROR(__xludf.DUMMYFUNCTION("""COMPUTED_VALUE"""),3.13)</f>
        <v>3.13</v>
      </c>
      <c r="E1942" s="1">
        <f>IFERROR(__xludf.DUMMYFUNCTION("""COMPUTED_VALUE"""),3.13)</f>
        <v>3.13</v>
      </c>
      <c r="F1942" s="1">
        <f>IFERROR(__xludf.DUMMYFUNCTION("""COMPUTED_VALUE"""),302185.0)</f>
        <v>302185</v>
      </c>
    </row>
    <row r="1943">
      <c r="A1943" s="2">
        <f>IFERROR(__xludf.DUMMYFUNCTION("""COMPUTED_VALUE"""),41984.66666666667)</f>
        <v>41984.66667</v>
      </c>
      <c r="B1943" s="1">
        <f>IFERROR(__xludf.DUMMYFUNCTION("""COMPUTED_VALUE"""),3.18)</f>
        <v>3.18</v>
      </c>
      <c r="C1943" s="1">
        <f>IFERROR(__xludf.DUMMYFUNCTION("""COMPUTED_VALUE"""),3.23)</f>
        <v>3.23</v>
      </c>
      <c r="D1943" s="1">
        <f>IFERROR(__xludf.DUMMYFUNCTION("""COMPUTED_VALUE"""),3.12)</f>
        <v>3.12</v>
      </c>
      <c r="E1943" s="1">
        <f>IFERROR(__xludf.DUMMYFUNCTION("""COMPUTED_VALUE"""),3.13)</f>
        <v>3.13</v>
      </c>
      <c r="F1943" s="1">
        <f>IFERROR(__xludf.DUMMYFUNCTION("""COMPUTED_VALUE"""),303901.0)</f>
        <v>303901</v>
      </c>
    </row>
    <row r="1944">
      <c r="A1944" s="2">
        <f>IFERROR(__xludf.DUMMYFUNCTION("""COMPUTED_VALUE"""),41985.66666666667)</f>
        <v>41985.66667</v>
      </c>
      <c r="B1944" s="1">
        <f>IFERROR(__xludf.DUMMYFUNCTION("""COMPUTED_VALUE"""),3.08)</f>
        <v>3.08</v>
      </c>
      <c r="C1944" s="1">
        <f>IFERROR(__xludf.DUMMYFUNCTION("""COMPUTED_VALUE"""),3.18)</f>
        <v>3.18</v>
      </c>
      <c r="D1944" s="1">
        <f>IFERROR(__xludf.DUMMYFUNCTION("""COMPUTED_VALUE"""),3.07)</f>
        <v>3.07</v>
      </c>
      <c r="E1944" s="1">
        <f>IFERROR(__xludf.DUMMYFUNCTION("""COMPUTED_VALUE"""),3.14)</f>
        <v>3.14</v>
      </c>
      <c r="F1944" s="1">
        <f>IFERROR(__xludf.DUMMYFUNCTION("""COMPUTED_VALUE"""),317989.0)</f>
        <v>317989</v>
      </c>
    </row>
    <row r="1945">
      <c r="A1945" s="2">
        <f>IFERROR(__xludf.DUMMYFUNCTION("""COMPUTED_VALUE"""),41988.66666666667)</f>
        <v>41988.66667</v>
      </c>
      <c r="B1945" s="1">
        <f>IFERROR(__xludf.DUMMYFUNCTION("""COMPUTED_VALUE"""),3.2)</f>
        <v>3.2</v>
      </c>
      <c r="C1945" s="1">
        <f>IFERROR(__xludf.DUMMYFUNCTION("""COMPUTED_VALUE"""),3.2)</f>
        <v>3.2</v>
      </c>
      <c r="D1945" s="1">
        <f>IFERROR(__xludf.DUMMYFUNCTION("""COMPUTED_VALUE"""),3.08)</f>
        <v>3.08</v>
      </c>
      <c r="E1945" s="1">
        <f>IFERROR(__xludf.DUMMYFUNCTION("""COMPUTED_VALUE"""),3.14)</f>
        <v>3.14</v>
      </c>
      <c r="F1945" s="1">
        <f>IFERROR(__xludf.DUMMYFUNCTION("""COMPUTED_VALUE"""),273588.0)</f>
        <v>273588</v>
      </c>
    </row>
    <row r="1946">
      <c r="A1946" s="2">
        <f>IFERROR(__xludf.DUMMYFUNCTION("""COMPUTED_VALUE"""),41989.66666666667)</f>
        <v>41989.66667</v>
      </c>
      <c r="B1946" s="1">
        <f>IFERROR(__xludf.DUMMYFUNCTION("""COMPUTED_VALUE"""),3.14)</f>
        <v>3.14</v>
      </c>
      <c r="C1946" s="1">
        <f>IFERROR(__xludf.DUMMYFUNCTION("""COMPUTED_VALUE"""),3.19)</f>
        <v>3.19</v>
      </c>
      <c r="D1946" s="1">
        <f>IFERROR(__xludf.DUMMYFUNCTION("""COMPUTED_VALUE"""),3.11)</f>
        <v>3.11</v>
      </c>
      <c r="E1946" s="1">
        <f>IFERROR(__xludf.DUMMYFUNCTION("""COMPUTED_VALUE"""),3.13)</f>
        <v>3.13</v>
      </c>
      <c r="F1946" s="1">
        <f>IFERROR(__xludf.DUMMYFUNCTION("""COMPUTED_VALUE"""),251553.0)</f>
        <v>251553</v>
      </c>
    </row>
    <row r="1947">
      <c r="A1947" s="2">
        <f>IFERROR(__xludf.DUMMYFUNCTION("""COMPUTED_VALUE"""),41990.66666666667)</f>
        <v>41990.66667</v>
      </c>
      <c r="B1947" s="1">
        <f>IFERROR(__xludf.DUMMYFUNCTION("""COMPUTED_VALUE"""),3.12)</f>
        <v>3.12</v>
      </c>
      <c r="C1947" s="1">
        <f>IFERROR(__xludf.DUMMYFUNCTION("""COMPUTED_VALUE"""),3.27)</f>
        <v>3.27</v>
      </c>
      <c r="D1947" s="1">
        <f>IFERROR(__xludf.DUMMYFUNCTION("""COMPUTED_VALUE"""),3.1)</f>
        <v>3.1</v>
      </c>
      <c r="E1947" s="1">
        <f>IFERROR(__xludf.DUMMYFUNCTION("""COMPUTED_VALUE"""),3.26)</f>
        <v>3.26</v>
      </c>
      <c r="F1947" s="1">
        <f>IFERROR(__xludf.DUMMYFUNCTION("""COMPUTED_VALUE"""),357284.0)</f>
        <v>357284</v>
      </c>
    </row>
    <row r="1948">
      <c r="A1948" s="2">
        <f>IFERROR(__xludf.DUMMYFUNCTION("""COMPUTED_VALUE"""),41991.66666666667)</f>
        <v>41991.66667</v>
      </c>
      <c r="B1948" s="1">
        <f>IFERROR(__xludf.DUMMYFUNCTION("""COMPUTED_VALUE"""),3.35)</f>
        <v>3.35</v>
      </c>
      <c r="C1948" s="1">
        <f>IFERROR(__xludf.DUMMYFUNCTION("""COMPUTED_VALUE"""),3.46)</f>
        <v>3.46</v>
      </c>
      <c r="D1948" s="1">
        <f>IFERROR(__xludf.DUMMYFUNCTION("""COMPUTED_VALUE"""),3.3)</f>
        <v>3.3</v>
      </c>
      <c r="E1948" s="1">
        <f>IFERROR(__xludf.DUMMYFUNCTION("""COMPUTED_VALUE"""),3.45)</f>
        <v>3.45</v>
      </c>
      <c r="F1948" s="1">
        <f>IFERROR(__xludf.DUMMYFUNCTION("""COMPUTED_VALUE"""),559678.0)</f>
        <v>559678</v>
      </c>
    </row>
    <row r="1949">
      <c r="A1949" s="2">
        <f>IFERROR(__xludf.DUMMYFUNCTION("""COMPUTED_VALUE"""),41992.66666666667)</f>
        <v>41992.66667</v>
      </c>
      <c r="B1949" s="1">
        <f>IFERROR(__xludf.DUMMYFUNCTION("""COMPUTED_VALUE"""),3.48)</f>
        <v>3.48</v>
      </c>
      <c r="C1949" s="1">
        <f>IFERROR(__xludf.DUMMYFUNCTION("""COMPUTED_VALUE"""),3.53)</f>
        <v>3.53</v>
      </c>
      <c r="D1949" s="1">
        <f>IFERROR(__xludf.DUMMYFUNCTION("""COMPUTED_VALUE"""),3.41)</f>
        <v>3.41</v>
      </c>
      <c r="E1949" s="1">
        <f>IFERROR(__xludf.DUMMYFUNCTION("""COMPUTED_VALUE"""),3.49)</f>
        <v>3.49</v>
      </c>
      <c r="F1949" s="1">
        <f>IFERROR(__xludf.DUMMYFUNCTION("""COMPUTED_VALUE"""),1250238.0)</f>
        <v>1250238</v>
      </c>
    </row>
    <row r="1950">
      <c r="A1950" s="2">
        <f>IFERROR(__xludf.DUMMYFUNCTION("""COMPUTED_VALUE"""),41995.66666666667)</f>
        <v>41995.66667</v>
      </c>
      <c r="B1950" s="1">
        <f>IFERROR(__xludf.DUMMYFUNCTION("""COMPUTED_VALUE"""),3.53)</f>
        <v>3.53</v>
      </c>
      <c r="C1950" s="1">
        <f>IFERROR(__xludf.DUMMYFUNCTION("""COMPUTED_VALUE"""),3.67)</f>
        <v>3.67</v>
      </c>
      <c r="D1950" s="1">
        <f>IFERROR(__xludf.DUMMYFUNCTION("""COMPUTED_VALUE"""),3.52)</f>
        <v>3.52</v>
      </c>
      <c r="E1950" s="1">
        <f>IFERROR(__xludf.DUMMYFUNCTION("""COMPUTED_VALUE"""),3.65)</f>
        <v>3.65</v>
      </c>
      <c r="F1950" s="1">
        <f>IFERROR(__xludf.DUMMYFUNCTION("""COMPUTED_VALUE"""),419035.0)</f>
        <v>419035</v>
      </c>
    </row>
    <row r="1951">
      <c r="A1951" s="2">
        <f>IFERROR(__xludf.DUMMYFUNCTION("""COMPUTED_VALUE"""),41996.66666666667)</f>
        <v>41996.66667</v>
      </c>
      <c r="B1951" s="1">
        <f>IFERROR(__xludf.DUMMYFUNCTION("""COMPUTED_VALUE"""),3.69)</f>
        <v>3.69</v>
      </c>
      <c r="C1951" s="1">
        <f>IFERROR(__xludf.DUMMYFUNCTION("""COMPUTED_VALUE"""),3.7)</f>
        <v>3.7</v>
      </c>
      <c r="D1951" s="1">
        <f>IFERROR(__xludf.DUMMYFUNCTION("""COMPUTED_VALUE"""),3.54)</f>
        <v>3.54</v>
      </c>
      <c r="E1951" s="1">
        <f>IFERROR(__xludf.DUMMYFUNCTION("""COMPUTED_VALUE"""),3.59)</f>
        <v>3.59</v>
      </c>
      <c r="F1951" s="1">
        <f>IFERROR(__xludf.DUMMYFUNCTION("""COMPUTED_VALUE"""),400472.0)</f>
        <v>400472</v>
      </c>
    </row>
    <row r="1952">
      <c r="A1952" s="2">
        <f>IFERROR(__xludf.DUMMYFUNCTION("""COMPUTED_VALUE"""),41997.66666666667)</f>
        <v>41997.66667</v>
      </c>
      <c r="B1952" s="1">
        <f>IFERROR(__xludf.DUMMYFUNCTION("""COMPUTED_VALUE"""),3.6)</f>
        <v>3.6</v>
      </c>
      <c r="C1952" s="1">
        <f>IFERROR(__xludf.DUMMYFUNCTION("""COMPUTED_VALUE"""),3.67)</f>
        <v>3.67</v>
      </c>
      <c r="D1952" s="1">
        <f>IFERROR(__xludf.DUMMYFUNCTION("""COMPUTED_VALUE"""),3.58)</f>
        <v>3.58</v>
      </c>
      <c r="E1952" s="1">
        <f>IFERROR(__xludf.DUMMYFUNCTION("""COMPUTED_VALUE"""),3.64)</f>
        <v>3.64</v>
      </c>
      <c r="F1952" s="1">
        <f>IFERROR(__xludf.DUMMYFUNCTION("""COMPUTED_VALUE"""),140541.0)</f>
        <v>140541</v>
      </c>
    </row>
    <row r="1953">
      <c r="A1953" s="2">
        <f>IFERROR(__xludf.DUMMYFUNCTION("""COMPUTED_VALUE"""),41999.66666666667)</f>
        <v>41999.66667</v>
      </c>
      <c r="B1953" s="1">
        <f>IFERROR(__xludf.DUMMYFUNCTION("""COMPUTED_VALUE"""),3.66)</f>
        <v>3.66</v>
      </c>
      <c r="C1953" s="1">
        <f>IFERROR(__xludf.DUMMYFUNCTION("""COMPUTED_VALUE"""),3.67)</f>
        <v>3.67</v>
      </c>
      <c r="D1953" s="1">
        <f>IFERROR(__xludf.DUMMYFUNCTION("""COMPUTED_VALUE"""),3.62)</f>
        <v>3.62</v>
      </c>
      <c r="E1953" s="1">
        <f>IFERROR(__xludf.DUMMYFUNCTION("""COMPUTED_VALUE"""),3.64)</f>
        <v>3.64</v>
      </c>
      <c r="F1953" s="1">
        <f>IFERROR(__xludf.DUMMYFUNCTION("""COMPUTED_VALUE"""),143390.0)</f>
        <v>143390</v>
      </c>
    </row>
    <row r="1954">
      <c r="A1954" s="2">
        <f>IFERROR(__xludf.DUMMYFUNCTION("""COMPUTED_VALUE"""),42002.66666666667)</f>
        <v>42002.66667</v>
      </c>
      <c r="B1954" s="1">
        <f>IFERROR(__xludf.DUMMYFUNCTION("""COMPUTED_VALUE"""),3.64)</f>
        <v>3.64</v>
      </c>
      <c r="C1954" s="1">
        <f>IFERROR(__xludf.DUMMYFUNCTION("""COMPUTED_VALUE"""),3.66)</f>
        <v>3.66</v>
      </c>
      <c r="D1954" s="1">
        <f>IFERROR(__xludf.DUMMYFUNCTION("""COMPUTED_VALUE"""),3.51)</f>
        <v>3.51</v>
      </c>
      <c r="E1954" s="1">
        <f>IFERROR(__xludf.DUMMYFUNCTION("""COMPUTED_VALUE"""),3.54)</f>
        <v>3.54</v>
      </c>
      <c r="F1954" s="1">
        <f>IFERROR(__xludf.DUMMYFUNCTION("""COMPUTED_VALUE"""),240560.0)</f>
        <v>240560</v>
      </c>
    </row>
    <row r="1955">
      <c r="A1955" s="2">
        <f>IFERROR(__xludf.DUMMYFUNCTION("""COMPUTED_VALUE"""),42003.66666666667)</f>
        <v>42003.66667</v>
      </c>
      <c r="B1955" s="1">
        <f>IFERROR(__xludf.DUMMYFUNCTION("""COMPUTED_VALUE"""),3.54)</f>
        <v>3.54</v>
      </c>
      <c r="C1955" s="1">
        <f>IFERROR(__xludf.DUMMYFUNCTION("""COMPUTED_VALUE"""),3.57)</f>
        <v>3.57</v>
      </c>
      <c r="D1955" s="1">
        <f>IFERROR(__xludf.DUMMYFUNCTION("""COMPUTED_VALUE"""),3.45)</f>
        <v>3.45</v>
      </c>
      <c r="E1955" s="1">
        <f>IFERROR(__xludf.DUMMYFUNCTION("""COMPUTED_VALUE"""),3.49)</f>
        <v>3.49</v>
      </c>
      <c r="F1955" s="1">
        <f>IFERROR(__xludf.DUMMYFUNCTION("""COMPUTED_VALUE"""),197203.0)</f>
        <v>197203</v>
      </c>
    </row>
    <row r="1956">
      <c r="A1956" s="2">
        <f>IFERROR(__xludf.DUMMYFUNCTION("""COMPUTED_VALUE"""),42004.66666666667)</f>
        <v>42004.66667</v>
      </c>
      <c r="B1956" s="1">
        <f>IFERROR(__xludf.DUMMYFUNCTION("""COMPUTED_VALUE"""),3.52)</f>
        <v>3.52</v>
      </c>
      <c r="C1956" s="1">
        <f>IFERROR(__xludf.DUMMYFUNCTION("""COMPUTED_VALUE"""),3.56)</f>
        <v>3.56</v>
      </c>
      <c r="D1956" s="1">
        <f>IFERROR(__xludf.DUMMYFUNCTION("""COMPUTED_VALUE"""),3.45)</f>
        <v>3.45</v>
      </c>
      <c r="E1956" s="1">
        <f>IFERROR(__xludf.DUMMYFUNCTION("""COMPUTED_VALUE"""),3.49)</f>
        <v>3.49</v>
      </c>
      <c r="F1956" s="1">
        <f>IFERROR(__xludf.DUMMYFUNCTION("""COMPUTED_VALUE"""),220565.0)</f>
        <v>220565</v>
      </c>
    </row>
    <row r="1957">
      <c r="A1957" s="2">
        <f>IFERROR(__xludf.DUMMYFUNCTION("""COMPUTED_VALUE"""),42006.66666666667)</f>
        <v>42006.66667</v>
      </c>
      <c r="B1957" s="1">
        <f>IFERROR(__xludf.DUMMYFUNCTION("""COMPUTED_VALUE"""),3.54)</f>
        <v>3.54</v>
      </c>
      <c r="C1957" s="1">
        <f>IFERROR(__xludf.DUMMYFUNCTION("""COMPUTED_VALUE"""),3.56)</f>
        <v>3.56</v>
      </c>
      <c r="D1957" s="1">
        <f>IFERROR(__xludf.DUMMYFUNCTION("""COMPUTED_VALUE"""),3.41)</f>
        <v>3.41</v>
      </c>
      <c r="E1957" s="1">
        <f>IFERROR(__xludf.DUMMYFUNCTION("""COMPUTED_VALUE"""),3.47)</f>
        <v>3.47</v>
      </c>
      <c r="F1957" s="1">
        <f>IFERROR(__xludf.DUMMYFUNCTION("""COMPUTED_VALUE"""),207315.0)</f>
        <v>207315</v>
      </c>
    </row>
    <row r="1958">
      <c r="A1958" s="2">
        <f>IFERROR(__xludf.DUMMYFUNCTION("""COMPUTED_VALUE"""),42009.66666666667)</f>
        <v>42009.66667</v>
      </c>
      <c r="B1958" s="1">
        <f>IFERROR(__xludf.DUMMYFUNCTION("""COMPUTED_VALUE"""),3.43)</f>
        <v>3.43</v>
      </c>
      <c r="C1958" s="1">
        <f>IFERROR(__xludf.DUMMYFUNCTION("""COMPUTED_VALUE"""),3.5)</f>
        <v>3.5</v>
      </c>
      <c r="D1958" s="1">
        <f>IFERROR(__xludf.DUMMYFUNCTION("""COMPUTED_VALUE"""),3.32)</f>
        <v>3.32</v>
      </c>
      <c r="E1958" s="1">
        <f>IFERROR(__xludf.DUMMYFUNCTION("""COMPUTED_VALUE"""),3.37)</f>
        <v>3.37</v>
      </c>
      <c r="F1958" s="1">
        <f>IFERROR(__xludf.DUMMYFUNCTION("""COMPUTED_VALUE"""),390016.0)</f>
        <v>390016</v>
      </c>
    </row>
    <row r="1959">
      <c r="A1959" s="2">
        <f>IFERROR(__xludf.DUMMYFUNCTION("""COMPUTED_VALUE"""),42010.66666666667)</f>
        <v>42010.66667</v>
      </c>
      <c r="B1959" s="1">
        <f>IFERROR(__xludf.DUMMYFUNCTION("""COMPUTED_VALUE"""),3.34)</f>
        <v>3.34</v>
      </c>
      <c r="C1959" s="1">
        <f>IFERROR(__xludf.DUMMYFUNCTION("""COMPUTED_VALUE"""),3.41)</f>
        <v>3.41</v>
      </c>
      <c r="D1959" s="1">
        <f>IFERROR(__xludf.DUMMYFUNCTION("""COMPUTED_VALUE"""),3.23)</f>
        <v>3.23</v>
      </c>
      <c r="E1959" s="1">
        <f>IFERROR(__xludf.DUMMYFUNCTION("""COMPUTED_VALUE"""),3.28)</f>
        <v>3.28</v>
      </c>
      <c r="F1959" s="1">
        <f>IFERROR(__xludf.DUMMYFUNCTION("""COMPUTED_VALUE"""),338646.0)</f>
        <v>338646</v>
      </c>
    </row>
    <row r="1960">
      <c r="A1960" s="2">
        <f>IFERROR(__xludf.DUMMYFUNCTION("""COMPUTED_VALUE"""),42011.66666666667)</f>
        <v>42011.66667</v>
      </c>
      <c r="B1960" s="1">
        <f>IFERROR(__xludf.DUMMYFUNCTION("""COMPUTED_VALUE"""),3.29)</f>
        <v>3.29</v>
      </c>
      <c r="C1960" s="1">
        <f>IFERROR(__xludf.DUMMYFUNCTION("""COMPUTED_VALUE"""),3.32)</f>
        <v>3.32</v>
      </c>
      <c r="D1960" s="1">
        <f>IFERROR(__xludf.DUMMYFUNCTION("""COMPUTED_VALUE"""),3.22)</f>
        <v>3.22</v>
      </c>
      <c r="E1960" s="1">
        <f>IFERROR(__xludf.DUMMYFUNCTION("""COMPUTED_VALUE"""),3.3)</f>
        <v>3.3</v>
      </c>
      <c r="F1960" s="1">
        <f>IFERROR(__xludf.DUMMYFUNCTION("""COMPUTED_VALUE"""),355263.0)</f>
        <v>355263</v>
      </c>
    </row>
    <row r="1961">
      <c r="A1961" s="2">
        <f>IFERROR(__xludf.DUMMYFUNCTION("""COMPUTED_VALUE"""),42012.66666666667)</f>
        <v>42012.66667</v>
      </c>
      <c r="B1961" s="1">
        <f>IFERROR(__xludf.DUMMYFUNCTION("""COMPUTED_VALUE"""),3.33)</f>
        <v>3.33</v>
      </c>
      <c r="C1961" s="1">
        <f>IFERROR(__xludf.DUMMYFUNCTION("""COMPUTED_VALUE"""),3.51)</f>
        <v>3.51</v>
      </c>
      <c r="D1961" s="1">
        <f>IFERROR(__xludf.DUMMYFUNCTION("""COMPUTED_VALUE"""),3.32)</f>
        <v>3.32</v>
      </c>
      <c r="E1961" s="1">
        <f>IFERROR(__xludf.DUMMYFUNCTION("""COMPUTED_VALUE"""),3.47)</f>
        <v>3.47</v>
      </c>
      <c r="F1961" s="1">
        <f>IFERROR(__xludf.DUMMYFUNCTION("""COMPUTED_VALUE"""),360929.0)</f>
        <v>360929</v>
      </c>
    </row>
    <row r="1962">
      <c r="A1962" s="2">
        <f>IFERROR(__xludf.DUMMYFUNCTION("""COMPUTED_VALUE"""),42013.66666666667)</f>
        <v>42013.66667</v>
      </c>
      <c r="B1962" s="1">
        <f>IFERROR(__xludf.DUMMYFUNCTION("""COMPUTED_VALUE"""),3.5)</f>
        <v>3.5</v>
      </c>
      <c r="C1962" s="1">
        <f>IFERROR(__xludf.DUMMYFUNCTION("""COMPUTED_VALUE"""),3.51)</f>
        <v>3.51</v>
      </c>
      <c r="D1962" s="1">
        <f>IFERROR(__xludf.DUMMYFUNCTION("""COMPUTED_VALUE"""),3.42)</f>
        <v>3.42</v>
      </c>
      <c r="E1962" s="1">
        <f>IFERROR(__xludf.DUMMYFUNCTION("""COMPUTED_VALUE"""),3.45)</f>
        <v>3.45</v>
      </c>
      <c r="F1962" s="1">
        <f>IFERROR(__xludf.DUMMYFUNCTION("""COMPUTED_VALUE"""),207412.0)</f>
        <v>207412</v>
      </c>
    </row>
    <row r="1963">
      <c r="A1963" s="2">
        <f>IFERROR(__xludf.DUMMYFUNCTION("""COMPUTED_VALUE"""),42016.66666666667)</f>
        <v>42016.66667</v>
      </c>
      <c r="B1963" s="1">
        <f>IFERROR(__xludf.DUMMYFUNCTION("""COMPUTED_VALUE"""),3.48)</f>
        <v>3.48</v>
      </c>
      <c r="C1963" s="1">
        <f>IFERROR(__xludf.DUMMYFUNCTION("""COMPUTED_VALUE"""),3.49)</f>
        <v>3.49</v>
      </c>
      <c r="D1963" s="1">
        <f>IFERROR(__xludf.DUMMYFUNCTION("""COMPUTED_VALUE"""),3.37)</f>
        <v>3.37</v>
      </c>
      <c r="E1963" s="1">
        <f>IFERROR(__xludf.DUMMYFUNCTION("""COMPUTED_VALUE"""),3.42)</f>
        <v>3.42</v>
      </c>
      <c r="F1963" s="1">
        <f>IFERROR(__xludf.DUMMYFUNCTION("""COMPUTED_VALUE"""),233915.0)</f>
        <v>233915</v>
      </c>
    </row>
    <row r="1964">
      <c r="A1964" s="2">
        <f>IFERROR(__xludf.DUMMYFUNCTION("""COMPUTED_VALUE"""),42017.66666666667)</f>
        <v>42017.66667</v>
      </c>
      <c r="B1964" s="1">
        <f>IFERROR(__xludf.DUMMYFUNCTION("""COMPUTED_VALUE"""),3.43)</f>
        <v>3.43</v>
      </c>
      <c r="C1964" s="1">
        <f>IFERROR(__xludf.DUMMYFUNCTION("""COMPUTED_VALUE"""),3.52)</f>
        <v>3.52</v>
      </c>
      <c r="D1964" s="1">
        <f>IFERROR(__xludf.DUMMYFUNCTION("""COMPUTED_VALUE"""),3.33)</f>
        <v>3.33</v>
      </c>
      <c r="E1964" s="1">
        <f>IFERROR(__xludf.DUMMYFUNCTION("""COMPUTED_VALUE"""),3.42)</f>
        <v>3.42</v>
      </c>
      <c r="F1964" s="1">
        <f>IFERROR(__xludf.DUMMYFUNCTION("""COMPUTED_VALUE"""),336712.0)</f>
        <v>336712</v>
      </c>
    </row>
    <row r="1965">
      <c r="A1965" s="2">
        <f>IFERROR(__xludf.DUMMYFUNCTION("""COMPUTED_VALUE"""),42018.66666666667)</f>
        <v>42018.66667</v>
      </c>
      <c r="B1965" s="1">
        <f>IFERROR(__xludf.DUMMYFUNCTION("""COMPUTED_VALUE"""),3.39)</f>
        <v>3.39</v>
      </c>
      <c r="C1965" s="1">
        <f>IFERROR(__xludf.DUMMYFUNCTION("""COMPUTED_VALUE"""),3.4)</f>
        <v>3.4</v>
      </c>
      <c r="D1965" s="1">
        <f>IFERROR(__xludf.DUMMYFUNCTION("""COMPUTED_VALUE"""),3.31)</f>
        <v>3.31</v>
      </c>
      <c r="E1965" s="1">
        <f>IFERROR(__xludf.DUMMYFUNCTION("""COMPUTED_VALUE"""),3.37)</f>
        <v>3.37</v>
      </c>
      <c r="F1965" s="1">
        <f>IFERROR(__xludf.DUMMYFUNCTION("""COMPUTED_VALUE"""),261053.0)</f>
        <v>261053</v>
      </c>
    </row>
    <row r="1966">
      <c r="A1966" s="2">
        <f>IFERROR(__xludf.DUMMYFUNCTION("""COMPUTED_VALUE"""),42019.66666666667)</f>
        <v>42019.66667</v>
      </c>
      <c r="B1966" s="1">
        <f>IFERROR(__xludf.DUMMYFUNCTION("""COMPUTED_VALUE"""),3.38)</f>
        <v>3.38</v>
      </c>
      <c r="C1966" s="1">
        <f>IFERROR(__xludf.DUMMYFUNCTION("""COMPUTED_VALUE"""),3.39)</f>
        <v>3.39</v>
      </c>
      <c r="D1966" s="1">
        <f>IFERROR(__xludf.DUMMYFUNCTION("""COMPUTED_VALUE"""),3.29)</f>
        <v>3.29</v>
      </c>
      <c r="E1966" s="1">
        <f>IFERROR(__xludf.DUMMYFUNCTION("""COMPUTED_VALUE"""),3.32)</f>
        <v>3.32</v>
      </c>
      <c r="F1966" s="1">
        <f>IFERROR(__xludf.DUMMYFUNCTION("""COMPUTED_VALUE"""),591269.0)</f>
        <v>591269</v>
      </c>
    </row>
    <row r="1967">
      <c r="A1967" s="2">
        <f>IFERROR(__xludf.DUMMYFUNCTION("""COMPUTED_VALUE"""),42020.66666666667)</f>
        <v>42020.66667</v>
      </c>
      <c r="B1967" s="1">
        <f>IFERROR(__xludf.DUMMYFUNCTION("""COMPUTED_VALUE"""),3.32)</f>
        <v>3.32</v>
      </c>
      <c r="C1967" s="1">
        <f>IFERROR(__xludf.DUMMYFUNCTION("""COMPUTED_VALUE"""),3.52)</f>
        <v>3.52</v>
      </c>
      <c r="D1967" s="1">
        <f>IFERROR(__xludf.DUMMYFUNCTION("""COMPUTED_VALUE"""),3.31)</f>
        <v>3.31</v>
      </c>
      <c r="E1967" s="1">
        <f>IFERROR(__xludf.DUMMYFUNCTION("""COMPUTED_VALUE"""),3.51)</f>
        <v>3.51</v>
      </c>
      <c r="F1967" s="1">
        <f>IFERROR(__xludf.DUMMYFUNCTION("""COMPUTED_VALUE"""),524435.0)</f>
        <v>524435</v>
      </c>
    </row>
    <row r="1968">
      <c r="A1968" s="2">
        <f>IFERROR(__xludf.DUMMYFUNCTION("""COMPUTED_VALUE"""),42024.66666666667)</f>
        <v>42024.66667</v>
      </c>
      <c r="B1968" s="1">
        <f>IFERROR(__xludf.DUMMYFUNCTION("""COMPUTED_VALUE"""),3.53)</f>
        <v>3.53</v>
      </c>
      <c r="C1968" s="1">
        <f>IFERROR(__xludf.DUMMYFUNCTION("""COMPUTED_VALUE"""),3.87)</f>
        <v>3.87</v>
      </c>
      <c r="D1968" s="1">
        <f>IFERROR(__xludf.DUMMYFUNCTION("""COMPUTED_VALUE"""),3.5)</f>
        <v>3.5</v>
      </c>
      <c r="E1968" s="1">
        <f>IFERROR(__xludf.DUMMYFUNCTION("""COMPUTED_VALUE"""),3.77)</f>
        <v>3.77</v>
      </c>
      <c r="F1968" s="1">
        <f>IFERROR(__xludf.DUMMYFUNCTION("""COMPUTED_VALUE"""),1319373.0)</f>
        <v>1319373</v>
      </c>
    </row>
    <row r="1969">
      <c r="A1969" s="2">
        <f>IFERROR(__xludf.DUMMYFUNCTION("""COMPUTED_VALUE"""),42025.66666666667)</f>
        <v>42025.66667</v>
      </c>
      <c r="B1969" s="1">
        <f>IFERROR(__xludf.DUMMYFUNCTION("""COMPUTED_VALUE"""),3.92)</f>
        <v>3.92</v>
      </c>
      <c r="C1969" s="1">
        <f>IFERROR(__xludf.DUMMYFUNCTION("""COMPUTED_VALUE"""),3.98)</f>
        <v>3.98</v>
      </c>
      <c r="D1969" s="1">
        <f>IFERROR(__xludf.DUMMYFUNCTION("""COMPUTED_VALUE"""),3.39)</f>
        <v>3.39</v>
      </c>
      <c r="E1969" s="1">
        <f>IFERROR(__xludf.DUMMYFUNCTION("""COMPUTED_VALUE"""),3.41)</f>
        <v>3.41</v>
      </c>
      <c r="F1969" s="1">
        <f>IFERROR(__xludf.DUMMYFUNCTION("""COMPUTED_VALUE"""),2757273.0)</f>
        <v>2757273</v>
      </c>
    </row>
    <row r="1970">
      <c r="A1970" s="2">
        <f>IFERROR(__xludf.DUMMYFUNCTION("""COMPUTED_VALUE"""),42026.66666666667)</f>
        <v>42026.66667</v>
      </c>
      <c r="B1970" s="1">
        <f>IFERROR(__xludf.DUMMYFUNCTION("""COMPUTED_VALUE"""),3.46)</f>
        <v>3.46</v>
      </c>
      <c r="C1970" s="1">
        <f>IFERROR(__xludf.DUMMYFUNCTION("""COMPUTED_VALUE"""),3.69)</f>
        <v>3.69</v>
      </c>
      <c r="D1970" s="1">
        <f>IFERROR(__xludf.DUMMYFUNCTION("""COMPUTED_VALUE"""),3.4)</f>
        <v>3.4</v>
      </c>
      <c r="E1970" s="1">
        <f>IFERROR(__xludf.DUMMYFUNCTION("""COMPUTED_VALUE"""),3.69)</f>
        <v>3.69</v>
      </c>
      <c r="F1970" s="1">
        <f>IFERROR(__xludf.DUMMYFUNCTION("""COMPUTED_VALUE"""),698747.0)</f>
        <v>698747</v>
      </c>
    </row>
    <row r="1971">
      <c r="A1971" s="2">
        <f>IFERROR(__xludf.DUMMYFUNCTION("""COMPUTED_VALUE"""),42027.66666666667)</f>
        <v>42027.66667</v>
      </c>
      <c r="B1971" s="1">
        <f>IFERROR(__xludf.DUMMYFUNCTION("""COMPUTED_VALUE"""),3.67)</f>
        <v>3.67</v>
      </c>
      <c r="C1971" s="1">
        <f>IFERROR(__xludf.DUMMYFUNCTION("""COMPUTED_VALUE"""),3.7)</f>
        <v>3.7</v>
      </c>
      <c r="D1971" s="1">
        <f>IFERROR(__xludf.DUMMYFUNCTION("""COMPUTED_VALUE"""),3.58)</f>
        <v>3.58</v>
      </c>
      <c r="E1971" s="1">
        <f>IFERROR(__xludf.DUMMYFUNCTION("""COMPUTED_VALUE"""),3.64)</f>
        <v>3.64</v>
      </c>
      <c r="F1971" s="1">
        <f>IFERROR(__xludf.DUMMYFUNCTION("""COMPUTED_VALUE"""),667189.0)</f>
        <v>667189</v>
      </c>
    </row>
    <row r="1972">
      <c r="A1972" s="2">
        <f>IFERROR(__xludf.DUMMYFUNCTION("""COMPUTED_VALUE"""),42030.66666666667)</f>
        <v>42030.66667</v>
      </c>
      <c r="B1972" s="1">
        <f>IFERROR(__xludf.DUMMYFUNCTION("""COMPUTED_VALUE"""),3.6)</f>
        <v>3.6</v>
      </c>
      <c r="C1972" s="1">
        <f>IFERROR(__xludf.DUMMYFUNCTION("""COMPUTED_VALUE"""),3.69)</f>
        <v>3.69</v>
      </c>
      <c r="D1972" s="1">
        <f>IFERROR(__xludf.DUMMYFUNCTION("""COMPUTED_VALUE"""),3.6)</f>
        <v>3.6</v>
      </c>
      <c r="E1972" s="1">
        <f>IFERROR(__xludf.DUMMYFUNCTION("""COMPUTED_VALUE"""),3.67)</f>
        <v>3.67</v>
      </c>
      <c r="F1972" s="1">
        <f>IFERROR(__xludf.DUMMYFUNCTION("""COMPUTED_VALUE"""),598233.0)</f>
        <v>598233</v>
      </c>
    </row>
    <row r="1973">
      <c r="A1973" s="2">
        <f>IFERROR(__xludf.DUMMYFUNCTION("""COMPUTED_VALUE"""),42031.66666666667)</f>
        <v>42031.66667</v>
      </c>
      <c r="B1973" s="1">
        <f>IFERROR(__xludf.DUMMYFUNCTION("""COMPUTED_VALUE"""),3.62)</f>
        <v>3.62</v>
      </c>
      <c r="C1973" s="1">
        <f>IFERROR(__xludf.DUMMYFUNCTION("""COMPUTED_VALUE"""),3.8)</f>
        <v>3.8</v>
      </c>
      <c r="D1973" s="1">
        <f>IFERROR(__xludf.DUMMYFUNCTION("""COMPUTED_VALUE"""),3.54)</f>
        <v>3.54</v>
      </c>
      <c r="E1973" s="1">
        <f>IFERROR(__xludf.DUMMYFUNCTION("""COMPUTED_VALUE"""),3.73)</f>
        <v>3.73</v>
      </c>
      <c r="F1973" s="1">
        <f>IFERROR(__xludf.DUMMYFUNCTION("""COMPUTED_VALUE"""),685369.0)</f>
        <v>685369</v>
      </c>
    </row>
    <row r="1974">
      <c r="A1974" s="2">
        <f>IFERROR(__xludf.DUMMYFUNCTION("""COMPUTED_VALUE"""),42032.66666666667)</f>
        <v>42032.66667</v>
      </c>
      <c r="B1974" s="1">
        <f>IFERROR(__xludf.DUMMYFUNCTION("""COMPUTED_VALUE"""),3.8)</f>
        <v>3.8</v>
      </c>
      <c r="C1974" s="1">
        <f>IFERROR(__xludf.DUMMYFUNCTION("""COMPUTED_VALUE"""),3.84)</f>
        <v>3.84</v>
      </c>
      <c r="D1974" s="1">
        <f>IFERROR(__xludf.DUMMYFUNCTION("""COMPUTED_VALUE"""),3.73)</f>
        <v>3.73</v>
      </c>
      <c r="E1974" s="1">
        <f>IFERROR(__xludf.DUMMYFUNCTION("""COMPUTED_VALUE"""),3.74)</f>
        <v>3.74</v>
      </c>
      <c r="F1974" s="1">
        <f>IFERROR(__xludf.DUMMYFUNCTION("""COMPUTED_VALUE"""),656303.0)</f>
        <v>656303</v>
      </c>
    </row>
    <row r="1975">
      <c r="A1975" s="2">
        <f>IFERROR(__xludf.DUMMYFUNCTION("""COMPUTED_VALUE"""),42033.66666666667)</f>
        <v>42033.66667</v>
      </c>
      <c r="B1975" s="1">
        <f>IFERROR(__xludf.DUMMYFUNCTION("""COMPUTED_VALUE"""),3.74)</f>
        <v>3.74</v>
      </c>
      <c r="C1975" s="1">
        <f>IFERROR(__xludf.DUMMYFUNCTION("""COMPUTED_VALUE"""),3.81)</f>
        <v>3.81</v>
      </c>
      <c r="D1975" s="1">
        <f>IFERROR(__xludf.DUMMYFUNCTION("""COMPUTED_VALUE"""),3.7)</f>
        <v>3.7</v>
      </c>
      <c r="E1975" s="1">
        <f>IFERROR(__xludf.DUMMYFUNCTION("""COMPUTED_VALUE"""),3.79)</f>
        <v>3.79</v>
      </c>
      <c r="F1975" s="1">
        <f>IFERROR(__xludf.DUMMYFUNCTION("""COMPUTED_VALUE"""),382315.0)</f>
        <v>382315</v>
      </c>
    </row>
    <row r="1976">
      <c r="A1976" s="2">
        <f>IFERROR(__xludf.DUMMYFUNCTION("""COMPUTED_VALUE"""),42034.66666666667)</f>
        <v>42034.66667</v>
      </c>
      <c r="B1976" s="1">
        <f>IFERROR(__xludf.DUMMYFUNCTION("""COMPUTED_VALUE"""),3.75)</f>
        <v>3.75</v>
      </c>
      <c r="C1976" s="1">
        <f>IFERROR(__xludf.DUMMYFUNCTION("""COMPUTED_VALUE"""),3.82)</f>
        <v>3.82</v>
      </c>
      <c r="D1976" s="1">
        <f>IFERROR(__xludf.DUMMYFUNCTION("""COMPUTED_VALUE"""),3.65)</f>
        <v>3.65</v>
      </c>
      <c r="E1976" s="1">
        <f>IFERROR(__xludf.DUMMYFUNCTION("""COMPUTED_VALUE"""),3.66)</f>
        <v>3.66</v>
      </c>
      <c r="F1976" s="1">
        <f>IFERROR(__xludf.DUMMYFUNCTION("""COMPUTED_VALUE"""),498724.0)</f>
        <v>498724</v>
      </c>
    </row>
    <row r="1977">
      <c r="A1977" s="2">
        <f>IFERROR(__xludf.DUMMYFUNCTION("""COMPUTED_VALUE"""),42037.66666666667)</f>
        <v>42037.66667</v>
      </c>
      <c r="B1977" s="1">
        <f>IFERROR(__xludf.DUMMYFUNCTION("""COMPUTED_VALUE"""),3.68)</f>
        <v>3.68</v>
      </c>
      <c r="C1977" s="1">
        <f>IFERROR(__xludf.DUMMYFUNCTION("""COMPUTED_VALUE"""),3.7)</f>
        <v>3.7</v>
      </c>
      <c r="D1977" s="1">
        <f>IFERROR(__xludf.DUMMYFUNCTION("""COMPUTED_VALUE"""),3.53)</f>
        <v>3.53</v>
      </c>
      <c r="E1977" s="1">
        <f>IFERROR(__xludf.DUMMYFUNCTION("""COMPUTED_VALUE"""),3.65)</f>
        <v>3.65</v>
      </c>
      <c r="F1977" s="1">
        <f>IFERROR(__xludf.DUMMYFUNCTION("""COMPUTED_VALUE"""),450389.0)</f>
        <v>450389</v>
      </c>
    </row>
    <row r="1978">
      <c r="A1978" s="2">
        <f>IFERROR(__xludf.DUMMYFUNCTION("""COMPUTED_VALUE"""),42038.66666666667)</f>
        <v>42038.66667</v>
      </c>
      <c r="B1978" s="1">
        <f>IFERROR(__xludf.DUMMYFUNCTION("""COMPUTED_VALUE"""),3.65)</f>
        <v>3.65</v>
      </c>
      <c r="C1978" s="1">
        <f>IFERROR(__xludf.DUMMYFUNCTION("""COMPUTED_VALUE"""),3.71)</f>
        <v>3.71</v>
      </c>
      <c r="D1978" s="1">
        <f>IFERROR(__xludf.DUMMYFUNCTION("""COMPUTED_VALUE"""),3.57)</f>
        <v>3.57</v>
      </c>
      <c r="E1978" s="1">
        <f>IFERROR(__xludf.DUMMYFUNCTION("""COMPUTED_VALUE"""),3.59)</f>
        <v>3.59</v>
      </c>
      <c r="F1978" s="1">
        <f>IFERROR(__xludf.DUMMYFUNCTION("""COMPUTED_VALUE"""),486960.0)</f>
        <v>486960</v>
      </c>
    </row>
    <row r="1979">
      <c r="A1979" s="2">
        <f>IFERROR(__xludf.DUMMYFUNCTION("""COMPUTED_VALUE"""),42039.66666666667)</f>
        <v>42039.66667</v>
      </c>
      <c r="B1979" s="1">
        <f>IFERROR(__xludf.DUMMYFUNCTION("""COMPUTED_VALUE"""),3.59)</f>
        <v>3.59</v>
      </c>
      <c r="C1979" s="1">
        <f>IFERROR(__xludf.DUMMYFUNCTION("""COMPUTED_VALUE"""),3.63)</f>
        <v>3.63</v>
      </c>
      <c r="D1979" s="1">
        <f>IFERROR(__xludf.DUMMYFUNCTION("""COMPUTED_VALUE"""),3.55)</f>
        <v>3.55</v>
      </c>
      <c r="E1979" s="1">
        <f>IFERROR(__xludf.DUMMYFUNCTION("""COMPUTED_VALUE"""),3.57)</f>
        <v>3.57</v>
      </c>
      <c r="F1979" s="1">
        <f>IFERROR(__xludf.DUMMYFUNCTION("""COMPUTED_VALUE"""),384522.0)</f>
        <v>384522</v>
      </c>
    </row>
    <row r="1980">
      <c r="A1980" s="2">
        <f>IFERROR(__xludf.DUMMYFUNCTION("""COMPUTED_VALUE"""),42040.66666666667)</f>
        <v>42040.66667</v>
      </c>
      <c r="B1980" s="1">
        <f>IFERROR(__xludf.DUMMYFUNCTION("""COMPUTED_VALUE"""),3.59)</f>
        <v>3.59</v>
      </c>
      <c r="C1980" s="1">
        <f>IFERROR(__xludf.DUMMYFUNCTION("""COMPUTED_VALUE"""),3.68)</f>
        <v>3.68</v>
      </c>
      <c r="D1980" s="1">
        <f>IFERROR(__xludf.DUMMYFUNCTION("""COMPUTED_VALUE"""),3.56)</f>
        <v>3.56</v>
      </c>
      <c r="E1980" s="1">
        <f>IFERROR(__xludf.DUMMYFUNCTION("""COMPUTED_VALUE"""),3.66)</f>
        <v>3.66</v>
      </c>
      <c r="F1980" s="1">
        <f>IFERROR(__xludf.DUMMYFUNCTION("""COMPUTED_VALUE"""),577182.0)</f>
        <v>577182</v>
      </c>
    </row>
    <row r="1981">
      <c r="A1981" s="2">
        <f>IFERROR(__xludf.DUMMYFUNCTION("""COMPUTED_VALUE"""),42041.66666666667)</f>
        <v>42041.66667</v>
      </c>
      <c r="B1981" s="1">
        <f>IFERROR(__xludf.DUMMYFUNCTION("""COMPUTED_VALUE"""),3.68)</f>
        <v>3.68</v>
      </c>
      <c r="C1981" s="1">
        <f>IFERROR(__xludf.DUMMYFUNCTION("""COMPUTED_VALUE"""),3.74)</f>
        <v>3.74</v>
      </c>
      <c r="D1981" s="1">
        <f>IFERROR(__xludf.DUMMYFUNCTION("""COMPUTED_VALUE"""),3.62)</f>
        <v>3.62</v>
      </c>
      <c r="E1981" s="1">
        <f>IFERROR(__xludf.DUMMYFUNCTION("""COMPUTED_VALUE"""),3.71)</f>
        <v>3.71</v>
      </c>
      <c r="F1981" s="1">
        <f>IFERROR(__xludf.DUMMYFUNCTION("""COMPUTED_VALUE"""),447967.0)</f>
        <v>447967</v>
      </c>
    </row>
    <row r="1982">
      <c r="A1982" s="2">
        <f>IFERROR(__xludf.DUMMYFUNCTION("""COMPUTED_VALUE"""),42044.66666666667)</f>
        <v>42044.66667</v>
      </c>
      <c r="B1982" s="1">
        <f>IFERROR(__xludf.DUMMYFUNCTION("""COMPUTED_VALUE"""),3.68)</f>
        <v>3.68</v>
      </c>
      <c r="C1982" s="1">
        <f>IFERROR(__xludf.DUMMYFUNCTION("""COMPUTED_VALUE"""),3.74)</f>
        <v>3.74</v>
      </c>
      <c r="D1982" s="1">
        <f>IFERROR(__xludf.DUMMYFUNCTION("""COMPUTED_VALUE"""),3.65)</f>
        <v>3.65</v>
      </c>
      <c r="E1982" s="1">
        <f>IFERROR(__xludf.DUMMYFUNCTION("""COMPUTED_VALUE"""),3.72)</f>
        <v>3.72</v>
      </c>
      <c r="F1982" s="1">
        <f>IFERROR(__xludf.DUMMYFUNCTION("""COMPUTED_VALUE"""),313035.0)</f>
        <v>313035</v>
      </c>
    </row>
    <row r="1983">
      <c r="A1983" s="2">
        <f>IFERROR(__xludf.DUMMYFUNCTION("""COMPUTED_VALUE"""),42045.66666666667)</f>
        <v>42045.66667</v>
      </c>
      <c r="B1983" s="1">
        <f>IFERROR(__xludf.DUMMYFUNCTION("""COMPUTED_VALUE"""),3.77)</f>
        <v>3.77</v>
      </c>
      <c r="C1983" s="1">
        <f>IFERROR(__xludf.DUMMYFUNCTION("""COMPUTED_VALUE"""),3.93)</f>
        <v>3.93</v>
      </c>
      <c r="D1983" s="1">
        <f>IFERROR(__xludf.DUMMYFUNCTION("""COMPUTED_VALUE"""),3.72)</f>
        <v>3.72</v>
      </c>
      <c r="E1983" s="1">
        <f>IFERROR(__xludf.DUMMYFUNCTION("""COMPUTED_VALUE"""),3.92)</f>
        <v>3.92</v>
      </c>
      <c r="F1983" s="1">
        <f>IFERROR(__xludf.DUMMYFUNCTION("""COMPUTED_VALUE"""),841980.0)</f>
        <v>841980</v>
      </c>
    </row>
    <row r="1984">
      <c r="A1984" s="2">
        <f>IFERROR(__xludf.DUMMYFUNCTION("""COMPUTED_VALUE"""),42046.66666666667)</f>
        <v>42046.66667</v>
      </c>
      <c r="B1984" s="1">
        <f>IFERROR(__xludf.DUMMYFUNCTION("""COMPUTED_VALUE"""),3.95)</f>
        <v>3.95</v>
      </c>
      <c r="C1984" s="1">
        <f>IFERROR(__xludf.DUMMYFUNCTION("""COMPUTED_VALUE"""),4.04)</f>
        <v>4.04</v>
      </c>
      <c r="D1984" s="1">
        <f>IFERROR(__xludf.DUMMYFUNCTION("""COMPUTED_VALUE"""),3.91)</f>
        <v>3.91</v>
      </c>
      <c r="E1984" s="1">
        <f>IFERROR(__xludf.DUMMYFUNCTION("""COMPUTED_VALUE"""),3.92)</f>
        <v>3.92</v>
      </c>
      <c r="F1984" s="1">
        <f>IFERROR(__xludf.DUMMYFUNCTION("""COMPUTED_VALUE"""),906383.0)</f>
        <v>906383</v>
      </c>
    </row>
    <row r="1985">
      <c r="A1985" s="2">
        <f>IFERROR(__xludf.DUMMYFUNCTION("""COMPUTED_VALUE"""),42047.66666666667)</f>
        <v>42047.66667</v>
      </c>
      <c r="B1985" s="1">
        <f>IFERROR(__xludf.DUMMYFUNCTION("""COMPUTED_VALUE"""),4.0)</f>
        <v>4</v>
      </c>
      <c r="C1985" s="1">
        <f>IFERROR(__xludf.DUMMYFUNCTION("""COMPUTED_VALUE"""),4.01)</f>
        <v>4.01</v>
      </c>
      <c r="D1985" s="1">
        <f>IFERROR(__xludf.DUMMYFUNCTION("""COMPUTED_VALUE"""),3.93)</f>
        <v>3.93</v>
      </c>
      <c r="E1985" s="1">
        <f>IFERROR(__xludf.DUMMYFUNCTION("""COMPUTED_VALUE"""),4.0)</f>
        <v>4</v>
      </c>
      <c r="F1985" s="1">
        <f>IFERROR(__xludf.DUMMYFUNCTION("""COMPUTED_VALUE"""),552221.0)</f>
        <v>552221</v>
      </c>
    </row>
    <row r="1986">
      <c r="A1986" s="2">
        <f>IFERROR(__xludf.DUMMYFUNCTION("""COMPUTED_VALUE"""),42048.66666666667)</f>
        <v>42048.66667</v>
      </c>
      <c r="B1986" s="1">
        <f>IFERROR(__xludf.DUMMYFUNCTION("""COMPUTED_VALUE"""),4.0)</f>
        <v>4</v>
      </c>
      <c r="C1986" s="1">
        <f>IFERROR(__xludf.DUMMYFUNCTION("""COMPUTED_VALUE"""),4.04)</f>
        <v>4.04</v>
      </c>
      <c r="D1986" s="1">
        <f>IFERROR(__xludf.DUMMYFUNCTION("""COMPUTED_VALUE"""),3.93)</f>
        <v>3.93</v>
      </c>
      <c r="E1986" s="1">
        <f>IFERROR(__xludf.DUMMYFUNCTION("""COMPUTED_VALUE"""),3.97)</f>
        <v>3.97</v>
      </c>
      <c r="F1986" s="1">
        <f>IFERROR(__xludf.DUMMYFUNCTION("""COMPUTED_VALUE"""),475197.0)</f>
        <v>475197</v>
      </c>
    </row>
    <row r="1987">
      <c r="A1987" s="2">
        <f>IFERROR(__xludf.DUMMYFUNCTION("""COMPUTED_VALUE"""),42052.66666666667)</f>
        <v>42052.66667</v>
      </c>
      <c r="B1987" s="1">
        <f>IFERROR(__xludf.DUMMYFUNCTION("""COMPUTED_VALUE"""),3.97)</f>
        <v>3.97</v>
      </c>
      <c r="C1987" s="1">
        <f>IFERROR(__xludf.DUMMYFUNCTION("""COMPUTED_VALUE"""),4.01)</f>
        <v>4.01</v>
      </c>
      <c r="D1987" s="1">
        <f>IFERROR(__xludf.DUMMYFUNCTION("""COMPUTED_VALUE"""),3.96)</f>
        <v>3.96</v>
      </c>
      <c r="E1987" s="1">
        <f>IFERROR(__xludf.DUMMYFUNCTION("""COMPUTED_VALUE"""),3.99)</f>
        <v>3.99</v>
      </c>
      <c r="F1987" s="1">
        <f>IFERROR(__xludf.DUMMYFUNCTION("""COMPUTED_VALUE"""),381356.0)</f>
        <v>381356</v>
      </c>
    </row>
    <row r="1988">
      <c r="A1988" s="2">
        <f>IFERROR(__xludf.DUMMYFUNCTION("""COMPUTED_VALUE"""),42053.66666666667)</f>
        <v>42053.66667</v>
      </c>
      <c r="B1988" s="1">
        <f>IFERROR(__xludf.DUMMYFUNCTION("""COMPUTED_VALUE"""),3.96)</f>
        <v>3.96</v>
      </c>
      <c r="C1988" s="1">
        <f>IFERROR(__xludf.DUMMYFUNCTION("""COMPUTED_VALUE"""),3.99)</f>
        <v>3.99</v>
      </c>
      <c r="D1988" s="1">
        <f>IFERROR(__xludf.DUMMYFUNCTION("""COMPUTED_VALUE"""),3.85)</f>
        <v>3.85</v>
      </c>
      <c r="E1988" s="1">
        <f>IFERROR(__xludf.DUMMYFUNCTION("""COMPUTED_VALUE"""),3.91)</f>
        <v>3.91</v>
      </c>
      <c r="F1988" s="1">
        <f>IFERROR(__xludf.DUMMYFUNCTION("""COMPUTED_VALUE"""),379834.0)</f>
        <v>379834</v>
      </c>
    </row>
    <row r="1989">
      <c r="A1989" s="2">
        <f>IFERROR(__xludf.DUMMYFUNCTION("""COMPUTED_VALUE"""),42054.66666666667)</f>
        <v>42054.66667</v>
      </c>
      <c r="B1989" s="1">
        <f>IFERROR(__xludf.DUMMYFUNCTION("""COMPUTED_VALUE"""),3.92)</f>
        <v>3.92</v>
      </c>
      <c r="C1989" s="1">
        <f>IFERROR(__xludf.DUMMYFUNCTION("""COMPUTED_VALUE"""),3.94)</f>
        <v>3.94</v>
      </c>
      <c r="D1989" s="1">
        <f>IFERROR(__xludf.DUMMYFUNCTION("""COMPUTED_VALUE"""),3.86)</f>
        <v>3.86</v>
      </c>
      <c r="E1989" s="1">
        <f>IFERROR(__xludf.DUMMYFUNCTION("""COMPUTED_VALUE"""),3.92)</f>
        <v>3.92</v>
      </c>
      <c r="F1989" s="1">
        <f>IFERROR(__xludf.DUMMYFUNCTION("""COMPUTED_VALUE"""),200182.0)</f>
        <v>200182</v>
      </c>
    </row>
    <row r="1990">
      <c r="A1990" s="2">
        <f>IFERROR(__xludf.DUMMYFUNCTION("""COMPUTED_VALUE"""),42055.66666666667)</f>
        <v>42055.66667</v>
      </c>
      <c r="B1990" s="1">
        <f>IFERROR(__xludf.DUMMYFUNCTION("""COMPUTED_VALUE"""),3.93)</f>
        <v>3.93</v>
      </c>
      <c r="C1990" s="1">
        <f>IFERROR(__xludf.DUMMYFUNCTION("""COMPUTED_VALUE"""),3.93)</f>
        <v>3.93</v>
      </c>
      <c r="D1990" s="1">
        <f>IFERROR(__xludf.DUMMYFUNCTION("""COMPUTED_VALUE"""),3.87)</f>
        <v>3.87</v>
      </c>
      <c r="E1990" s="1">
        <f>IFERROR(__xludf.DUMMYFUNCTION("""COMPUTED_VALUE"""),3.92)</f>
        <v>3.92</v>
      </c>
      <c r="F1990" s="1">
        <f>IFERROR(__xludf.DUMMYFUNCTION("""COMPUTED_VALUE"""),219286.0)</f>
        <v>219286</v>
      </c>
    </row>
    <row r="1991">
      <c r="A1991" s="2">
        <f>IFERROR(__xludf.DUMMYFUNCTION("""COMPUTED_VALUE"""),42058.66666666667)</f>
        <v>42058.66667</v>
      </c>
      <c r="B1991" s="1">
        <f>IFERROR(__xludf.DUMMYFUNCTION("""COMPUTED_VALUE"""),3.93)</f>
        <v>3.93</v>
      </c>
      <c r="C1991" s="1">
        <f>IFERROR(__xludf.DUMMYFUNCTION("""COMPUTED_VALUE"""),3.94)</f>
        <v>3.94</v>
      </c>
      <c r="D1991" s="1">
        <f>IFERROR(__xludf.DUMMYFUNCTION("""COMPUTED_VALUE"""),3.79)</f>
        <v>3.79</v>
      </c>
      <c r="E1991" s="1">
        <f>IFERROR(__xludf.DUMMYFUNCTION("""COMPUTED_VALUE"""),3.87)</f>
        <v>3.87</v>
      </c>
      <c r="F1991" s="1">
        <f>IFERROR(__xludf.DUMMYFUNCTION("""COMPUTED_VALUE"""),475272.0)</f>
        <v>475272</v>
      </c>
    </row>
    <row r="1992">
      <c r="A1992" s="2">
        <f>IFERROR(__xludf.DUMMYFUNCTION("""COMPUTED_VALUE"""),42059.66666666667)</f>
        <v>42059.66667</v>
      </c>
      <c r="B1992" s="1">
        <f>IFERROR(__xludf.DUMMYFUNCTION("""COMPUTED_VALUE"""),3.88)</f>
        <v>3.88</v>
      </c>
      <c r="C1992" s="1">
        <f>IFERROR(__xludf.DUMMYFUNCTION("""COMPUTED_VALUE"""),4.08)</f>
        <v>4.08</v>
      </c>
      <c r="D1992" s="1">
        <f>IFERROR(__xludf.DUMMYFUNCTION("""COMPUTED_VALUE"""),3.86)</f>
        <v>3.86</v>
      </c>
      <c r="E1992" s="1">
        <f>IFERROR(__xludf.DUMMYFUNCTION("""COMPUTED_VALUE"""),4.07)</f>
        <v>4.07</v>
      </c>
      <c r="F1992" s="1">
        <f>IFERROR(__xludf.DUMMYFUNCTION("""COMPUTED_VALUE"""),932869.0)</f>
        <v>932869</v>
      </c>
    </row>
    <row r="1993">
      <c r="A1993" s="2">
        <f>IFERROR(__xludf.DUMMYFUNCTION("""COMPUTED_VALUE"""),42060.66666666667)</f>
        <v>42060.66667</v>
      </c>
      <c r="B1993" s="1">
        <f>IFERROR(__xludf.DUMMYFUNCTION("""COMPUTED_VALUE"""),4.1)</f>
        <v>4.1</v>
      </c>
      <c r="C1993" s="1">
        <f>IFERROR(__xludf.DUMMYFUNCTION("""COMPUTED_VALUE"""),4.1)</f>
        <v>4.1</v>
      </c>
      <c r="D1993" s="1">
        <f>IFERROR(__xludf.DUMMYFUNCTION("""COMPUTED_VALUE"""),3.88)</f>
        <v>3.88</v>
      </c>
      <c r="E1993" s="1">
        <f>IFERROR(__xludf.DUMMYFUNCTION("""COMPUTED_VALUE"""),4.01)</f>
        <v>4.01</v>
      </c>
      <c r="F1993" s="1">
        <f>IFERROR(__xludf.DUMMYFUNCTION("""COMPUTED_VALUE"""),859561.0)</f>
        <v>859561</v>
      </c>
    </row>
    <row r="1994">
      <c r="A1994" s="2">
        <f>IFERROR(__xludf.DUMMYFUNCTION("""COMPUTED_VALUE"""),42061.66666666667)</f>
        <v>42061.66667</v>
      </c>
      <c r="B1994" s="1">
        <f>IFERROR(__xludf.DUMMYFUNCTION("""COMPUTED_VALUE"""),4.04)</f>
        <v>4.04</v>
      </c>
      <c r="C1994" s="1">
        <f>IFERROR(__xludf.DUMMYFUNCTION("""COMPUTED_VALUE"""),4.2)</f>
        <v>4.2</v>
      </c>
      <c r="D1994" s="1">
        <f>IFERROR(__xludf.DUMMYFUNCTION("""COMPUTED_VALUE"""),4.02)</f>
        <v>4.02</v>
      </c>
      <c r="E1994" s="1">
        <f>IFERROR(__xludf.DUMMYFUNCTION("""COMPUTED_VALUE"""),4.11)</f>
        <v>4.11</v>
      </c>
      <c r="F1994" s="1">
        <f>IFERROR(__xludf.DUMMYFUNCTION("""COMPUTED_VALUE"""),832147.0)</f>
        <v>832147</v>
      </c>
    </row>
    <row r="1995">
      <c r="A1995" s="2">
        <f>IFERROR(__xludf.DUMMYFUNCTION("""COMPUTED_VALUE"""),42062.66666666667)</f>
        <v>42062.66667</v>
      </c>
      <c r="B1995" s="1">
        <f>IFERROR(__xludf.DUMMYFUNCTION("""COMPUTED_VALUE"""),4.18)</f>
        <v>4.18</v>
      </c>
      <c r="C1995" s="1">
        <f>IFERROR(__xludf.DUMMYFUNCTION("""COMPUTED_VALUE"""),4.18)</f>
        <v>4.18</v>
      </c>
      <c r="D1995" s="1">
        <f>IFERROR(__xludf.DUMMYFUNCTION("""COMPUTED_VALUE"""),4.01)</f>
        <v>4.01</v>
      </c>
      <c r="E1995" s="1">
        <f>IFERROR(__xludf.DUMMYFUNCTION("""COMPUTED_VALUE"""),4.02)</f>
        <v>4.02</v>
      </c>
      <c r="F1995" s="1">
        <f>IFERROR(__xludf.DUMMYFUNCTION("""COMPUTED_VALUE"""),539597.0)</f>
        <v>539597</v>
      </c>
    </row>
    <row r="1996">
      <c r="A1996" s="2">
        <f>IFERROR(__xludf.DUMMYFUNCTION("""COMPUTED_VALUE"""),42065.66666666667)</f>
        <v>42065.66667</v>
      </c>
      <c r="B1996" s="1">
        <f>IFERROR(__xludf.DUMMYFUNCTION("""COMPUTED_VALUE"""),4.02)</f>
        <v>4.02</v>
      </c>
      <c r="C1996" s="1">
        <f>IFERROR(__xludf.DUMMYFUNCTION("""COMPUTED_VALUE"""),4.06)</f>
        <v>4.06</v>
      </c>
      <c r="D1996" s="1">
        <f>IFERROR(__xludf.DUMMYFUNCTION("""COMPUTED_VALUE"""),3.97)</f>
        <v>3.97</v>
      </c>
      <c r="E1996" s="1">
        <f>IFERROR(__xludf.DUMMYFUNCTION("""COMPUTED_VALUE"""),4.03)</f>
        <v>4.03</v>
      </c>
      <c r="F1996" s="1">
        <f>IFERROR(__xludf.DUMMYFUNCTION("""COMPUTED_VALUE"""),389473.0)</f>
        <v>389473</v>
      </c>
    </row>
    <row r="1997">
      <c r="A1997" s="2">
        <f>IFERROR(__xludf.DUMMYFUNCTION("""COMPUTED_VALUE"""),42066.66666666667)</f>
        <v>42066.66667</v>
      </c>
      <c r="B1997" s="1">
        <f>IFERROR(__xludf.DUMMYFUNCTION("""COMPUTED_VALUE"""),4.03)</f>
        <v>4.03</v>
      </c>
      <c r="C1997" s="1">
        <f>IFERROR(__xludf.DUMMYFUNCTION("""COMPUTED_VALUE"""),4.03)</f>
        <v>4.03</v>
      </c>
      <c r="D1997" s="1">
        <f>IFERROR(__xludf.DUMMYFUNCTION("""COMPUTED_VALUE"""),3.93)</f>
        <v>3.93</v>
      </c>
      <c r="E1997" s="1">
        <f>IFERROR(__xludf.DUMMYFUNCTION("""COMPUTED_VALUE"""),3.98)</f>
        <v>3.98</v>
      </c>
      <c r="F1997" s="1">
        <f>IFERROR(__xludf.DUMMYFUNCTION("""COMPUTED_VALUE"""),423030.0)</f>
        <v>423030</v>
      </c>
    </row>
    <row r="1998">
      <c r="A1998" s="2">
        <f>IFERROR(__xludf.DUMMYFUNCTION("""COMPUTED_VALUE"""),42067.66666666667)</f>
        <v>42067.66667</v>
      </c>
      <c r="B1998" s="1">
        <f>IFERROR(__xludf.DUMMYFUNCTION("""COMPUTED_VALUE"""),3.96)</f>
        <v>3.96</v>
      </c>
      <c r="C1998" s="1">
        <f>IFERROR(__xludf.DUMMYFUNCTION("""COMPUTED_VALUE"""),3.96)</f>
        <v>3.96</v>
      </c>
      <c r="D1998" s="1">
        <f>IFERROR(__xludf.DUMMYFUNCTION("""COMPUTED_VALUE"""),3.89)</f>
        <v>3.89</v>
      </c>
      <c r="E1998" s="1">
        <f>IFERROR(__xludf.DUMMYFUNCTION("""COMPUTED_VALUE"""),3.92)</f>
        <v>3.92</v>
      </c>
      <c r="F1998" s="1">
        <f>IFERROR(__xludf.DUMMYFUNCTION("""COMPUTED_VALUE"""),300693.0)</f>
        <v>300693</v>
      </c>
    </row>
    <row r="1999">
      <c r="A1999" s="2">
        <f>IFERROR(__xludf.DUMMYFUNCTION("""COMPUTED_VALUE"""),42068.66666666667)</f>
        <v>42068.66667</v>
      </c>
      <c r="B1999" s="1">
        <f>IFERROR(__xludf.DUMMYFUNCTION("""COMPUTED_VALUE"""),3.94)</f>
        <v>3.94</v>
      </c>
      <c r="C1999" s="1">
        <f>IFERROR(__xludf.DUMMYFUNCTION("""COMPUTED_VALUE"""),4.01)</f>
        <v>4.01</v>
      </c>
      <c r="D1999" s="1">
        <f>IFERROR(__xludf.DUMMYFUNCTION("""COMPUTED_VALUE"""),3.89)</f>
        <v>3.89</v>
      </c>
      <c r="E1999" s="1">
        <f>IFERROR(__xludf.DUMMYFUNCTION("""COMPUTED_VALUE"""),3.94)</f>
        <v>3.94</v>
      </c>
      <c r="F1999" s="1">
        <f>IFERROR(__xludf.DUMMYFUNCTION("""COMPUTED_VALUE"""),289818.0)</f>
        <v>289818</v>
      </c>
    </row>
    <row r="2000">
      <c r="A2000" s="2">
        <f>IFERROR(__xludf.DUMMYFUNCTION("""COMPUTED_VALUE"""),42069.66666666667)</f>
        <v>42069.66667</v>
      </c>
      <c r="B2000" s="1">
        <f>IFERROR(__xludf.DUMMYFUNCTION("""COMPUTED_VALUE"""),3.92)</f>
        <v>3.92</v>
      </c>
      <c r="C2000" s="1">
        <f>IFERROR(__xludf.DUMMYFUNCTION("""COMPUTED_VALUE"""),3.95)</f>
        <v>3.95</v>
      </c>
      <c r="D2000" s="1">
        <f>IFERROR(__xludf.DUMMYFUNCTION("""COMPUTED_VALUE"""),3.81)</f>
        <v>3.81</v>
      </c>
      <c r="E2000" s="1">
        <f>IFERROR(__xludf.DUMMYFUNCTION("""COMPUTED_VALUE"""),3.81)</f>
        <v>3.81</v>
      </c>
      <c r="F2000" s="1">
        <f>IFERROR(__xludf.DUMMYFUNCTION("""COMPUTED_VALUE"""),336820.0)</f>
        <v>336820</v>
      </c>
    </row>
    <row r="2001">
      <c r="A2001" s="2">
        <f>IFERROR(__xludf.DUMMYFUNCTION("""COMPUTED_VALUE"""),42072.66666666667)</f>
        <v>42072.66667</v>
      </c>
      <c r="B2001" s="1">
        <f>IFERROR(__xludf.DUMMYFUNCTION("""COMPUTED_VALUE"""),3.85)</f>
        <v>3.85</v>
      </c>
      <c r="C2001" s="1">
        <f>IFERROR(__xludf.DUMMYFUNCTION("""COMPUTED_VALUE"""),3.85)</f>
        <v>3.85</v>
      </c>
      <c r="D2001" s="1">
        <f>IFERROR(__xludf.DUMMYFUNCTION("""COMPUTED_VALUE"""),3.76)</f>
        <v>3.76</v>
      </c>
      <c r="E2001" s="1">
        <f>IFERROR(__xludf.DUMMYFUNCTION("""COMPUTED_VALUE"""),3.81)</f>
        <v>3.81</v>
      </c>
      <c r="F2001" s="1">
        <f>IFERROR(__xludf.DUMMYFUNCTION("""COMPUTED_VALUE"""),418831.0)</f>
        <v>418831</v>
      </c>
    </row>
    <row r="2002">
      <c r="A2002" s="2">
        <f>IFERROR(__xludf.DUMMYFUNCTION("""COMPUTED_VALUE"""),42073.66666666667)</f>
        <v>42073.66667</v>
      </c>
      <c r="B2002" s="1">
        <f>IFERROR(__xludf.DUMMYFUNCTION("""COMPUTED_VALUE"""),3.77)</f>
        <v>3.77</v>
      </c>
      <c r="C2002" s="1">
        <f>IFERROR(__xludf.DUMMYFUNCTION("""COMPUTED_VALUE"""),3.79)</f>
        <v>3.79</v>
      </c>
      <c r="D2002" s="1">
        <f>IFERROR(__xludf.DUMMYFUNCTION("""COMPUTED_VALUE"""),3.67)</f>
        <v>3.67</v>
      </c>
      <c r="E2002" s="1">
        <f>IFERROR(__xludf.DUMMYFUNCTION("""COMPUTED_VALUE"""),3.71)</f>
        <v>3.71</v>
      </c>
      <c r="F2002" s="1">
        <f>IFERROR(__xludf.DUMMYFUNCTION("""COMPUTED_VALUE"""),538439.0)</f>
        <v>538439</v>
      </c>
    </row>
    <row r="2003">
      <c r="A2003" s="2">
        <f>IFERROR(__xludf.DUMMYFUNCTION("""COMPUTED_VALUE"""),42074.66666666667)</f>
        <v>42074.66667</v>
      </c>
      <c r="B2003" s="1">
        <f>IFERROR(__xludf.DUMMYFUNCTION("""COMPUTED_VALUE"""),3.74)</f>
        <v>3.74</v>
      </c>
      <c r="C2003" s="1">
        <f>IFERROR(__xludf.DUMMYFUNCTION("""COMPUTED_VALUE"""),3.82)</f>
        <v>3.82</v>
      </c>
      <c r="D2003" s="1">
        <f>IFERROR(__xludf.DUMMYFUNCTION("""COMPUTED_VALUE"""),3.71)</f>
        <v>3.71</v>
      </c>
      <c r="E2003" s="1">
        <f>IFERROR(__xludf.DUMMYFUNCTION("""COMPUTED_VALUE"""),3.82)</f>
        <v>3.82</v>
      </c>
      <c r="F2003" s="1">
        <f>IFERROR(__xludf.DUMMYFUNCTION("""COMPUTED_VALUE"""),365826.0)</f>
        <v>365826</v>
      </c>
    </row>
    <row r="2004">
      <c r="A2004" s="2">
        <f>IFERROR(__xludf.DUMMYFUNCTION("""COMPUTED_VALUE"""),42075.66666666667)</f>
        <v>42075.66667</v>
      </c>
      <c r="B2004" s="1">
        <f>IFERROR(__xludf.DUMMYFUNCTION("""COMPUTED_VALUE"""),3.83)</f>
        <v>3.83</v>
      </c>
      <c r="C2004" s="1">
        <f>IFERROR(__xludf.DUMMYFUNCTION("""COMPUTED_VALUE"""),3.84)</f>
        <v>3.84</v>
      </c>
      <c r="D2004" s="1">
        <f>IFERROR(__xludf.DUMMYFUNCTION("""COMPUTED_VALUE"""),3.68)</f>
        <v>3.68</v>
      </c>
      <c r="E2004" s="1">
        <f>IFERROR(__xludf.DUMMYFUNCTION("""COMPUTED_VALUE"""),3.73)</f>
        <v>3.73</v>
      </c>
      <c r="F2004" s="1">
        <f>IFERROR(__xludf.DUMMYFUNCTION("""COMPUTED_VALUE"""),580625.0)</f>
        <v>580625</v>
      </c>
    </row>
    <row r="2005">
      <c r="A2005" s="2">
        <f>IFERROR(__xludf.DUMMYFUNCTION("""COMPUTED_VALUE"""),42076.66666666667)</f>
        <v>42076.66667</v>
      </c>
      <c r="B2005" s="1">
        <f>IFERROR(__xludf.DUMMYFUNCTION("""COMPUTED_VALUE"""),3.7)</f>
        <v>3.7</v>
      </c>
      <c r="C2005" s="1">
        <f>IFERROR(__xludf.DUMMYFUNCTION("""COMPUTED_VALUE"""),3.73)</f>
        <v>3.73</v>
      </c>
      <c r="D2005" s="1">
        <f>IFERROR(__xludf.DUMMYFUNCTION("""COMPUTED_VALUE"""),3.53)</f>
        <v>3.53</v>
      </c>
      <c r="E2005" s="1">
        <f>IFERROR(__xludf.DUMMYFUNCTION("""COMPUTED_VALUE"""),3.61)</f>
        <v>3.61</v>
      </c>
      <c r="F2005" s="1">
        <f>IFERROR(__xludf.DUMMYFUNCTION("""COMPUTED_VALUE"""),1069082.0)</f>
        <v>1069082</v>
      </c>
    </row>
    <row r="2006">
      <c r="A2006" s="2">
        <f>IFERROR(__xludf.DUMMYFUNCTION("""COMPUTED_VALUE"""),42079.66666666667)</f>
        <v>42079.66667</v>
      </c>
      <c r="B2006" s="1">
        <f>IFERROR(__xludf.DUMMYFUNCTION("""COMPUTED_VALUE"""),3.61)</f>
        <v>3.61</v>
      </c>
      <c r="C2006" s="1">
        <f>IFERROR(__xludf.DUMMYFUNCTION("""COMPUTED_VALUE"""),3.71)</f>
        <v>3.71</v>
      </c>
      <c r="D2006" s="1">
        <f>IFERROR(__xludf.DUMMYFUNCTION("""COMPUTED_VALUE"""),3.61)</f>
        <v>3.61</v>
      </c>
      <c r="E2006" s="1">
        <f>IFERROR(__xludf.DUMMYFUNCTION("""COMPUTED_VALUE"""),3.64)</f>
        <v>3.64</v>
      </c>
      <c r="F2006" s="1">
        <f>IFERROR(__xludf.DUMMYFUNCTION("""COMPUTED_VALUE"""),479173.0)</f>
        <v>479173</v>
      </c>
    </row>
    <row r="2007">
      <c r="A2007" s="2">
        <f>IFERROR(__xludf.DUMMYFUNCTION("""COMPUTED_VALUE"""),42080.66666666667)</f>
        <v>42080.66667</v>
      </c>
      <c r="B2007" s="1">
        <f>IFERROR(__xludf.DUMMYFUNCTION("""COMPUTED_VALUE"""),3.63)</f>
        <v>3.63</v>
      </c>
      <c r="C2007" s="1">
        <f>IFERROR(__xludf.DUMMYFUNCTION("""COMPUTED_VALUE"""),3.63)</f>
        <v>3.63</v>
      </c>
      <c r="D2007" s="1">
        <f>IFERROR(__xludf.DUMMYFUNCTION("""COMPUTED_VALUE"""),3.5)</f>
        <v>3.5</v>
      </c>
      <c r="E2007" s="1">
        <f>IFERROR(__xludf.DUMMYFUNCTION("""COMPUTED_VALUE"""),3.54)</f>
        <v>3.54</v>
      </c>
      <c r="F2007" s="1">
        <f>IFERROR(__xludf.DUMMYFUNCTION("""COMPUTED_VALUE"""),684110.0)</f>
        <v>684110</v>
      </c>
    </row>
    <row r="2008">
      <c r="A2008" s="2">
        <f>IFERROR(__xludf.DUMMYFUNCTION("""COMPUTED_VALUE"""),42081.66666666667)</f>
        <v>42081.66667</v>
      </c>
      <c r="B2008" s="1">
        <f>IFERROR(__xludf.DUMMYFUNCTION("""COMPUTED_VALUE"""),3.54)</f>
        <v>3.54</v>
      </c>
      <c r="C2008" s="1">
        <f>IFERROR(__xludf.DUMMYFUNCTION("""COMPUTED_VALUE"""),3.58)</f>
        <v>3.58</v>
      </c>
      <c r="D2008" s="1">
        <f>IFERROR(__xludf.DUMMYFUNCTION("""COMPUTED_VALUE"""),3.52)</f>
        <v>3.52</v>
      </c>
      <c r="E2008" s="1">
        <f>IFERROR(__xludf.DUMMYFUNCTION("""COMPUTED_VALUE"""),3.54)</f>
        <v>3.54</v>
      </c>
      <c r="F2008" s="1">
        <f>IFERROR(__xludf.DUMMYFUNCTION("""COMPUTED_VALUE"""),665960.0)</f>
        <v>665960</v>
      </c>
    </row>
    <row r="2009">
      <c r="A2009" s="2">
        <f>IFERROR(__xludf.DUMMYFUNCTION("""COMPUTED_VALUE"""),42082.66666666667)</f>
        <v>42082.66667</v>
      </c>
      <c r="B2009" s="1">
        <f>IFERROR(__xludf.DUMMYFUNCTION("""COMPUTED_VALUE"""),3.54)</f>
        <v>3.54</v>
      </c>
      <c r="C2009" s="1">
        <f>IFERROR(__xludf.DUMMYFUNCTION("""COMPUTED_VALUE"""),3.68)</f>
        <v>3.68</v>
      </c>
      <c r="D2009" s="1">
        <f>IFERROR(__xludf.DUMMYFUNCTION("""COMPUTED_VALUE"""),3.52)</f>
        <v>3.52</v>
      </c>
      <c r="E2009" s="1">
        <f>IFERROR(__xludf.DUMMYFUNCTION("""COMPUTED_VALUE"""),3.67)</f>
        <v>3.67</v>
      </c>
      <c r="F2009" s="1">
        <f>IFERROR(__xludf.DUMMYFUNCTION("""COMPUTED_VALUE"""),453241.0)</f>
        <v>453241</v>
      </c>
    </row>
    <row r="2010">
      <c r="A2010" s="2">
        <f>IFERROR(__xludf.DUMMYFUNCTION("""COMPUTED_VALUE"""),42083.66666666667)</f>
        <v>42083.66667</v>
      </c>
      <c r="B2010" s="1">
        <f>IFERROR(__xludf.DUMMYFUNCTION("""COMPUTED_VALUE"""),3.68)</f>
        <v>3.68</v>
      </c>
      <c r="C2010" s="1">
        <f>IFERROR(__xludf.DUMMYFUNCTION("""COMPUTED_VALUE"""),3.77)</f>
        <v>3.77</v>
      </c>
      <c r="D2010" s="1">
        <f>IFERROR(__xludf.DUMMYFUNCTION("""COMPUTED_VALUE"""),3.67)</f>
        <v>3.67</v>
      </c>
      <c r="E2010" s="1">
        <f>IFERROR(__xludf.DUMMYFUNCTION("""COMPUTED_VALUE"""),3.72)</f>
        <v>3.72</v>
      </c>
      <c r="F2010" s="1">
        <f>IFERROR(__xludf.DUMMYFUNCTION("""COMPUTED_VALUE"""),527523.0)</f>
        <v>527523</v>
      </c>
    </row>
    <row r="2011">
      <c r="A2011" s="2">
        <f>IFERROR(__xludf.DUMMYFUNCTION("""COMPUTED_VALUE"""),42086.66666666667)</f>
        <v>42086.66667</v>
      </c>
      <c r="B2011" s="1">
        <f>IFERROR(__xludf.DUMMYFUNCTION("""COMPUTED_VALUE"""),3.75)</f>
        <v>3.75</v>
      </c>
      <c r="C2011" s="1">
        <f>IFERROR(__xludf.DUMMYFUNCTION("""COMPUTED_VALUE"""),3.75)</f>
        <v>3.75</v>
      </c>
      <c r="D2011" s="1">
        <f>IFERROR(__xludf.DUMMYFUNCTION("""COMPUTED_VALUE"""),3.66)</f>
        <v>3.66</v>
      </c>
      <c r="E2011" s="1">
        <f>IFERROR(__xludf.DUMMYFUNCTION("""COMPUTED_VALUE"""),3.66)</f>
        <v>3.66</v>
      </c>
      <c r="F2011" s="1">
        <f>IFERROR(__xludf.DUMMYFUNCTION("""COMPUTED_VALUE"""),379854.0)</f>
        <v>379854</v>
      </c>
    </row>
    <row r="2012">
      <c r="A2012" s="2">
        <f>IFERROR(__xludf.DUMMYFUNCTION("""COMPUTED_VALUE"""),42087.66666666667)</f>
        <v>42087.66667</v>
      </c>
      <c r="B2012" s="1">
        <f>IFERROR(__xludf.DUMMYFUNCTION("""COMPUTED_VALUE"""),3.66)</f>
        <v>3.66</v>
      </c>
      <c r="C2012" s="1">
        <f>IFERROR(__xludf.DUMMYFUNCTION("""COMPUTED_VALUE"""),3.68)</f>
        <v>3.68</v>
      </c>
      <c r="D2012" s="1">
        <f>IFERROR(__xludf.DUMMYFUNCTION("""COMPUTED_VALUE"""),3.52)</f>
        <v>3.52</v>
      </c>
      <c r="E2012" s="1">
        <f>IFERROR(__xludf.DUMMYFUNCTION("""COMPUTED_VALUE"""),3.54)</f>
        <v>3.54</v>
      </c>
      <c r="F2012" s="1">
        <f>IFERROR(__xludf.DUMMYFUNCTION("""COMPUTED_VALUE"""),673688.0)</f>
        <v>673688</v>
      </c>
    </row>
    <row r="2013">
      <c r="A2013" s="2">
        <f>IFERROR(__xludf.DUMMYFUNCTION("""COMPUTED_VALUE"""),42088.66666666667)</f>
        <v>42088.66667</v>
      </c>
      <c r="B2013" s="1">
        <f>IFERROR(__xludf.DUMMYFUNCTION("""COMPUTED_VALUE"""),3.53)</f>
        <v>3.53</v>
      </c>
      <c r="C2013" s="1">
        <f>IFERROR(__xludf.DUMMYFUNCTION("""COMPUTED_VALUE"""),3.55)</f>
        <v>3.55</v>
      </c>
      <c r="D2013" s="1">
        <f>IFERROR(__xludf.DUMMYFUNCTION("""COMPUTED_VALUE"""),3.33)</f>
        <v>3.33</v>
      </c>
      <c r="E2013" s="1">
        <f>IFERROR(__xludf.DUMMYFUNCTION("""COMPUTED_VALUE"""),3.33)</f>
        <v>3.33</v>
      </c>
      <c r="F2013" s="1">
        <f>IFERROR(__xludf.DUMMYFUNCTION("""COMPUTED_VALUE"""),916736.0)</f>
        <v>916736</v>
      </c>
    </row>
    <row r="2014">
      <c r="A2014" s="2">
        <f>IFERROR(__xludf.DUMMYFUNCTION("""COMPUTED_VALUE"""),42089.66666666667)</f>
        <v>42089.66667</v>
      </c>
      <c r="B2014" s="1">
        <f>IFERROR(__xludf.DUMMYFUNCTION("""COMPUTED_VALUE"""),3.23)</f>
        <v>3.23</v>
      </c>
      <c r="C2014" s="1">
        <f>IFERROR(__xludf.DUMMYFUNCTION("""COMPUTED_VALUE"""),3.35)</f>
        <v>3.35</v>
      </c>
      <c r="D2014" s="1">
        <f>IFERROR(__xludf.DUMMYFUNCTION("""COMPUTED_VALUE"""),3.21)</f>
        <v>3.21</v>
      </c>
      <c r="E2014" s="1">
        <f>IFERROR(__xludf.DUMMYFUNCTION("""COMPUTED_VALUE"""),3.32)</f>
        <v>3.32</v>
      </c>
      <c r="F2014" s="1">
        <f>IFERROR(__xludf.DUMMYFUNCTION("""COMPUTED_VALUE"""),850985.0)</f>
        <v>850985</v>
      </c>
    </row>
    <row r="2015">
      <c r="A2015" s="2">
        <f>IFERROR(__xludf.DUMMYFUNCTION("""COMPUTED_VALUE"""),42090.66666666667)</f>
        <v>42090.66667</v>
      </c>
      <c r="B2015" s="1">
        <f>IFERROR(__xludf.DUMMYFUNCTION("""COMPUTED_VALUE"""),3.32)</f>
        <v>3.32</v>
      </c>
      <c r="C2015" s="1">
        <f>IFERROR(__xludf.DUMMYFUNCTION("""COMPUTED_VALUE"""),3.41)</f>
        <v>3.41</v>
      </c>
      <c r="D2015" s="1">
        <f>IFERROR(__xludf.DUMMYFUNCTION("""COMPUTED_VALUE"""),3.3)</f>
        <v>3.3</v>
      </c>
      <c r="E2015" s="1">
        <f>IFERROR(__xludf.DUMMYFUNCTION("""COMPUTED_VALUE"""),3.39)</f>
        <v>3.39</v>
      </c>
      <c r="F2015" s="1">
        <f>IFERROR(__xludf.DUMMYFUNCTION("""COMPUTED_VALUE"""),444820.0)</f>
        <v>444820</v>
      </c>
    </row>
    <row r="2016">
      <c r="A2016" s="2">
        <f>IFERROR(__xludf.DUMMYFUNCTION("""COMPUTED_VALUE"""),42093.66666666667)</f>
        <v>42093.66667</v>
      </c>
      <c r="B2016" s="1">
        <f>IFERROR(__xludf.DUMMYFUNCTION("""COMPUTED_VALUE"""),3.39)</f>
        <v>3.39</v>
      </c>
      <c r="C2016" s="1">
        <f>IFERROR(__xludf.DUMMYFUNCTION("""COMPUTED_VALUE"""),3.46)</f>
        <v>3.46</v>
      </c>
      <c r="D2016" s="1">
        <f>IFERROR(__xludf.DUMMYFUNCTION("""COMPUTED_VALUE"""),3.39)</f>
        <v>3.39</v>
      </c>
      <c r="E2016" s="1">
        <f>IFERROR(__xludf.DUMMYFUNCTION("""COMPUTED_VALUE"""),3.41)</f>
        <v>3.41</v>
      </c>
      <c r="F2016" s="1">
        <f>IFERROR(__xludf.DUMMYFUNCTION("""COMPUTED_VALUE"""),375596.0)</f>
        <v>375596</v>
      </c>
    </row>
    <row r="2017">
      <c r="A2017" s="2">
        <f>IFERROR(__xludf.DUMMYFUNCTION("""COMPUTED_VALUE"""),42094.66666666667)</f>
        <v>42094.66667</v>
      </c>
      <c r="B2017" s="1">
        <f>IFERROR(__xludf.DUMMYFUNCTION("""COMPUTED_VALUE"""),3.4)</f>
        <v>3.4</v>
      </c>
      <c r="C2017" s="1">
        <f>IFERROR(__xludf.DUMMYFUNCTION("""COMPUTED_VALUE"""),3.4)</f>
        <v>3.4</v>
      </c>
      <c r="D2017" s="1">
        <f>IFERROR(__xludf.DUMMYFUNCTION("""COMPUTED_VALUE"""),3.32)</f>
        <v>3.32</v>
      </c>
      <c r="E2017" s="1">
        <f>IFERROR(__xludf.DUMMYFUNCTION("""COMPUTED_VALUE"""),3.32)</f>
        <v>3.32</v>
      </c>
      <c r="F2017" s="1">
        <f>IFERROR(__xludf.DUMMYFUNCTION("""COMPUTED_VALUE"""),410072.0)</f>
        <v>410072</v>
      </c>
    </row>
    <row r="2018">
      <c r="A2018" s="2">
        <f>IFERROR(__xludf.DUMMYFUNCTION("""COMPUTED_VALUE"""),42095.66666666667)</f>
        <v>42095.66667</v>
      </c>
      <c r="B2018" s="1">
        <f>IFERROR(__xludf.DUMMYFUNCTION("""COMPUTED_VALUE"""),3.33)</f>
        <v>3.33</v>
      </c>
      <c r="C2018" s="1">
        <f>IFERROR(__xludf.DUMMYFUNCTION("""COMPUTED_VALUE"""),3.38)</f>
        <v>3.38</v>
      </c>
      <c r="D2018" s="1">
        <f>IFERROR(__xludf.DUMMYFUNCTION("""COMPUTED_VALUE"""),3.27)</f>
        <v>3.27</v>
      </c>
      <c r="E2018" s="1">
        <f>IFERROR(__xludf.DUMMYFUNCTION("""COMPUTED_VALUE"""),3.37)</f>
        <v>3.37</v>
      </c>
      <c r="F2018" s="1">
        <f>IFERROR(__xludf.DUMMYFUNCTION("""COMPUTED_VALUE"""),397243.0)</f>
        <v>397243</v>
      </c>
    </row>
    <row r="2019">
      <c r="A2019" s="2">
        <f>IFERROR(__xludf.DUMMYFUNCTION("""COMPUTED_VALUE"""),42096.66666666667)</f>
        <v>42096.66667</v>
      </c>
      <c r="B2019" s="1">
        <f>IFERROR(__xludf.DUMMYFUNCTION("""COMPUTED_VALUE"""),3.39)</f>
        <v>3.39</v>
      </c>
      <c r="C2019" s="1">
        <f>IFERROR(__xludf.DUMMYFUNCTION("""COMPUTED_VALUE"""),3.43)</f>
        <v>3.43</v>
      </c>
      <c r="D2019" s="1">
        <f>IFERROR(__xludf.DUMMYFUNCTION("""COMPUTED_VALUE"""),3.38)</f>
        <v>3.38</v>
      </c>
      <c r="E2019" s="1">
        <f>IFERROR(__xludf.DUMMYFUNCTION("""COMPUTED_VALUE"""),3.41)</f>
        <v>3.41</v>
      </c>
      <c r="F2019" s="1">
        <f>IFERROR(__xludf.DUMMYFUNCTION("""COMPUTED_VALUE"""),365682.0)</f>
        <v>365682</v>
      </c>
    </row>
    <row r="2020">
      <c r="A2020" s="2">
        <f>IFERROR(__xludf.DUMMYFUNCTION("""COMPUTED_VALUE"""),42100.66666666667)</f>
        <v>42100.66667</v>
      </c>
      <c r="B2020" s="1">
        <f>IFERROR(__xludf.DUMMYFUNCTION("""COMPUTED_VALUE"""),3.38)</f>
        <v>3.38</v>
      </c>
      <c r="C2020" s="1">
        <f>IFERROR(__xludf.DUMMYFUNCTION("""COMPUTED_VALUE"""),3.42)</f>
        <v>3.42</v>
      </c>
      <c r="D2020" s="1">
        <f>IFERROR(__xludf.DUMMYFUNCTION("""COMPUTED_VALUE"""),3.35)</f>
        <v>3.35</v>
      </c>
      <c r="E2020" s="1">
        <f>IFERROR(__xludf.DUMMYFUNCTION("""COMPUTED_VALUE"""),3.37)</f>
        <v>3.37</v>
      </c>
      <c r="F2020" s="1">
        <f>IFERROR(__xludf.DUMMYFUNCTION("""COMPUTED_VALUE"""),250427.0)</f>
        <v>250427</v>
      </c>
    </row>
    <row r="2021">
      <c r="A2021" s="2">
        <f>IFERROR(__xludf.DUMMYFUNCTION("""COMPUTED_VALUE"""),42101.66666666667)</f>
        <v>42101.66667</v>
      </c>
      <c r="B2021" s="1">
        <f>IFERROR(__xludf.DUMMYFUNCTION("""COMPUTED_VALUE"""),3.39)</f>
        <v>3.39</v>
      </c>
      <c r="C2021" s="1">
        <f>IFERROR(__xludf.DUMMYFUNCTION("""COMPUTED_VALUE"""),3.41)</f>
        <v>3.41</v>
      </c>
      <c r="D2021" s="1">
        <f>IFERROR(__xludf.DUMMYFUNCTION("""COMPUTED_VALUE"""),3.34)</f>
        <v>3.34</v>
      </c>
      <c r="E2021" s="1">
        <f>IFERROR(__xludf.DUMMYFUNCTION("""COMPUTED_VALUE"""),3.37)</f>
        <v>3.37</v>
      </c>
      <c r="F2021" s="1">
        <f>IFERROR(__xludf.DUMMYFUNCTION("""COMPUTED_VALUE"""),264310.0)</f>
        <v>264310</v>
      </c>
    </row>
    <row r="2022">
      <c r="A2022" s="2">
        <f>IFERROR(__xludf.DUMMYFUNCTION("""COMPUTED_VALUE"""),42102.66666666667)</f>
        <v>42102.66667</v>
      </c>
      <c r="B2022" s="1">
        <f>IFERROR(__xludf.DUMMYFUNCTION("""COMPUTED_VALUE"""),3.38)</f>
        <v>3.38</v>
      </c>
      <c r="C2022" s="1">
        <f>IFERROR(__xludf.DUMMYFUNCTION("""COMPUTED_VALUE"""),3.47)</f>
        <v>3.47</v>
      </c>
      <c r="D2022" s="1">
        <f>IFERROR(__xludf.DUMMYFUNCTION("""COMPUTED_VALUE"""),3.37)</f>
        <v>3.37</v>
      </c>
      <c r="E2022" s="1">
        <f>IFERROR(__xludf.DUMMYFUNCTION("""COMPUTED_VALUE"""),3.43)</f>
        <v>3.43</v>
      </c>
      <c r="F2022" s="1">
        <f>IFERROR(__xludf.DUMMYFUNCTION("""COMPUTED_VALUE"""),288237.0)</f>
        <v>288237</v>
      </c>
    </row>
    <row r="2023">
      <c r="A2023" s="2">
        <f>IFERROR(__xludf.DUMMYFUNCTION("""COMPUTED_VALUE"""),42103.66666666667)</f>
        <v>42103.66667</v>
      </c>
      <c r="B2023" s="1">
        <f>IFERROR(__xludf.DUMMYFUNCTION("""COMPUTED_VALUE"""),3.44)</f>
        <v>3.44</v>
      </c>
      <c r="C2023" s="1">
        <f>IFERROR(__xludf.DUMMYFUNCTION("""COMPUTED_VALUE"""),3.46)</f>
        <v>3.46</v>
      </c>
      <c r="D2023" s="1">
        <f>IFERROR(__xludf.DUMMYFUNCTION("""COMPUTED_VALUE"""),3.37)</f>
        <v>3.37</v>
      </c>
      <c r="E2023" s="1">
        <f>IFERROR(__xludf.DUMMYFUNCTION("""COMPUTED_VALUE"""),3.45)</f>
        <v>3.45</v>
      </c>
      <c r="F2023" s="1">
        <f>IFERROR(__xludf.DUMMYFUNCTION("""COMPUTED_VALUE"""),321883.0)</f>
        <v>321883</v>
      </c>
    </row>
    <row r="2024">
      <c r="A2024" s="2">
        <f>IFERROR(__xludf.DUMMYFUNCTION("""COMPUTED_VALUE"""),42104.66666666667)</f>
        <v>42104.66667</v>
      </c>
      <c r="B2024" s="1">
        <f>IFERROR(__xludf.DUMMYFUNCTION("""COMPUTED_VALUE"""),3.46)</f>
        <v>3.46</v>
      </c>
      <c r="C2024" s="1">
        <f>IFERROR(__xludf.DUMMYFUNCTION("""COMPUTED_VALUE"""),3.54)</f>
        <v>3.54</v>
      </c>
      <c r="D2024" s="1">
        <f>IFERROR(__xludf.DUMMYFUNCTION("""COMPUTED_VALUE"""),3.44)</f>
        <v>3.44</v>
      </c>
      <c r="E2024" s="1">
        <f>IFERROR(__xludf.DUMMYFUNCTION("""COMPUTED_VALUE"""),3.51)</f>
        <v>3.51</v>
      </c>
      <c r="F2024" s="1">
        <f>IFERROR(__xludf.DUMMYFUNCTION("""COMPUTED_VALUE"""),279373.0)</f>
        <v>279373</v>
      </c>
    </row>
    <row r="2025">
      <c r="A2025" s="2">
        <f>IFERROR(__xludf.DUMMYFUNCTION("""COMPUTED_VALUE"""),42107.66666666667)</f>
        <v>42107.66667</v>
      </c>
      <c r="B2025" s="1">
        <f>IFERROR(__xludf.DUMMYFUNCTION("""COMPUTED_VALUE"""),3.53)</f>
        <v>3.53</v>
      </c>
      <c r="C2025" s="1">
        <f>IFERROR(__xludf.DUMMYFUNCTION("""COMPUTED_VALUE"""),3.59)</f>
        <v>3.59</v>
      </c>
      <c r="D2025" s="1">
        <f>IFERROR(__xludf.DUMMYFUNCTION("""COMPUTED_VALUE"""),3.52)</f>
        <v>3.52</v>
      </c>
      <c r="E2025" s="1">
        <f>IFERROR(__xludf.DUMMYFUNCTION("""COMPUTED_VALUE"""),3.53)</f>
        <v>3.53</v>
      </c>
      <c r="F2025" s="1">
        <f>IFERROR(__xludf.DUMMYFUNCTION("""COMPUTED_VALUE"""),369446.0)</f>
        <v>369446</v>
      </c>
    </row>
    <row r="2026">
      <c r="A2026" s="2">
        <f>IFERROR(__xludf.DUMMYFUNCTION("""COMPUTED_VALUE"""),42108.66666666667)</f>
        <v>42108.66667</v>
      </c>
      <c r="B2026" s="1">
        <f>IFERROR(__xludf.DUMMYFUNCTION("""COMPUTED_VALUE"""),3.54)</f>
        <v>3.54</v>
      </c>
      <c r="C2026" s="1">
        <f>IFERROR(__xludf.DUMMYFUNCTION("""COMPUTED_VALUE"""),3.58)</f>
        <v>3.58</v>
      </c>
      <c r="D2026" s="1">
        <f>IFERROR(__xludf.DUMMYFUNCTION("""COMPUTED_VALUE"""),3.51)</f>
        <v>3.51</v>
      </c>
      <c r="E2026" s="1">
        <f>IFERROR(__xludf.DUMMYFUNCTION("""COMPUTED_VALUE"""),3.55)</f>
        <v>3.55</v>
      </c>
      <c r="F2026" s="1">
        <f>IFERROR(__xludf.DUMMYFUNCTION("""COMPUTED_VALUE"""),257050.0)</f>
        <v>257050</v>
      </c>
    </row>
    <row r="2027">
      <c r="A2027" s="2">
        <f>IFERROR(__xludf.DUMMYFUNCTION("""COMPUTED_VALUE"""),42109.66666666667)</f>
        <v>42109.66667</v>
      </c>
      <c r="B2027" s="1">
        <f>IFERROR(__xludf.DUMMYFUNCTION("""COMPUTED_VALUE"""),3.55)</f>
        <v>3.55</v>
      </c>
      <c r="C2027" s="1">
        <f>IFERROR(__xludf.DUMMYFUNCTION("""COMPUTED_VALUE"""),3.72)</f>
        <v>3.72</v>
      </c>
      <c r="D2027" s="1">
        <f>IFERROR(__xludf.DUMMYFUNCTION("""COMPUTED_VALUE"""),3.55)</f>
        <v>3.55</v>
      </c>
      <c r="E2027" s="1">
        <f>IFERROR(__xludf.DUMMYFUNCTION("""COMPUTED_VALUE"""),3.7)</f>
        <v>3.7</v>
      </c>
      <c r="F2027" s="1">
        <f>IFERROR(__xludf.DUMMYFUNCTION("""COMPUTED_VALUE"""),703932.0)</f>
        <v>703932</v>
      </c>
    </row>
    <row r="2028">
      <c r="A2028" s="2">
        <f>IFERROR(__xludf.DUMMYFUNCTION("""COMPUTED_VALUE"""),42110.66666666667)</f>
        <v>42110.66667</v>
      </c>
      <c r="B2028" s="1">
        <f>IFERROR(__xludf.DUMMYFUNCTION("""COMPUTED_VALUE"""),3.68)</f>
        <v>3.68</v>
      </c>
      <c r="C2028" s="1">
        <f>IFERROR(__xludf.DUMMYFUNCTION("""COMPUTED_VALUE"""),3.8)</f>
        <v>3.8</v>
      </c>
      <c r="D2028" s="1">
        <f>IFERROR(__xludf.DUMMYFUNCTION("""COMPUTED_VALUE"""),3.64)</f>
        <v>3.64</v>
      </c>
      <c r="E2028" s="1">
        <f>IFERROR(__xludf.DUMMYFUNCTION("""COMPUTED_VALUE"""),3.78)</f>
        <v>3.78</v>
      </c>
      <c r="F2028" s="1">
        <f>IFERROR(__xludf.DUMMYFUNCTION("""COMPUTED_VALUE"""),530131.0)</f>
        <v>530131</v>
      </c>
    </row>
    <row r="2029">
      <c r="A2029" s="2">
        <f>IFERROR(__xludf.DUMMYFUNCTION("""COMPUTED_VALUE"""),42111.66666666667)</f>
        <v>42111.66667</v>
      </c>
      <c r="B2029" s="1">
        <f>IFERROR(__xludf.DUMMYFUNCTION("""COMPUTED_VALUE"""),3.73)</f>
        <v>3.73</v>
      </c>
      <c r="C2029" s="1">
        <f>IFERROR(__xludf.DUMMYFUNCTION("""COMPUTED_VALUE"""),3.73)</f>
        <v>3.73</v>
      </c>
      <c r="D2029" s="1">
        <f>IFERROR(__xludf.DUMMYFUNCTION("""COMPUTED_VALUE"""),3.65)</f>
        <v>3.65</v>
      </c>
      <c r="E2029" s="1">
        <f>IFERROR(__xludf.DUMMYFUNCTION("""COMPUTED_VALUE"""),3.68)</f>
        <v>3.68</v>
      </c>
      <c r="F2029" s="1">
        <f>IFERROR(__xludf.DUMMYFUNCTION("""COMPUTED_VALUE"""),455305.0)</f>
        <v>455305</v>
      </c>
    </row>
    <row r="2030">
      <c r="A2030" s="2">
        <f>IFERROR(__xludf.DUMMYFUNCTION("""COMPUTED_VALUE"""),42114.66666666667)</f>
        <v>42114.66667</v>
      </c>
      <c r="B2030" s="1">
        <f>IFERROR(__xludf.DUMMYFUNCTION("""COMPUTED_VALUE"""),3.69)</f>
        <v>3.69</v>
      </c>
      <c r="C2030" s="1">
        <f>IFERROR(__xludf.DUMMYFUNCTION("""COMPUTED_VALUE"""),3.79)</f>
        <v>3.79</v>
      </c>
      <c r="D2030" s="1">
        <f>IFERROR(__xludf.DUMMYFUNCTION("""COMPUTED_VALUE"""),3.68)</f>
        <v>3.68</v>
      </c>
      <c r="E2030" s="1">
        <f>IFERROR(__xludf.DUMMYFUNCTION("""COMPUTED_VALUE"""),3.71)</f>
        <v>3.71</v>
      </c>
      <c r="F2030" s="1">
        <f>IFERROR(__xludf.DUMMYFUNCTION("""COMPUTED_VALUE"""),507926.0)</f>
        <v>507926</v>
      </c>
    </row>
    <row r="2031">
      <c r="A2031" s="2">
        <f>IFERROR(__xludf.DUMMYFUNCTION("""COMPUTED_VALUE"""),42115.66666666667)</f>
        <v>42115.66667</v>
      </c>
      <c r="B2031" s="1">
        <f>IFERROR(__xludf.DUMMYFUNCTION("""COMPUTED_VALUE"""),3.72)</f>
        <v>3.72</v>
      </c>
      <c r="C2031" s="1">
        <f>IFERROR(__xludf.DUMMYFUNCTION("""COMPUTED_VALUE"""),3.75)</f>
        <v>3.75</v>
      </c>
      <c r="D2031" s="1">
        <f>IFERROR(__xludf.DUMMYFUNCTION("""COMPUTED_VALUE"""),3.46)</f>
        <v>3.46</v>
      </c>
      <c r="E2031" s="1">
        <f>IFERROR(__xludf.DUMMYFUNCTION("""COMPUTED_VALUE"""),3.48)</f>
        <v>3.48</v>
      </c>
      <c r="F2031" s="1">
        <f>IFERROR(__xludf.DUMMYFUNCTION("""COMPUTED_VALUE"""),1803616.0)</f>
        <v>1803616</v>
      </c>
    </row>
    <row r="2032">
      <c r="A2032" s="2">
        <f>IFERROR(__xludf.DUMMYFUNCTION("""COMPUTED_VALUE"""),42116.66666666667)</f>
        <v>42116.66667</v>
      </c>
      <c r="B2032" s="1">
        <f>IFERROR(__xludf.DUMMYFUNCTION("""COMPUTED_VALUE"""),3.38)</f>
        <v>3.38</v>
      </c>
      <c r="C2032" s="1">
        <f>IFERROR(__xludf.DUMMYFUNCTION("""COMPUTED_VALUE"""),3.4)</f>
        <v>3.4</v>
      </c>
      <c r="D2032" s="1">
        <f>IFERROR(__xludf.DUMMYFUNCTION("""COMPUTED_VALUE"""),3.06)</f>
        <v>3.06</v>
      </c>
      <c r="E2032" s="1">
        <f>IFERROR(__xludf.DUMMYFUNCTION("""COMPUTED_VALUE"""),3.19)</f>
        <v>3.19</v>
      </c>
      <c r="F2032" s="1">
        <f>IFERROR(__xludf.DUMMYFUNCTION("""COMPUTED_VALUE"""),4053375.0)</f>
        <v>4053375</v>
      </c>
    </row>
    <row r="2033">
      <c r="A2033" s="2">
        <f>IFERROR(__xludf.DUMMYFUNCTION("""COMPUTED_VALUE"""),42117.66666666667)</f>
        <v>42117.66667</v>
      </c>
      <c r="B2033" s="1">
        <f>IFERROR(__xludf.DUMMYFUNCTION("""COMPUTED_VALUE"""),3.17)</f>
        <v>3.17</v>
      </c>
      <c r="C2033" s="1">
        <f>IFERROR(__xludf.DUMMYFUNCTION("""COMPUTED_VALUE"""),3.18)</f>
        <v>3.18</v>
      </c>
      <c r="D2033" s="1">
        <f>IFERROR(__xludf.DUMMYFUNCTION("""COMPUTED_VALUE"""),3.11)</f>
        <v>3.11</v>
      </c>
      <c r="E2033" s="1">
        <f>IFERROR(__xludf.DUMMYFUNCTION("""COMPUTED_VALUE"""),3.12)</f>
        <v>3.12</v>
      </c>
      <c r="F2033" s="1">
        <f>IFERROR(__xludf.DUMMYFUNCTION("""COMPUTED_VALUE"""),768719.0)</f>
        <v>768719</v>
      </c>
    </row>
    <row r="2034">
      <c r="A2034" s="2">
        <f>IFERROR(__xludf.DUMMYFUNCTION("""COMPUTED_VALUE"""),42118.66666666667)</f>
        <v>42118.66667</v>
      </c>
      <c r="B2034" s="1">
        <f>IFERROR(__xludf.DUMMYFUNCTION("""COMPUTED_VALUE"""),3.15)</f>
        <v>3.15</v>
      </c>
      <c r="C2034" s="1">
        <f>IFERROR(__xludf.DUMMYFUNCTION("""COMPUTED_VALUE"""),3.15)</f>
        <v>3.15</v>
      </c>
      <c r="D2034" s="1">
        <f>IFERROR(__xludf.DUMMYFUNCTION("""COMPUTED_VALUE"""),3.02)</f>
        <v>3.02</v>
      </c>
      <c r="E2034" s="1">
        <f>IFERROR(__xludf.DUMMYFUNCTION("""COMPUTED_VALUE"""),3.04)</f>
        <v>3.04</v>
      </c>
      <c r="F2034" s="1">
        <f>IFERROR(__xludf.DUMMYFUNCTION("""COMPUTED_VALUE"""),853644.0)</f>
        <v>853644</v>
      </c>
    </row>
    <row r="2035">
      <c r="A2035" s="2">
        <f>IFERROR(__xludf.DUMMYFUNCTION("""COMPUTED_VALUE"""),42121.66666666667)</f>
        <v>42121.66667</v>
      </c>
      <c r="B2035" s="1">
        <f>IFERROR(__xludf.DUMMYFUNCTION("""COMPUTED_VALUE"""),3.04)</f>
        <v>3.04</v>
      </c>
      <c r="C2035" s="1">
        <f>IFERROR(__xludf.DUMMYFUNCTION("""COMPUTED_VALUE"""),3.14)</f>
        <v>3.14</v>
      </c>
      <c r="D2035" s="1">
        <f>IFERROR(__xludf.DUMMYFUNCTION("""COMPUTED_VALUE"""),3.04)</f>
        <v>3.04</v>
      </c>
      <c r="E2035" s="1">
        <f>IFERROR(__xludf.DUMMYFUNCTION("""COMPUTED_VALUE"""),3.08)</f>
        <v>3.08</v>
      </c>
      <c r="F2035" s="1">
        <f>IFERROR(__xludf.DUMMYFUNCTION("""COMPUTED_VALUE"""),974002.0)</f>
        <v>974002</v>
      </c>
    </row>
    <row r="2036">
      <c r="A2036" s="2">
        <f>IFERROR(__xludf.DUMMYFUNCTION("""COMPUTED_VALUE"""),42122.66666666667)</f>
        <v>42122.66667</v>
      </c>
      <c r="B2036" s="1">
        <f>IFERROR(__xludf.DUMMYFUNCTION("""COMPUTED_VALUE"""),3.07)</f>
        <v>3.07</v>
      </c>
      <c r="C2036" s="1">
        <f>IFERROR(__xludf.DUMMYFUNCTION("""COMPUTED_VALUE"""),3.08)</f>
        <v>3.08</v>
      </c>
      <c r="D2036" s="1">
        <f>IFERROR(__xludf.DUMMYFUNCTION("""COMPUTED_VALUE"""),2.96)</f>
        <v>2.96</v>
      </c>
      <c r="E2036" s="1">
        <f>IFERROR(__xludf.DUMMYFUNCTION("""COMPUTED_VALUE"""),2.97)</f>
        <v>2.97</v>
      </c>
      <c r="F2036" s="1">
        <f>IFERROR(__xludf.DUMMYFUNCTION("""COMPUTED_VALUE"""),954581.0)</f>
        <v>954581</v>
      </c>
    </row>
    <row r="2037">
      <c r="A2037" s="2">
        <f>IFERROR(__xludf.DUMMYFUNCTION("""COMPUTED_VALUE"""),42123.66666666667)</f>
        <v>42123.66667</v>
      </c>
      <c r="B2037" s="1">
        <f>IFERROR(__xludf.DUMMYFUNCTION("""COMPUTED_VALUE"""),2.95)</f>
        <v>2.95</v>
      </c>
      <c r="C2037" s="1">
        <f>IFERROR(__xludf.DUMMYFUNCTION("""COMPUTED_VALUE"""),3.0)</f>
        <v>3</v>
      </c>
      <c r="D2037" s="1">
        <f>IFERROR(__xludf.DUMMYFUNCTION("""COMPUTED_VALUE"""),2.89)</f>
        <v>2.89</v>
      </c>
      <c r="E2037" s="1">
        <f>IFERROR(__xludf.DUMMYFUNCTION("""COMPUTED_VALUE"""),2.98)</f>
        <v>2.98</v>
      </c>
      <c r="F2037" s="1">
        <f>IFERROR(__xludf.DUMMYFUNCTION("""COMPUTED_VALUE"""),1089215.0)</f>
        <v>1089215</v>
      </c>
    </row>
    <row r="2038">
      <c r="A2038" s="2">
        <f>IFERROR(__xludf.DUMMYFUNCTION("""COMPUTED_VALUE"""),42124.66666666667)</f>
        <v>42124.66667</v>
      </c>
      <c r="B2038" s="1">
        <f>IFERROR(__xludf.DUMMYFUNCTION("""COMPUTED_VALUE"""),2.98)</f>
        <v>2.98</v>
      </c>
      <c r="C2038" s="1">
        <f>IFERROR(__xludf.DUMMYFUNCTION("""COMPUTED_VALUE"""),3.0)</f>
        <v>3</v>
      </c>
      <c r="D2038" s="1">
        <f>IFERROR(__xludf.DUMMYFUNCTION("""COMPUTED_VALUE"""),2.83)</f>
        <v>2.83</v>
      </c>
      <c r="E2038" s="1">
        <f>IFERROR(__xludf.DUMMYFUNCTION("""COMPUTED_VALUE"""),2.88)</f>
        <v>2.88</v>
      </c>
      <c r="F2038" s="1">
        <f>IFERROR(__xludf.DUMMYFUNCTION("""COMPUTED_VALUE"""),740101.0)</f>
        <v>740101</v>
      </c>
    </row>
    <row r="2039">
      <c r="A2039" s="2">
        <f>IFERROR(__xludf.DUMMYFUNCTION("""COMPUTED_VALUE"""),42125.66666666667)</f>
        <v>42125.66667</v>
      </c>
      <c r="B2039" s="1">
        <f>IFERROR(__xludf.DUMMYFUNCTION("""COMPUTED_VALUE"""),2.88)</f>
        <v>2.88</v>
      </c>
      <c r="C2039" s="1">
        <f>IFERROR(__xludf.DUMMYFUNCTION("""COMPUTED_VALUE"""),2.95)</f>
        <v>2.95</v>
      </c>
      <c r="D2039" s="1">
        <f>IFERROR(__xludf.DUMMYFUNCTION("""COMPUTED_VALUE"""),2.88)</f>
        <v>2.88</v>
      </c>
      <c r="E2039" s="1">
        <f>IFERROR(__xludf.DUMMYFUNCTION("""COMPUTED_VALUE"""),2.93)</f>
        <v>2.93</v>
      </c>
      <c r="F2039" s="1">
        <f>IFERROR(__xludf.DUMMYFUNCTION("""COMPUTED_VALUE"""),468518.0)</f>
        <v>468518</v>
      </c>
    </row>
    <row r="2040">
      <c r="A2040" s="2">
        <f>IFERROR(__xludf.DUMMYFUNCTION("""COMPUTED_VALUE"""),42128.66666666667)</f>
        <v>42128.66667</v>
      </c>
      <c r="B2040" s="1">
        <f>IFERROR(__xludf.DUMMYFUNCTION("""COMPUTED_VALUE"""),2.93)</f>
        <v>2.93</v>
      </c>
      <c r="C2040" s="1">
        <f>IFERROR(__xludf.DUMMYFUNCTION("""COMPUTED_VALUE"""),3.02)</f>
        <v>3.02</v>
      </c>
      <c r="D2040" s="1">
        <f>IFERROR(__xludf.DUMMYFUNCTION("""COMPUTED_VALUE"""),2.93)</f>
        <v>2.93</v>
      </c>
      <c r="E2040" s="1">
        <f>IFERROR(__xludf.DUMMYFUNCTION("""COMPUTED_VALUE"""),2.98)</f>
        <v>2.98</v>
      </c>
      <c r="F2040" s="1">
        <f>IFERROR(__xludf.DUMMYFUNCTION("""COMPUTED_VALUE"""),589370.0)</f>
        <v>589370</v>
      </c>
    </row>
    <row r="2041">
      <c r="A2041" s="2">
        <f>IFERROR(__xludf.DUMMYFUNCTION("""COMPUTED_VALUE"""),42129.66666666667)</f>
        <v>42129.66667</v>
      </c>
      <c r="B2041" s="1">
        <f>IFERROR(__xludf.DUMMYFUNCTION("""COMPUTED_VALUE"""),3.0)</f>
        <v>3</v>
      </c>
      <c r="C2041" s="1">
        <f>IFERROR(__xludf.DUMMYFUNCTION("""COMPUTED_VALUE"""),3.0)</f>
        <v>3</v>
      </c>
      <c r="D2041" s="1">
        <f>IFERROR(__xludf.DUMMYFUNCTION("""COMPUTED_VALUE"""),2.89)</f>
        <v>2.89</v>
      </c>
      <c r="E2041" s="1">
        <f>IFERROR(__xludf.DUMMYFUNCTION("""COMPUTED_VALUE"""),2.91)</f>
        <v>2.91</v>
      </c>
      <c r="F2041" s="1">
        <f>IFERROR(__xludf.DUMMYFUNCTION("""COMPUTED_VALUE"""),500940.0)</f>
        <v>500940</v>
      </c>
    </row>
    <row r="2042">
      <c r="A2042" s="2">
        <f>IFERROR(__xludf.DUMMYFUNCTION("""COMPUTED_VALUE"""),42130.66666666667)</f>
        <v>42130.66667</v>
      </c>
      <c r="B2042" s="1">
        <f>IFERROR(__xludf.DUMMYFUNCTION("""COMPUTED_VALUE"""),2.98)</f>
        <v>2.98</v>
      </c>
      <c r="C2042" s="1">
        <f>IFERROR(__xludf.DUMMYFUNCTION("""COMPUTED_VALUE"""),3.05)</f>
        <v>3.05</v>
      </c>
      <c r="D2042" s="1">
        <f>IFERROR(__xludf.DUMMYFUNCTION("""COMPUTED_VALUE"""),2.97)</f>
        <v>2.97</v>
      </c>
      <c r="E2042" s="1">
        <f>IFERROR(__xludf.DUMMYFUNCTION("""COMPUTED_VALUE"""),2.99)</f>
        <v>2.99</v>
      </c>
      <c r="F2042" s="1">
        <f>IFERROR(__xludf.DUMMYFUNCTION("""COMPUTED_VALUE"""),674350.0)</f>
        <v>674350</v>
      </c>
    </row>
    <row r="2043">
      <c r="A2043" s="2">
        <f>IFERROR(__xludf.DUMMYFUNCTION("""COMPUTED_VALUE"""),42131.66666666667)</f>
        <v>42131.66667</v>
      </c>
      <c r="B2043" s="1">
        <f>IFERROR(__xludf.DUMMYFUNCTION("""COMPUTED_VALUE"""),2.96)</f>
        <v>2.96</v>
      </c>
      <c r="C2043" s="1">
        <f>IFERROR(__xludf.DUMMYFUNCTION("""COMPUTED_VALUE"""),3.04)</f>
        <v>3.04</v>
      </c>
      <c r="D2043" s="1">
        <f>IFERROR(__xludf.DUMMYFUNCTION("""COMPUTED_VALUE"""),2.96)</f>
        <v>2.96</v>
      </c>
      <c r="E2043" s="1">
        <f>IFERROR(__xludf.DUMMYFUNCTION("""COMPUTED_VALUE"""),3.01)</f>
        <v>3.01</v>
      </c>
      <c r="F2043" s="1">
        <f>IFERROR(__xludf.DUMMYFUNCTION("""COMPUTED_VALUE"""),583188.0)</f>
        <v>583188</v>
      </c>
    </row>
    <row r="2044">
      <c r="A2044" s="2">
        <f>IFERROR(__xludf.DUMMYFUNCTION("""COMPUTED_VALUE"""),42132.66666666667)</f>
        <v>42132.66667</v>
      </c>
      <c r="B2044" s="1">
        <f>IFERROR(__xludf.DUMMYFUNCTION("""COMPUTED_VALUE"""),3.01)</f>
        <v>3.01</v>
      </c>
      <c r="C2044" s="1">
        <f>IFERROR(__xludf.DUMMYFUNCTION("""COMPUTED_VALUE"""),3.15)</f>
        <v>3.15</v>
      </c>
      <c r="D2044" s="1">
        <f>IFERROR(__xludf.DUMMYFUNCTION("""COMPUTED_VALUE"""),3.01)</f>
        <v>3.01</v>
      </c>
      <c r="E2044" s="1">
        <f>IFERROR(__xludf.DUMMYFUNCTION("""COMPUTED_VALUE"""),3.09)</f>
        <v>3.09</v>
      </c>
      <c r="F2044" s="1">
        <f>IFERROR(__xludf.DUMMYFUNCTION("""COMPUTED_VALUE"""),764785.0)</f>
        <v>764785</v>
      </c>
    </row>
    <row r="2045">
      <c r="A2045" s="2">
        <f>IFERROR(__xludf.DUMMYFUNCTION("""COMPUTED_VALUE"""),42135.66666666667)</f>
        <v>42135.66667</v>
      </c>
      <c r="B2045" s="1">
        <f>IFERROR(__xludf.DUMMYFUNCTION("""COMPUTED_VALUE"""),3.09)</f>
        <v>3.09</v>
      </c>
      <c r="C2045" s="1">
        <f>IFERROR(__xludf.DUMMYFUNCTION("""COMPUTED_VALUE"""),3.14)</f>
        <v>3.14</v>
      </c>
      <c r="D2045" s="1">
        <f>IFERROR(__xludf.DUMMYFUNCTION("""COMPUTED_VALUE"""),3.08)</f>
        <v>3.08</v>
      </c>
      <c r="E2045" s="1">
        <f>IFERROR(__xludf.DUMMYFUNCTION("""COMPUTED_VALUE"""),3.09)</f>
        <v>3.09</v>
      </c>
      <c r="F2045" s="1">
        <f>IFERROR(__xludf.DUMMYFUNCTION("""COMPUTED_VALUE"""),448024.0)</f>
        <v>448024</v>
      </c>
    </row>
    <row r="2046">
      <c r="A2046" s="2">
        <f>IFERROR(__xludf.DUMMYFUNCTION("""COMPUTED_VALUE"""),42136.66666666667)</f>
        <v>42136.66667</v>
      </c>
      <c r="B2046" s="1">
        <f>IFERROR(__xludf.DUMMYFUNCTION("""COMPUTED_VALUE"""),3.09)</f>
        <v>3.09</v>
      </c>
      <c r="C2046" s="1">
        <f>IFERROR(__xludf.DUMMYFUNCTION("""COMPUTED_VALUE"""),3.15)</f>
        <v>3.15</v>
      </c>
      <c r="D2046" s="1">
        <f>IFERROR(__xludf.DUMMYFUNCTION("""COMPUTED_VALUE"""),3.06)</f>
        <v>3.06</v>
      </c>
      <c r="E2046" s="1">
        <f>IFERROR(__xludf.DUMMYFUNCTION("""COMPUTED_VALUE"""),3.12)</f>
        <v>3.12</v>
      </c>
      <c r="F2046" s="1">
        <f>IFERROR(__xludf.DUMMYFUNCTION("""COMPUTED_VALUE"""),536670.0)</f>
        <v>536670</v>
      </c>
    </row>
    <row r="2047">
      <c r="A2047" s="2">
        <f>IFERROR(__xludf.DUMMYFUNCTION("""COMPUTED_VALUE"""),42137.66666666667)</f>
        <v>42137.66667</v>
      </c>
      <c r="B2047" s="1">
        <f>IFERROR(__xludf.DUMMYFUNCTION("""COMPUTED_VALUE"""),3.15)</f>
        <v>3.15</v>
      </c>
      <c r="C2047" s="1">
        <f>IFERROR(__xludf.DUMMYFUNCTION("""COMPUTED_VALUE"""),3.24)</f>
        <v>3.24</v>
      </c>
      <c r="D2047" s="1">
        <f>IFERROR(__xludf.DUMMYFUNCTION("""COMPUTED_VALUE"""),3.13)</f>
        <v>3.13</v>
      </c>
      <c r="E2047" s="1">
        <f>IFERROR(__xludf.DUMMYFUNCTION("""COMPUTED_VALUE"""),3.2)</f>
        <v>3.2</v>
      </c>
      <c r="F2047" s="1">
        <f>IFERROR(__xludf.DUMMYFUNCTION("""COMPUTED_VALUE"""),758869.0)</f>
        <v>758869</v>
      </c>
    </row>
    <row r="2048">
      <c r="A2048" s="2">
        <f>IFERROR(__xludf.DUMMYFUNCTION("""COMPUTED_VALUE"""),42138.66666666667)</f>
        <v>42138.66667</v>
      </c>
      <c r="B2048" s="1">
        <f>IFERROR(__xludf.DUMMYFUNCTION("""COMPUTED_VALUE"""),3.21)</f>
        <v>3.21</v>
      </c>
      <c r="C2048" s="1">
        <f>IFERROR(__xludf.DUMMYFUNCTION("""COMPUTED_VALUE"""),3.33)</f>
        <v>3.33</v>
      </c>
      <c r="D2048" s="1">
        <f>IFERROR(__xludf.DUMMYFUNCTION("""COMPUTED_VALUE"""),3.2)</f>
        <v>3.2</v>
      </c>
      <c r="E2048" s="1">
        <f>IFERROR(__xludf.DUMMYFUNCTION("""COMPUTED_VALUE"""),3.32)</f>
        <v>3.32</v>
      </c>
      <c r="F2048" s="1">
        <f>IFERROR(__xludf.DUMMYFUNCTION("""COMPUTED_VALUE"""),694086.0)</f>
        <v>694086</v>
      </c>
    </row>
    <row r="2049">
      <c r="A2049" s="2">
        <f>IFERROR(__xludf.DUMMYFUNCTION("""COMPUTED_VALUE"""),42139.66666666667)</f>
        <v>42139.66667</v>
      </c>
      <c r="B2049" s="1">
        <f>IFERROR(__xludf.DUMMYFUNCTION("""COMPUTED_VALUE"""),3.3)</f>
        <v>3.3</v>
      </c>
      <c r="C2049" s="1">
        <f>IFERROR(__xludf.DUMMYFUNCTION("""COMPUTED_VALUE"""),3.33)</f>
        <v>3.33</v>
      </c>
      <c r="D2049" s="1">
        <f>IFERROR(__xludf.DUMMYFUNCTION("""COMPUTED_VALUE"""),3.26)</f>
        <v>3.26</v>
      </c>
      <c r="E2049" s="1">
        <f>IFERROR(__xludf.DUMMYFUNCTION("""COMPUTED_VALUE"""),3.31)</f>
        <v>3.31</v>
      </c>
      <c r="F2049" s="1">
        <f>IFERROR(__xludf.DUMMYFUNCTION("""COMPUTED_VALUE"""),810276.0)</f>
        <v>810276</v>
      </c>
    </row>
    <row r="2050">
      <c r="A2050" s="2">
        <f>IFERROR(__xludf.DUMMYFUNCTION("""COMPUTED_VALUE"""),42142.66666666667)</f>
        <v>42142.66667</v>
      </c>
      <c r="B2050" s="1">
        <f>IFERROR(__xludf.DUMMYFUNCTION("""COMPUTED_VALUE"""),3.3)</f>
        <v>3.3</v>
      </c>
      <c r="C2050" s="1">
        <f>IFERROR(__xludf.DUMMYFUNCTION("""COMPUTED_VALUE"""),3.35)</f>
        <v>3.35</v>
      </c>
      <c r="D2050" s="1">
        <f>IFERROR(__xludf.DUMMYFUNCTION("""COMPUTED_VALUE"""),3.26)</f>
        <v>3.26</v>
      </c>
      <c r="E2050" s="1">
        <f>IFERROR(__xludf.DUMMYFUNCTION("""COMPUTED_VALUE"""),3.35)</f>
        <v>3.35</v>
      </c>
      <c r="F2050" s="1">
        <f>IFERROR(__xludf.DUMMYFUNCTION("""COMPUTED_VALUE"""),814391.0)</f>
        <v>814391</v>
      </c>
    </row>
    <row r="2051">
      <c r="A2051" s="2">
        <f>IFERROR(__xludf.DUMMYFUNCTION("""COMPUTED_VALUE"""),42143.66666666667)</f>
        <v>42143.66667</v>
      </c>
      <c r="B2051" s="1">
        <f>IFERROR(__xludf.DUMMYFUNCTION("""COMPUTED_VALUE"""),3.34)</f>
        <v>3.34</v>
      </c>
      <c r="C2051" s="1">
        <f>IFERROR(__xludf.DUMMYFUNCTION("""COMPUTED_VALUE"""),3.35)</f>
        <v>3.35</v>
      </c>
      <c r="D2051" s="1">
        <f>IFERROR(__xludf.DUMMYFUNCTION("""COMPUTED_VALUE"""),3.26)</f>
        <v>3.26</v>
      </c>
      <c r="E2051" s="1">
        <f>IFERROR(__xludf.DUMMYFUNCTION("""COMPUTED_VALUE"""),3.29)</f>
        <v>3.29</v>
      </c>
      <c r="F2051" s="1">
        <f>IFERROR(__xludf.DUMMYFUNCTION("""COMPUTED_VALUE"""),891827.0)</f>
        <v>891827</v>
      </c>
    </row>
    <row r="2052">
      <c r="A2052" s="2">
        <f>IFERROR(__xludf.DUMMYFUNCTION("""COMPUTED_VALUE"""),42144.66666666667)</f>
        <v>42144.66667</v>
      </c>
      <c r="B2052" s="1">
        <f>IFERROR(__xludf.DUMMYFUNCTION("""COMPUTED_VALUE"""),3.25)</f>
        <v>3.25</v>
      </c>
      <c r="C2052" s="1">
        <f>IFERROR(__xludf.DUMMYFUNCTION("""COMPUTED_VALUE"""),3.33)</f>
        <v>3.33</v>
      </c>
      <c r="D2052" s="1">
        <f>IFERROR(__xludf.DUMMYFUNCTION("""COMPUTED_VALUE"""),3.24)</f>
        <v>3.24</v>
      </c>
      <c r="E2052" s="1">
        <f>IFERROR(__xludf.DUMMYFUNCTION("""COMPUTED_VALUE"""),3.3)</f>
        <v>3.3</v>
      </c>
      <c r="F2052" s="1">
        <f>IFERROR(__xludf.DUMMYFUNCTION("""COMPUTED_VALUE"""),811731.0)</f>
        <v>811731</v>
      </c>
    </row>
    <row r="2053">
      <c r="A2053" s="2">
        <f>IFERROR(__xludf.DUMMYFUNCTION("""COMPUTED_VALUE"""),42145.66666666667)</f>
        <v>42145.66667</v>
      </c>
      <c r="B2053" s="1">
        <f>IFERROR(__xludf.DUMMYFUNCTION("""COMPUTED_VALUE"""),3.31)</f>
        <v>3.31</v>
      </c>
      <c r="C2053" s="1">
        <f>IFERROR(__xludf.DUMMYFUNCTION("""COMPUTED_VALUE"""),3.33)</f>
        <v>3.33</v>
      </c>
      <c r="D2053" s="1">
        <f>IFERROR(__xludf.DUMMYFUNCTION("""COMPUTED_VALUE"""),3.26)</f>
        <v>3.26</v>
      </c>
      <c r="E2053" s="1">
        <f>IFERROR(__xludf.DUMMYFUNCTION("""COMPUTED_VALUE"""),3.33)</f>
        <v>3.33</v>
      </c>
      <c r="F2053" s="1">
        <f>IFERROR(__xludf.DUMMYFUNCTION("""COMPUTED_VALUE"""),384087.0)</f>
        <v>384087</v>
      </c>
    </row>
    <row r="2054">
      <c r="A2054" s="2">
        <f>IFERROR(__xludf.DUMMYFUNCTION("""COMPUTED_VALUE"""),42146.66666666667)</f>
        <v>42146.66667</v>
      </c>
      <c r="B2054" s="1">
        <f>IFERROR(__xludf.DUMMYFUNCTION("""COMPUTED_VALUE"""),3.32)</f>
        <v>3.32</v>
      </c>
      <c r="C2054" s="1">
        <f>IFERROR(__xludf.DUMMYFUNCTION("""COMPUTED_VALUE"""),3.38)</f>
        <v>3.38</v>
      </c>
      <c r="D2054" s="1">
        <f>IFERROR(__xludf.DUMMYFUNCTION("""COMPUTED_VALUE"""),3.32)</f>
        <v>3.32</v>
      </c>
      <c r="E2054" s="1">
        <f>IFERROR(__xludf.DUMMYFUNCTION("""COMPUTED_VALUE"""),3.36)</f>
        <v>3.36</v>
      </c>
      <c r="F2054" s="1">
        <f>IFERROR(__xludf.DUMMYFUNCTION("""COMPUTED_VALUE"""),421131.0)</f>
        <v>421131</v>
      </c>
    </row>
    <row r="2055">
      <c r="A2055" s="2">
        <f>IFERROR(__xludf.DUMMYFUNCTION("""COMPUTED_VALUE"""),42150.66666666667)</f>
        <v>42150.66667</v>
      </c>
      <c r="B2055" s="1">
        <f>IFERROR(__xludf.DUMMYFUNCTION("""COMPUTED_VALUE"""),3.33)</f>
        <v>3.33</v>
      </c>
      <c r="C2055" s="1">
        <f>IFERROR(__xludf.DUMMYFUNCTION("""COMPUTED_VALUE"""),3.39)</f>
        <v>3.39</v>
      </c>
      <c r="D2055" s="1">
        <f>IFERROR(__xludf.DUMMYFUNCTION("""COMPUTED_VALUE"""),3.31)</f>
        <v>3.31</v>
      </c>
      <c r="E2055" s="1">
        <f>IFERROR(__xludf.DUMMYFUNCTION("""COMPUTED_VALUE"""),3.35)</f>
        <v>3.35</v>
      </c>
      <c r="F2055" s="1">
        <f>IFERROR(__xludf.DUMMYFUNCTION("""COMPUTED_VALUE"""),755069.0)</f>
        <v>755069</v>
      </c>
    </row>
    <row r="2056">
      <c r="A2056" s="2">
        <f>IFERROR(__xludf.DUMMYFUNCTION("""COMPUTED_VALUE"""),42151.66666666667)</f>
        <v>42151.66667</v>
      </c>
      <c r="B2056" s="1">
        <f>IFERROR(__xludf.DUMMYFUNCTION("""COMPUTED_VALUE"""),3.34)</f>
        <v>3.34</v>
      </c>
      <c r="C2056" s="1">
        <f>IFERROR(__xludf.DUMMYFUNCTION("""COMPUTED_VALUE"""),3.44)</f>
        <v>3.44</v>
      </c>
      <c r="D2056" s="1">
        <f>IFERROR(__xludf.DUMMYFUNCTION("""COMPUTED_VALUE"""),3.33)</f>
        <v>3.33</v>
      </c>
      <c r="E2056" s="1">
        <f>IFERROR(__xludf.DUMMYFUNCTION("""COMPUTED_VALUE"""),3.42)</f>
        <v>3.42</v>
      </c>
      <c r="F2056" s="1">
        <f>IFERROR(__xludf.DUMMYFUNCTION("""COMPUTED_VALUE"""),628516.0)</f>
        <v>628516</v>
      </c>
    </row>
    <row r="2057">
      <c r="A2057" s="2">
        <f>IFERROR(__xludf.DUMMYFUNCTION("""COMPUTED_VALUE"""),42152.66666666667)</f>
        <v>42152.66667</v>
      </c>
      <c r="B2057" s="1">
        <f>IFERROR(__xludf.DUMMYFUNCTION("""COMPUTED_VALUE"""),3.43)</f>
        <v>3.43</v>
      </c>
      <c r="C2057" s="1">
        <f>IFERROR(__xludf.DUMMYFUNCTION("""COMPUTED_VALUE"""),3.45)</f>
        <v>3.45</v>
      </c>
      <c r="D2057" s="1">
        <f>IFERROR(__xludf.DUMMYFUNCTION("""COMPUTED_VALUE"""),3.36)</f>
        <v>3.36</v>
      </c>
      <c r="E2057" s="1">
        <f>IFERROR(__xludf.DUMMYFUNCTION("""COMPUTED_VALUE"""),3.38)</f>
        <v>3.38</v>
      </c>
      <c r="F2057" s="1">
        <f>IFERROR(__xludf.DUMMYFUNCTION("""COMPUTED_VALUE"""),427474.0)</f>
        <v>427474</v>
      </c>
    </row>
    <row r="2058">
      <c r="A2058" s="2">
        <f>IFERROR(__xludf.DUMMYFUNCTION("""COMPUTED_VALUE"""),42153.66666666667)</f>
        <v>42153.66667</v>
      </c>
      <c r="B2058" s="1">
        <f>IFERROR(__xludf.DUMMYFUNCTION("""COMPUTED_VALUE"""),3.37)</f>
        <v>3.37</v>
      </c>
      <c r="C2058" s="1">
        <f>IFERROR(__xludf.DUMMYFUNCTION("""COMPUTED_VALUE"""),3.39)</f>
        <v>3.39</v>
      </c>
      <c r="D2058" s="1">
        <f>IFERROR(__xludf.DUMMYFUNCTION("""COMPUTED_VALUE"""),3.33)</f>
        <v>3.33</v>
      </c>
      <c r="E2058" s="1">
        <f>IFERROR(__xludf.DUMMYFUNCTION("""COMPUTED_VALUE"""),3.35)</f>
        <v>3.35</v>
      </c>
      <c r="F2058" s="1">
        <f>IFERROR(__xludf.DUMMYFUNCTION("""COMPUTED_VALUE"""),667221.0)</f>
        <v>667221</v>
      </c>
    </row>
    <row r="2059">
      <c r="A2059" s="2">
        <f>IFERROR(__xludf.DUMMYFUNCTION("""COMPUTED_VALUE"""),42156.66666666667)</f>
        <v>42156.66667</v>
      </c>
      <c r="B2059" s="1">
        <f>IFERROR(__xludf.DUMMYFUNCTION("""COMPUTED_VALUE"""),3.48)</f>
        <v>3.48</v>
      </c>
      <c r="C2059" s="1">
        <f>IFERROR(__xludf.DUMMYFUNCTION("""COMPUTED_VALUE"""),3.55)</f>
        <v>3.55</v>
      </c>
      <c r="D2059" s="1">
        <f>IFERROR(__xludf.DUMMYFUNCTION("""COMPUTED_VALUE"""),3.38)</f>
        <v>3.38</v>
      </c>
      <c r="E2059" s="1">
        <f>IFERROR(__xludf.DUMMYFUNCTION("""COMPUTED_VALUE"""),3.52)</f>
        <v>3.52</v>
      </c>
      <c r="F2059" s="1">
        <f>IFERROR(__xludf.DUMMYFUNCTION("""COMPUTED_VALUE"""),892575.0)</f>
        <v>892575</v>
      </c>
    </row>
    <row r="2060">
      <c r="A2060" s="2">
        <f>IFERROR(__xludf.DUMMYFUNCTION("""COMPUTED_VALUE"""),42157.66666666667)</f>
        <v>42157.66667</v>
      </c>
      <c r="B2060" s="1">
        <f>IFERROR(__xludf.DUMMYFUNCTION("""COMPUTED_VALUE"""),3.5)</f>
        <v>3.5</v>
      </c>
      <c r="C2060" s="1">
        <f>IFERROR(__xludf.DUMMYFUNCTION("""COMPUTED_VALUE"""),3.52)</f>
        <v>3.52</v>
      </c>
      <c r="D2060" s="1">
        <f>IFERROR(__xludf.DUMMYFUNCTION("""COMPUTED_VALUE"""),3.45)</f>
        <v>3.45</v>
      </c>
      <c r="E2060" s="1">
        <f>IFERROR(__xludf.DUMMYFUNCTION("""COMPUTED_VALUE"""),3.46)</f>
        <v>3.46</v>
      </c>
      <c r="F2060" s="1">
        <f>IFERROR(__xludf.DUMMYFUNCTION("""COMPUTED_VALUE"""),499597.0)</f>
        <v>499597</v>
      </c>
    </row>
    <row r="2061">
      <c r="A2061" s="2">
        <f>IFERROR(__xludf.DUMMYFUNCTION("""COMPUTED_VALUE"""),42158.66666666667)</f>
        <v>42158.66667</v>
      </c>
      <c r="B2061" s="1">
        <f>IFERROR(__xludf.DUMMYFUNCTION("""COMPUTED_VALUE"""),3.46)</f>
        <v>3.46</v>
      </c>
      <c r="C2061" s="1">
        <f>IFERROR(__xludf.DUMMYFUNCTION("""COMPUTED_VALUE"""),3.54)</f>
        <v>3.54</v>
      </c>
      <c r="D2061" s="1">
        <f>IFERROR(__xludf.DUMMYFUNCTION("""COMPUTED_VALUE"""),3.45)</f>
        <v>3.45</v>
      </c>
      <c r="E2061" s="1">
        <f>IFERROR(__xludf.DUMMYFUNCTION("""COMPUTED_VALUE"""),3.5)</f>
        <v>3.5</v>
      </c>
      <c r="F2061" s="1">
        <f>IFERROR(__xludf.DUMMYFUNCTION("""COMPUTED_VALUE"""),311347.0)</f>
        <v>311347</v>
      </c>
    </row>
    <row r="2062">
      <c r="A2062" s="2">
        <f>IFERROR(__xludf.DUMMYFUNCTION("""COMPUTED_VALUE"""),42159.66666666667)</f>
        <v>42159.66667</v>
      </c>
      <c r="B2062" s="1">
        <f>IFERROR(__xludf.DUMMYFUNCTION("""COMPUTED_VALUE"""),3.46)</f>
        <v>3.46</v>
      </c>
      <c r="C2062" s="1">
        <f>IFERROR(__xludf.DUMMYFUNCTION("""COMPUTED_VALUE"""),3.5)</f>
        <v>3.5</v>
      </c>
      <c r="D2062" s="1">
        <f>IFERROR(__xludf.DUMMYFUNCTION("""COMPUTED_VALUE"""),3.33)</f>
        <v>3.33</v>
      </c>
      <c r="E2062" s="1">
        <f>IFERROR(__xludf.DUMMYFUNCTION("""COMPUTED_VALUE"""),3.35)</f>
        <v>3.35</v>
      </c>
      <c r="F2062" s="1">
        <f>IFERROR(__xludf.DUMMYFUNCTION("""COMPUTED_VALUE"""),1131575.0)</f>
        <v>1131575</v>
      </c>
    </row>
    <row r="2063">
      <c r="A2063" s="2">
        <f>IFERROR(__xludf.DUMMYFUNCTION("""COMPUTED_VALUE"""),42160.66666666667)</f>
        <v>42160.66667</v>
      </c>
      <c r="B2063" s="1">
        <f>IFERROR(__xludf.DUMMYFUNCTION("""COMPUTED_VALUE"""),3.34)</f>
        <v>3.34</v>
      </c>
      <c r="C2063" s="1">
        <f>IFERROR(__xludf.DUMMYFUNCTION("""COMPUTED_VALUE"""),3.39)</f>
        <v>3.39</v>
      </c>
      <c r="D2063" s="1">
        <f>IFERROR(__xludf.DUMMYFUNCTION("""COMPUTED_VALUE"""),3.31)</f>
        <v>3.31</v>
      </c>
      <c r="E2063" s="1">
        <f>IFERROR(__xludf.DUMMYFUNCTION("""COMPUTED_VALUE"""),3.37)</f>
        <v>3.37</v>
      </c>
      <c r="F2063" s="1">
        <f>IFERROR(__xludf.DUMMYFUNCTION("""COMPUTED_VALUE"""),423054.0)</f>
        <v>423054</v>
      </c>
    </row>
    <row r="2064">
      <c r="A2064" s="2">
        <f>IFERROR(__xludf.DUMMYFUNCTION("""COMPUTED_VALUE"""),42163.66666666667)</f>
        <v>42163.66667</v>
      </c>
      <c r="B2064" s="1">
        <f>IFERROR(__xludf.DUMMYFUNCTION("""COMPUTED_VALUE"""),3.37)</f>
        <v>3.37</v>
      </c>
      <c r="C2064" s="1">
        <f>IFERROR(__xludf.DUMMYFUNCTION("""COMPUTED_VALUE"""),3.38)</f>
        <v>3.38</v>
      </c>
      <c r="D2064" s="1">
        <f>IFERROR(__xludf.DUMMYFUNCTION("""COMPUTED_VALUE"""),3.31)</f>
        <v>3.31</v>
      </c>
      <c r="E2064" s="1">
        <f>IFERROR(__xludf.DUMMYFUNCTION("""COMPUTED_VALUE"""),3.35)</f>
        <v>3.35</v>
      </c>
      <c r="F2064" s="1">
        <f>IFERROR(__xludf.DUMMYFUNCTION("""COMPUTED_VALUE"""),518467.0)</f>
        <v>518467</v>
      </c>
    </row>
    <row r="2065">
      <c r="A2065" s="2">
        <f>IFERROR(__xludf.DUMMYFUNCTION("""COMPUTED_VALUE"""),42164.66666666667)</f>
        <v>42164.66667</v>
      </c>
      <c r="B2065" s="1">
        <f>IFERROR(__xludf.DUMMYFUNCTION("""COMPUTED_VALUE"""),3.36)</f>
        <v>3.36</v>
      </c>
      <c r="C2065" s="1">
        <f>IFERROR(__xludf.DUMMYFUNCTION("""COMPUTED_VALUE"""),3.38)</f>
        <v>3.38</v>
      </c>
      <c r="D2065" s="1">
        <f>IFERROR(__xludf.DUMMYFUNCTION("""COMPUTED_VALUE"""),3.32)</f>
        <v>3.32</v>
      </c>
      <c r="E2065" s="1">
        <f>IFERROR(__xludf.DUMMYFUNCTION("""COMPUTED_VALUE"""),3.34)</f>
        <v>3.34</v>
      </c>
      <c r="F2065" s="1">
        <f>IFERROR(__xludf.DUMMYFUNCTION("""COMPUTED_VALUE"""),289324.0)</f>
        <v>289324</v>
      </c>
    </row>
    <row r="2066">
      <c r="A2066" s="2">
        <f>IFERROR(__xludf.DUMMYFUNCTION("""COMPUTED_VALUE"""),42165.66666666667)</f>
        <v>42165.66667</v>
      </c>
      <c r="B2066" s="1">
        <f>IFERROR(__xludf.DUMMYFUNCTION("""COMPUTED_VALUE"""),3.36)</f>
        <v>3.36</v>
      </c>
      <c r="C2066" s="1">
        <f>IFERROR(__xludf.DUMMYFUNCTION("""COMPUTED_VALUE"""),3.48)</f>
        <v>3.48</v>
      </c>
      <c r="D2066" s="1">
        <f>IFERROR(__xludf.DUMMYFUNCTION("""COMPUTED_VALUE"""),3.35)</f>
        <v>3.35</v>
      </c>
      <c r="E2066" s="1">
        <f>IFERROR(__xludf.DUMMYFUNCTION("""COMPUTED_VALUE"""),3.47)</f>
        <v>3.47</v>
      </c>
      <c r="F2066" s="1">
        <f>IFERROR(__xludf.DUMMYFUNCTION("""COMPUTED_VALUE"""),574658.0)</f>
        <v>574658</v>
      </c>
    </row>
    <row r="2067">
      <c r="A2067" s="2">
        <f>IFERROR(__xludf.DUMMYFUNCTION("""COMPUTED_VALUE"""),42166.66666666667)</f>
        <v>42166.66667</v>
      </c>
      <c r="B2067" s="1">
        <f>IFERROR(__xludf.DUMMYFUNCTION("""COMPUTED_VALUE"""),3.45)</f>
        <v>3.45</v>
      </c>
      <c r="C2067" s="1">
        <f>IFERROR(__xludf.DUMMYFUNCTION("""COMPUTED_VALUE"""),3.53)</f>
        <v>3.53</v>
      </c>
      <c r="D2067" s="1">
        <f>IFERROR(__xludf.DUMMYFUNCTION("""COMPUTED_VALUE"""),3.44)</f>
        <v>3.44</v>
      </c>
      <c r="E2067" s="1">
        <f>IFERROR(__xludf.DUMMYFUNCTION("""COMPUTED_VALUE"""),3.47)</f>
        <v>3.47</v>
      </c>
      <c r="F2067" s="1">
        <f>IFERROR(__xludf.DUMMYFUNCTION("""COMPUTED_VALUE"""),670128.0)</f>
        <v>670128</v>
      </c>
    </row>
    <row r="2068">
      <c r="A2068" s="2">
        <f>IFERROR(__xludf.DUMMYFUNCTION("""COMPUTED_VALUE"""),42167.66666666667)</f>
        <v>42167.66667</v>
      </c>
      <c r="B2068" s="1">
        <f>IFERROR(__xludf.DUMMYFUNCTION("""COMPUTED_VALUE"""),3.47)</f>
        <v>3.47</v>
      </c>
      <c r="C2068" s="1">
        <f>IFERROR(__xludf.DUMMYFUNCTION("""COMPUTED_VALUE"""),3.47)</f>
        <v>3.47</v>
      </c>
      <c r="D2068" s="1">
        <f>IFERROR(__xludf.DUMMYFUNCTION("""COMPUTED_VALUE"""),3.39)</f>
        <v>3.39</v>
      </c>
      <c r="E2068" s="1">
        <f>IFERROR(__xludf.DUMMYFUNCTION("""COMPUTED_VALUE"""),3.39)</f>
        <v>3.39</v>
      </c>
      <c r="F2068" s="1">
        <f>IFERROR(__xludf.DUMMYFUNCTION("""COMPUTED_VALUE"""),493102.0)</f>
        <v>493102</v>
      </c>
    </row>
    <row r="2069">
      <c r="A2069" s="2">
        <f>IFERROR(__xludf.DUMMYFUNCTION("""COMPUTED_VALUE"""),42170.66666666667)</f>
        <v>42170.66667</v>
      </c>
      <c r="B2069" s="1">
        <f>IFERROR(__xludf.DUMMYFUNCTION("""COMPUTED_VALUE"""),3.43)</f>
        <v>3.43</v>
      </c>
      <c r="C2069" s="1">
        <f>IFERROR(__xludf.DUMMYFUNCTION("""COMPUTED_VALUE"""),3.45)</f>
        <v>3.45</v>
      </c>
      <c r="D2069" s="1">
        <f>IFERROR(__xludf.DUMMYFUNCTION("""COMPUTED_VALUE"""),3.29)</f>
        <v>3.29</v>
      </c>
      <c r="E2069" s="1">
        <f>IFERROR(__xludf.DUMMYFUNCTION("""COMPUTED_VALUE"""),3.29)</f>
        <v>3.29</v>
      </c>
      <c r="F2069" s="1">
        <f>IFERROR(__xludf.DUMMYFUNCTION("""COMPUTED_VALUE"""),765070.0)</f>
        <v>765070</v>
      </c>
    </row>
    <row r="2070">
      <c r="A2070" s="2">
        <f>IFERROR(__xludf.DUMMYFUNCTION("""COMPUTED_VALUE"""),42171.66666666667)</f>
        <v>42171.66667</v>
      </c>
      <c r="B2070" s="1">
        <f>IFERROR(__xludf.DUMMYFUNCTION("""COMPUTED_VALUE"""),3.31)</f>
        <v>3.31</v>
      </c>
      <c r="C2070" s="1">
        <f>IFERROR(__xludf.DUMMYFUNCTION("""COMPUTED_VALUE"""),3.31)</f>
        <v>3.31</v>
      </c>
      <c r="D2070" s="1">
        <f>IFERROR(__xludf.DUMMYFUNCTION("""COMPUTED_VALUE"""),3.2)</f>
        <v>3.2</v>
      </c>
      <c r="E2070" s="1">
        <f>IFERROR(__xludf.DUMMYFUNCTION("""COMPUTED_VALUE"""),3.26)</f>
        <v>3.26</v>
      </c>
      <c r="F2070" s="1">
        <f>IFERROR(__xludf.DUMMYFUNCTION("""COMPUTED_VALUE"""),723930.0)</f>
        <v>723930</v>
      </c>
    </row>
    <row r="2071">
      <c r="A2071" s="2">
        <f>IFERROR(__xludf.DUMMYFUNCTION("""COMPUTED_VALUE"""),42172.66666666667)</f>
        <v>42172.66667</v>
      </c>
      <c r="B2071" s="1">
        <f>IFERROR(__xludf.DUMMYFUNCTION("""COMPUTED_VALUE"""),3.26)</f>
        <v>3.26</v>
      </c>
      <c r="C2071" s="1">
        <f>IFERROR(__xludf.DUMMYFUNCTION("""COMPUTED_VALUE"""),3.29)</f>
        <v>3.29</v>
      </c>
      <c r="D2071" s="1">
        <f>IFERROR(__xludf.DUMMYFUNCTION("""COMPUTED_VALUE"""),3.23)</f>
        <v>3.23</v>
      </c>
      <c r="E2071" s="1">
        <f>IFERROR(__xludf.DUMMYFUNCTION("""COMPUTED_VALUE"""),3.25)</f>
        <v>3.25</v>
      </c>
      <c r="F2071" s="1">
        <f>IFERROR(__xludf.DUMMYFUNCTION("""COMPUTED_VALUE"""),830668.0)</f>
        <v>830668</v>
      </c>
    </row>
    <row r="2072">
      <c r="A2072" s="2">
        <f>IFERROR(__xludf.DUMMYFUNCTION("""COMPUTED_VALUE"""),42173.66666666667)</f>
        <v>42173.66667</v>
      </c>
      <c r="B2072" s="1">
        <f>IFERROR(__xludf.DUMMYFUNCTION("""COMPUTED_VALUE"""),3.26)</f>
        <v>3.26</v>
      </c>
      <c r="C2072" s="1">
        <f>IFERROR(__xludf.DUMMYFUNCTION("""COMPUTED_VALUE"""),3.3)</f>
        <v>3.3</v>
      </c>
      <c r="D2072" s="1">
        <f>IFERROR(__xludf.DUMMYFUNCTION("""COMPUTED_VALUE"""),3.25)</f>
        <v>3.25</v>
      </c>
      <c r="E2072" s="1">
        <f>IFERROR(__xludf.DUMMYFUNCTION("""COMPUTED_VALUE"""),3.29)</f>
        <v>3.29</v>
      </c>
      <c r="F2072" s="1">
        <f>IFERROR(__xludf.DUMMYFUNCTION("""COMPUTED_VALUE"""),510265.0)</f>
        <v>510265</v>
      </c>
    </row>
    <row r="2073">
      <c r="A2073" s="2">
        <f>IFERROR(__xludf.DUMMYFUNCTION("""COMPUTED_VALUE"""),42174.66666666667)</f>
        <v>42174.66667</v>
      </c>
      <c r="B2073" s="1">
        <f>IFERROR(__xludf.DUMMYFUNCTION("""COMPUTED_VALUE"""),3.31)</f>
        <v>3.31</v>
      </c>
      <c r="C2073" s="1">
        <f>IFERROR(__xludf.DUMMYFUNCTION("""COMPUTED_VALUE"""),3.34)</f>
        <v>3.34</v>
      </c>
      <c r="D2073" s="1">
        <f>IFERROR(__xludf.DUMMYFUNCTION("""COMPUTED_VALUE"""),3.29)</f>
        <v>3.29</v>
      </c>
      <c r="E2073" s="1">
        <f>IFERROR(__xludf.DUMMYFUNCTION("""COMPUTED_VALUE"""),3.32)</f>
        <v>3.32</v>
      </c>
      <c r="F2073" s="1">
        <f>IFERROR(__xludf.DUMMYFUNCTION("""COMPUTED_VALUE"""),685394.0)</f>
        <v>685394</v>
      </c>
    </row>
    <row r="2074">
      <c r="A2074" s="2">
        <f>IFERROR(__xludf.DUMMYFUNCTION("""COMPUTED_VALUE"""),42177.66666666667)</f>
        <v>42177.66667</v>
      </c>
      <c r="B2074" s="1">
        <f>IFERROR(__xludf.DUMMYFUNCTION("""COMPUTED_VALUE"""),3.34)</f>
        <v>3.34</v>
      </c>
      <c r="C2074" s="1">
        <f>IFERROR(__xludf.DUMMYFUNCTION("""COMPUTED_VALUE"""),3.34)</f>
        <v>3.34</v>
      </c>
      <c r="D2074" s="1">
        <f>IFERROR(__xludf.DUMMYFUNCTION("""COMPUTED_VALUE"""),3.28)</f>
        <v>3.28</v>
      </c>
      <c r="E2074" s="1">
        <f>IFERROR(__xludf.DUMMYFUNCTION("""COMPUTED_VALUE"""),3.33)</f>
        <v>3.33</v>
      </c>
      <c r="F2074" s="1">
        <f>IFERROR(__xludf.DUMMYFUNCTION("""COMPUTED_VALUE"""),494641.0)</f>
        <v>494641</v>
      </c>
    </row>
    <row r="2075">
      <c r="A2075" s="2">
        <f>IFERROR(__xludf.DUMMYFUNCTION("""COMPUTED_VALUE"""),42178.66666666667)</f>
        <v>42178.66667</v>
      </c>
      <c r="B2075" s="1">
        <f>IFERROR(__xludf.DUMMYFUNCTION("""COMPUTED_VALUE"""),3.33)</f>
        <v>3.33</v>
      </c>
      <c r="C2075" s="1">
        <f>IFERROR(__xludf.DUMMYFUNCTION("""COMPUTED_VALUE"""),3.34)</f>
        <v>3.34</v>
      </c>
      <c r="D2075" s="1">
        <f>IFERROR(__xludf.DUMMYFUNCTION("""COMPUTED_VALUE"""),3.3)</f>
        <v>3.3</v>
      </c>
      <c r="E2075" s="1">
        <f>IFERROR(__xludf.DUMMYFUNCTION("""COMPUTED_VALUE"""),3.33)</f>
        <v>3.33</v>
      </c>
      <c r="F2075" s="1">
        <f>IFERROR(__xludf.DUMMYFUNCTION("""COMPUTED_VALUE"""),323720.0)</f>
        <v>323720</v>
      </c>
    </row>
    <row r="2076">
      <c r="A2076" s="2">
        <f>IFERROR(__xludf.DUMMYFUNCTION("""COMPUTED_VALUE"""),42179.66666666667)</f>
        <v>42179.66667</v>
      </c>
      <c r="B2076" s="1">
        <f>IFERROR(__xludf.DUMMYFUNCTION("""COMPUTED_VALUE"""),3.33)</f>
        <v>3.33</v>
      </c>
      <c r="C2076" s="1">
        <f>IFERROR(__xludf.DUMMYFUNCTION("""COMPUTED_VALUE"""),3.33)</f>
        <v>3.33</v>
      </c>
      <c r="D2076" s="1">
        <f>IFERROR(__xludf.DUMMYFUNCTION("""COMPUTED_VALUE"""),3.27)</f>
        <v>3.27</v>
      </c>
      <c r="E2076" s="1">
        <f>IFERROR(__xludf.DUMMYFUNCTION("""COMPUTED_VALUE"""),3.27)</f>
        <v>3.27</v>
      </c>
      <c r="F2076" s="1">
        <f>IFERROR(__xludf.DUMMYFUNCTION("""COMPUTED_VALUE"""),377696.0)</f>
        <v>377696</v>
      </c>
    </row>
    <row r="2077">
      <c r="A2077" s="2">
        <f>IFERROR(__xludf.DUMMYFUNCTION("""COMPUTED_VALUE"""),42180.66666666667)</f>
        <v>42180.66667</v>
      </c>
      <c r="B2077" s="1">
        <f>IFERROR(__xludf.DUMMYFUNCTION("""COMPUTED_VALUE"""),3.28)</f>
        <v>3.28</v>
      </c>
      <c r="C2077" s="1">
        <f>IFERROR(__xludf.DUMMYFUNCTION("""COMPUTED_VALUE"""),3.28)</f>
        <v>3.28</v>
      </c>
      <c r="D2077" s="1">
        <f>IFERROR(__xludf.DUMMYFUNCTION("""COMPUTED_VALUE"""),3.15)</f>
        <v>3.15</v>
      </c>
      <c r="E2077" s="1">
        <f>IFERROR(__xludf.DUMMYFUNCTION("""COMPUTED_VALUE"""),3.16)</f>
        <v>3.16</v>
      </c>
      <c r="F2077" s="1">
        <f>IFERROR(__xludf.DUMMYFUNCTION("""COMPUTED_VALUE"""),424980.0)</f>
        <v>424980</v>
      </c>
    </row>
    <row r="2078">
      <c r="A2078" s="2">
        <f>IFERROR(__xludf.DUMMYFUNCTION("""COMPUTED_VALUE"""),42181.66666666667)</f>
        <v>42181.66667</v>
      </c>
      <c r="B2078" s="1">
        <f>IFERROR(__xludf.DUMMYFUNCTION("""COMPUTED_VALUE"""),3.14)</f>
        <v>3.14</v>
      </c>
      <c r="C2078" s="1">
        <f>IFERROR(__xludf.DUMMYFUNCTION("""COMPUTED_VALUE"""),3.18)</f>
        <v>3.18</v>
      </c>
      <c r="D2078" s="1">
        <f>IFERROR(__xludf.DUMMYFUNCTION("""COMPUTED_VALUE"""),3.03)</f>
        <v>3.03</v>
      </c>
      <c r="E2078" s="1">
        <f>IFERROR(__xludf.DUMMYFUNCTION("""COMPUTED_VALUE"""),3.04)</f>
        <v>3.04</v>
      </c>
      <c r="F2078" s="1">
        <f>IFERROR(__xludf.DUMMYFUNCTION("""COMPUTED_VALUE"""),650238.0)</f>
        <v>650238</v>
      </c>
    </row>
    <row r="2079">
      <c r="A2079" s="2">
        <f>IFERROR(__xludf.DUMMYFUNCTION("""COMPUTED_VALUE"""),42184.66666666667)</f>
        <v>42184.66667</v>
      </c>
      <c r="B2079" s="1">
        <f>IFERROR(__xludf.DUMMYFUNCTION("""COMPUTED_VALUE"""),3.0)</f>
        <v>3</v>
      </c>
      <c r="C2079" s="1">
        <f>IFERROR(__xludf.DUMMYFUNCTION("""COMPUTED_VALUE"""),3.01)</f>
        <v>3.01</v>
      </c>
      <c r="D2079" s="1">
        <f>IFERROR(__xludf.DUMMYFUNCTION("""COMPUTED_VALUE"""),2.93)</f>
        <v>2.93</v>
      </c>
      <c r="E2079" s="1">
        <f>IFERROR(__xludf.DUMMYFUNCTION("""COMPUTED_VALUE"""),2.94)</f>
        <v>2.94</v>
      </c>
      <c r="F2079" s="1">
        <f>IFERROR(__xludf.DUMMYFUNCTION("""COMPUTED_VALUE"""),849113.0)</f>
        <v>849113</v>
      </c>
    </row>
    <row r="2080">
      <c r="A2080" s="2">
        <f>IFERROR(__xludf.DUMMYFUNCTION("""COMPUTED_VALUE"""),42185.66666666667)</f>
        <v>42185.66667</v>
      </c>
      <c r="B2080" s="1">
        <f>IFERROR(__xludf.DUMMYFUNCTION("""COMPUTED_VALUE"""),2.98)</f>
        <v>2.98</v>
      </c>
      <c r="C2080" s="1">
        <f>IFERROR(__xludf.DUMMYFUNCTION("""COMPUTED_VALUE"""),2.99)</f>
        <v>2.99</v>
      </c>
      <c r="D2080" s="1">
        <f>IFERROR(__xludf.DUMMYFUNCTION("""COMPUTED_VALUE"""),2.93)</f>
        <v>2.93</v>
      </c>
      <c r="E2080" s="1">
        <f>IFERROR(__xludf.DUMMYFUNCTION("""COMPUTED_VALUE"""),2.96)</f>
        <v>2.96</v>
      </c>
      <c r="F2080" s="1">
        <f>IFERROR(__xludf.DUMMYFUNCTION("""COMPUTED_VALUE"""),476208.0)</f>
        <v>476208</v>
      </c>
    </row>
    <row r="2081">
      <c r="A2081" s="2">
        <f>IFERROR(__xludf.DUMMYFUNCTION("""COMPUTED_VALUE"""),42186.66666666667)</f>
        <v>42186.66667</v>
      </c>
      <c r="B2081" s="1">
        <f>IFERROR(__xludf.DUMMYFUNCTION("""COMPUTED_VALUE"""),2.99)</f>
        <v>2.99</v>
      </c>
      <c r="C2081" s="1">
        <f>IFERROR(__xludf.DUMMYFUNCTION("""COMPUTED_VALUE"""),3.03)</f>
        <v>3.03</v>
      </c>
      <c r="D2081" s="1">
        <f>IFERROR(__xludf.DUMMYFUNCTION("""COMPUTED_VALUE"""),2.98)</f>
        <v>2.98</v>
      </c>
      <c r="E2081" s="1">
        <f>IFERROR(__xludf.DUMMYFUNCTION("""COMPUTED_VALUE"""),3.03)</f>
        <v>3.03</v>
      </c>
      <c r="F2081" s="1">
        <f>IFERROR(__xludf.DUMMYFUNCTION("""COMPUTED_VALUE"""),530350.0)</f>
        <v>530350</v>
      </c>
    </row>
    <row r="2082">
      <c r="A2082" s="2">
        <f>IFERROR(__xludf.DUMMYFUNCTION("""COMPUTED_VALUE"""),42187.66666666667)</f>
        <v>42187.66667</v>
      </c>
      <c r="B2082" s="1">
        <f>IFERROR(__xludf.DUMMYFUNCTION("""COMPUTED_VALUE"""),3.05)</f>
        <v>3.05</v>
      </c>
      <c r="C2082" s="1">
        <f>IFERROR(__xludf.DUMMYFUNCTION("""COMPUTED_VALUE"""),3.05)</f>
        <v>3.05</v>
      </c>
      <c r="D2082" s="1">
        <f>IFERROR(__xludf.DUMMYFUNCTION("""COMPUTED_VALUE"""),2.9)</f>
        <v>2.9</v>
      </c>
      <c r="E2082" s="1">
        <f>IFERROR(__xludf.DUMMYFUNCTION("""COMPUTED_VALUE"""),2.9)</f>
        <v>2.9</v>
      </c>
      <c r="F2082" s="1">
        <f>IFERROR(__xludf.DUMMYFUNCTION("""COMPUTED_VALUE"""),426065.0)</f>
        <v>426065</v>
      </c>
    </row>
    <row r="2083">
      <c r="A2083" s="2">
        <f>IFERROR(__xludf.DUMMYFUNCTION("""COMPUTED_VALUE"""),42191.66666666667)</f>
        <v>42191.66667</v>
      </c>
      <c r="B2083" s="1">
        <f>IFERROR(__xludf.DUMMYFUNCTION("""COMPUTED_VALUE"""),2.85)</f>
        <v>2.85</v>
      </c>
      <c r="C2083" s="1">
        <f>IFERROR(__xludf.DUMMYFUNCTION("""COMPUTED_VALUE"""),2.9)</f>
        <v>2.9</v>
      </c>
      <c r="D2083" s="1">
        <f>IFERROR(__xludf.DUMMYFUNCTION("""COMPUTED_VALUE"""),2.78)</f>
        <v>2.78</v>
      </c>
      <c r="E2083" s="1">
        <f>IFERROR(__xludf.DUMMYFUNCTION("""COMPUTED_VALUE"""),2.8)</f>
        <v>2.8</v>
      </c>
      <c r="F2083" s="1">
        <f>IFERROR(__xludf.DUMMYFUNCTION("""COMPUTED_VALUE"""),801865.0)</f>
        <v>801865</v>
      </c>
    </row>
    <row r="2084">
      <c r="A2084" s="2">
        <f>IFERROR(__xludf.DUMMYFUNCTION("""COMPUTED_VALUE"""),42192.66666666667)</f>
        <v>42192.66667</v>
      </c>
      <c r="B2084" s="1">
        <f>IFERROR(__xludf.DUMMYFUNCTION("""COMPUTED_VALUE"""),2.8)</f>
        <v>2.8</v>
      </c>
      <c r="C2084" s="1">
        <f>IFERROR(__xludf.DUMMYFUNCTION("""COMPUTED_VALUE"""),2.81)</f>
        <v>2.81</v>
      </c>
      <c r="D2084" s="1">
        <f>IFERROR(__xludf.DUMMYFUNCTION("""COMPUTED_VALUE"""),2.67)</f>
        <v>2.67</v>
      </c>
      <c r="E2084" s="1">
        <f>IFERROR(__xludf.DUMMYFUNCTION("""COMPUTED_VALUE"""),2.76)</f>
        <v>2.76</v>
      </c>
      <c r="F2084" s="1">
        <f>IFERROR(__xludf.DUMMYFUNCTION("""COMPUTED_VALUE"""),948171.0)</f>
        <v>948171</v>
      </c>
    </row>
    <row r="2085">
      <c r="A2085" s="2">
        <f>IFERROR(__xludf.DUMMYFUNCTION("""COMPUTED_VALUE"""),42193.66666666667)</f>
        <v>42193.66667</v>
      </c>
      <c r="B2085" s="1">
        <f>IFERROR(__xludf.DUMMYFUNCTION("""COMPUTED_VALUE"""),2.75)</f>
        <v>2.75</v>
      </c>
      <c r="C2085" s="1">
        <f>IFERROR(__xludf.DUMMYFUNCTION("""COMPUTED_VALUE"""),2.78)</f>
        <v>2.78</v>
      </c>
      <c r="D2085" s="1">
        <f>IFERROR(__xludf.DUMMYFUNCTION("""COMPUTED_VALUE"""),2.7)</f>
        <v>2.7</v>
      </c>
      <c r="E2085" s="1">
        <f>IFERROR(__xludf.DUMMYFUNCTION("""COMPUTED_VALUE"""),2.76)</f>
        <v>2.76</v>
      </c>
      <c r="F2085" s="1">
        <f>IFERROR(__xludf.DUMMYFUNCTION("""COMPUTED_VALUE"""),802415.0)</f>
        <v>802415</v>
      </c>
    </row>
    <row r="2086">
      <c r="A2086" s="2">
        <f>IFERROR(__xludf.DUMMYFUNCTION("""COMPUTED_VALUE"""),42194.66666666667)</f>
        <v>42194.66667</v>
      </c>
      <c r="B2086" s="1">
        <f>IFERROR(__xludf.DUMMYFUNCTION("""COMPUTED_VALUE"""),2.76)</f>
        <v>2.76</v>
      </c>
      <c r="C2086" s="1">
        <f>IFERROR(__xludf.DUMMYFUNCTION("""COMPUTED_VALUE"""),2.81)</f>
        <v>2.81</v>
      </c>
      <c r="D2086" s="1">
        <f>IFERROR(__xludf.DUMMYFUNCTION("""COMPUTED_VALUE"""),2.52)</f>
        <v>2.52</v>
      </c>
      <c r="E2086" s="1">
        <f>IFERROR(__xludf.DUMMYFUNCTION("""COMPUTED_VALUE"""),2.58)</f>
        <v>2.58</v>
      </c>
      <c r="F2086" s="1">
        <f>IFERROR(__xludf.DUMMYFUNCTION("""COMPUTED_VALUE"""),1563347.0)</f>
        <v>1563347</v>
      </c>
    </row>
    <row r="2087">
      <c r="A2087" s="2">
        <f>IFERROR(__xludf.DUMMYFUNCTION("""COMPUTED_VALUE"""),42195.66666666667)</f>
        <v>42195.66667</v>
      </c>
      <c r="B2087" s="1">
        <f>IFERROR(__xludf.DUMMYFUNCTION("""COMPUTED_VALUE"""),2.61)</f>
        <v>2.61</v>
      </c>
      <c r="C2087" s="1">
        <f>IFERROR(__xludf.DUMMYFUNCTION("""COMPUTED_VALUE"""),2.64)</f>
        <v>2.64</v>
      </c>
      <c r="D2087" s="1">
        <f>IFERROR(__xludf.DUMMYFUNCTION("""COMPUTED_VALUE"""),2.54)</f>
        <v>2.54</v>
      </c>
      <c r="E2087" s="1">
        <f>IFERROR(__xludf.DUMMYFUNCTION("""COMPUTED_VALUE"""),2.59)</f>
        <v>2.59</v>
      </c>
      <c r="F2087" s="1">
        <f>IFERROR(__xludf.DUMMYFUNCTION("""COMPUTED_VALUE"""),566044.0)</f>
        <v>566044</v>
      </c>
    </row>
    <row r="2088">
      <c r="A2088" s="2">
        <f>IFERROR(__xludf.DUMMYFUNCTION("""COMPUTED_VALUE"""),42198.66666666667)</f>
        <v>42198.66667</v>
      </c>
      <c r="B2088" s="1">
        <f>IFERROR(__xludf.DUMMYFUNCTION("""COMPUTED_VALUE"""),2.59)</f>
        <v>2.59</v>
      </c>
      <c r="C2088" s="1">
        <f>IFERROR(__xludf.DUMMYFUNCTION("""COMPUTED_VALUE"""),2.62)</f>
        <v>2.62</v>
      </c>
      <c r="D2088" s="1">
        <f>IFERROR(__xludf.DUMMYFUNCTION("""COMPUTED_VALUE"""),2.54)</f>
        <v>2.54</v>
      </c>
      <c r="E2088" s="1">
        <f>IFERROR(__xludf.DUMMYFUNCTION("""COMPUTED_VALUE"""),2.54)</f>
        <v>2.54</v>
      </c>
      <c r="F2088" s="1">
        <f>IFERROR(__xludf.DUMMYFUNCTION("""COMPUTED_VALUE"""),522707.0)</f>
        <v>522707</v>
      </c>
    </row>
    <row r="2089">
      <c r="A2089" s="2">
        <f>IFERROR(__xludf.DUMMYFUNCTION("""COMPUTED_VALUE"""),42199.66666666667)</f>
        <v>42199.66667</v>
      </c>
      <c r="B2089" s="1">
        <f>IFERROR(__xludf.DUMMYFUNCTION("""COMPUTED_VALUE"""),2.56)</f>
        <v>2.56</v>
      </c>
      <c r="C2089" s="1">
        <f>IFERROR(__xludf.DUMMYFUNCTION("""COMPUTED_VALUE"""),2.62)</f>
        <v>2.62</v>
      </c>
      <c r="D2089" s="1">
        <f>IFERROR(__xludf.DUMMYFUNCTION("""COMPUTED_VALUE"""),2.55)</f>
        <v>2.55</v>
      </c>
      <c r="E2089" s="1">
        <f>IFERROR(__xludf.DUMMYFUNCTION("""COMPUTED_VALUE"""),2.6)</f>
        <v>2.6</v>
      </c>
      <c r="F2089" s="1">
        <f>IFERROR(__xludf.DUMMYFUNCTION("""COMPUTED_VALUE"""),713912.0)</f>
        <v>713912</v>
      </c>
    </row>
    <row r="2090">
      <c r="A2090" s="2">
        <f>IFERROR(__xludf.DUMMYFUNCTION("""COMPUTED_VALUE"""),42200.66666666667)</f>
        <v>42200.66667</v>
      </c>
      <c r="B2090" s="1">
        <f>IFERROR(__xludf.DUMMYFUNCTION("""COMPUTED_VALUE"""),2.62)</f>
        <v>2.62</v>
      </c>
      <c r="C2090" s="1">
        <f>IFERROR(__xludf.DUMMYFUNCTION("""COMPUTED_VALUE"""),2.63)</f>
        <v>2.63</v>
      </c>
      <c r="D2090" s="1">
        <f>IFERROR(__xludf.DUMMYFUNCTION("""COMPUTED_VALUE"""),2.49)</f>
        <v>2.49</v>
      </c>
      <c r="E2090" s="1">
        <f>IFERROR(__xludf.DUMMYFUNCTION("""COMPUTED_VALUE"""),2.52)</f>
        <v>2.52</v>
      </c>
      <c r="F2090" s="1">
        <f>IFERROR(__xludf.DUMMYFUNCTION("""COMPUTED_VALUE"""),845120.0)</f>
        <v>845120</v>
      </c>
    </row>
    <row r="2091">
      <c r="A2091" s="2">
        <f>IFERROR(__xludf.DUMMYFUNCTION("""COMPUTED_VALUE"""),42201.66666666667)</f>
        <v>42201.66667</v>
      </c>
      <c r="B2091" s="1">
        <f>IFERROR(__xludf.DUMMYFUNCTION("""COMPUTED_VALUE"""),2.55)</f>
        <v>2.55</v>
      </c>
      <c r="C2091" s="1">
        <f>IFERROR(__xludf.DUMMYFUNCTION("""COMPUTED_VALUE"""),2.59)</f>
        <v>2.59</v>
      </c>
      <c r="D2091" s="1">
        <f>IFERROR(__xludf.DUMMYFUNCTION("""COMPUTED_VALUE"""),2.51)</f>
        <v>2.51</v>
      </c>
      <c r="E2091" s="1">
        <f>IFERROR(__xludf.DUMMYFUNCTION("""COMPUTED_VALUE"""),2.52)</f>
        <v>2.52</v>
      </c>
      <c r="F2091" s="1">
        <f>IFERROR(__xludf.DUMMYFUNCTION("""COMPUTED_VALUE"""),868745.0)</f>
        <v>868745</v>
      </c>
    </row>
    <row r="2092">
      <c r="A2092" s="2">
        <f>IFERROR(__xludf.DUMMYFUNCTION("""COMPUTED_VALUE"""),42202.66666666667)</f>
        <v>42202.66667</v>
      </c>
      <c r="B2092" s="1">
        <f>IFERROR(__xludf.DUMMYFUNCTION("""COMPUTED_VALUE"""),2.53)</f>
        <v>2.53</v>
      </c>
      <c r="C2092" s="1">
        <f>IFERROR(__xludf.DUMMYFUNCTION("""COMPUTED_VALUE"""),2.54)</f>
        <v>2.54</v>
      </c>
      <c r="D2092" s="1">
        <f>IFERROR(__xludf.DUMMYFUNCTION("""COMPUTED_VALUE"""),2.47)</f>
        <v>2.47</v>
      </c>
      <c r="E2092" s="1">
        <f>IFERROR(__xludf.DUMMYFUNCTION("""COMPUTED_VALUE"""),2.51)</f>
        <v>2.51</v>
      </c>
      <c r="F2092" s="1">
        <f>IFERROR(__xludf.DUMMYFUNCTION("""COMPUTED_VALUE"""),622547.0)</f>
        <v>622547</v>
      </c>
    </row>
    <row r="2093">
      <c r="A2093" s="2">
        <f>IFERROR(__xludf.DUMMYFUNCTION("""COMPUTED_VALUE"""),42205.66666666667)</f>
        <v>42205.66667</v>
      </c>
      <c r="B2093" s="1">
        <f>IFERROR(__xludf.DUMMYFUNCTION("""COMPUTED_VALUE"""),2.53)</f>
        <v>2.53</v>
      </c>
      <c r="C2093" s="1">
        <f>IFERROR(__xludf.DUMMYFUNCTION("""COMPUTED_VALUE"""),2.54)</f>
        <v>2.54</v>
      </c>
      <c r="D2093" s="1">
        <f>IFERROR(__xludf.DUMMYFUNCTION("""COMPUTED_VALUE"""),2.47)</f>
        <v>2.47</v>
      </c>
      <c r="E2093" s="1">
        <f>IFERROR(__xludf.DUMMYFUNCTION("""COMPUTED_VALUE"""),2.5)</f>
        <v>2.5</v>
      </c>
      <c r="F2093" s="1">
        <f>IFERROR(__xludf.DUMMYFUNCTION("""COMPUTED_VALUE"""),468910.0)</f>
        <v>468910</v>
      </c>
    </row>
    <row r="2094">
      <c r="A2094" s="2">
        <f>IFERROR(__xludf.DUMMYFUNCTION("""COMPUTED_VALUE"""),42206.66666666667)</f>
        <v>42206.66667</v>
      </c>
      <c r="B2094" s="1">
        <f>IFERROR(__xludf.DUMMYFUNCTION("""COMPUTED_VALUE"""),2.51)</f>
        <v>2.51</v>
      </c>
      <c r="C2094" s="1">
        <f>IFERROR(__xludf.DUMMYFUNCTION("""COMPUTED_VALUE"""),2.54)</f>
        <v>2.54</v>
      </c>
      <c r="D2094" s="1">
        <f>IFERROR(__xludf.DUMMYFUNCTION("""COMPUTED_VALUE"""),2.48)</f>
        <v>2.48</v>
      </c>
      <c r="E2094" s="1">
        <f>IFERROR(__xludf.DUMMYFUNCTION("""COMPUTED_VALUE"""),2.51)</f>
        <v>2.51</v>
      </c>
      <c r="F2094" s="1">
        <f>IFERROR(__xludf.DUMMYFUNCTION("""COMPUTED_VALUE"""),397591.0)</f>
        <v>397591</v>
      </c>
    </row>
    <row r="2095">
      <c r="A2095" s="2">
        <f>IFERROR(__xludf.DUMMYFUNCTION("""COMPUTED_VALUE"""),42207.66666666667)</f>
        <v>42207.66667</v>
      </c>
      <c r="B2095" s="1">
        <f>IFERROR(__xludf.DUMMYFUNCTION("""COMPUTED_VALUE"""),2.5)</f>
        <v>2.5</v>
      </c>
      <c r="C2095" s="1">
        <f>IFERROR(__xludf.DUMMYFUNCTION("""COMPUTED_VALUE"""),2.56)</f>
        <v>2.56</v>
      </c>
      <c r="D2095" s="1">
        <f>IFERROR(__xludf.DUMMYFUNCTION("""COMPUTED_VALUE"""),2.47)</f>
        <v>2.47</v>
      </c>
      <c r="E2095" s="1">
        <f>IFERROR(__xludf.DUMMYFUNCTION("""COMPUTED_VALUE"""),2.54)</f>
        <v>2.54</v>
      </c>
      <c r="F2095" s="1">
        <f>IFERROR(__xludf.DUMMYFUNCTION("""COMPUTED_VALUE"""),456399.0)</f>
        <v>456399</v>
      </c>
    </row>
    <row r="2096">
      <c r="A2096" s="2">
        <f>IFERROR(__xludf.DUMMYFUNCTION("""COMPUTED_VALUE"""),42208.66666666667)</f>
        <v>42208.66667</v>
      </c>
      <c r="B2096" s="1">
        <f>IFERROR(__xludf.DUMMYFUNCTION("""COMPUTED_VALUE"""),2.55)</f>
        <v>2.55</v>
      </c>
      <c r="C2096" s="1">
        <f>IFERROR(__xludf.DUMMYFUNCTION("""COMPUTED_VALUE"""),2.64)</f>
        <v>2.64</v>
      </c>
      <c r="D2096" s="1">
        <f>IFERROR(__xludf.DUMMYFUNCTION("""COMPUTED_VALUE"""),2.53)</f>
        <v>2.53</v>
      </c>
      <c r="E2096" s="1">
        <f>IFERROR(__xludf.DUMMYFUNCTION("""COMPUTED_VALUE"""),2.58)</f>
        <v>2.58</v>
      </c>
      <c r="F2096" s="1">
        <f>IFERROR(__xludf.DUMMYFUNCTION("""COMPUTED_VALUE"""),618078.0)</f>
        <v>618078</v>
      </c>
    </row>
    <row r="2097">
      <c r="A2097" s="2">
        <f>IFERROR(__xludf.DUMMYFUNCTION("""COMPUTED_VALUE"""),42209.66666666667)</f>
        <v>42209.66667</v>
      </c>
      <c r="B2097" s="1">
        <f>IFERROR(__xludf.DUMMYFUNCTION("""COMPUTED_VALUE"""),2.57)</f>
        <v>2.57</v>
      </c>
      <c r="C2097" s="1">
        <f>IFERROR(__xludf.DUMMYFUNCTION("""COMPUTED_VALUE"""),2.6)</f>
        <v>2.6</v>
      </c>
      <c r="D2097" s="1">
        <f>IFERROR(__xludf.DUMMYFUNCTION("""COMPUTED_VALUE"""),2.52)</f>
        <v>2.52</v>
      </c>
      <c r="E2097" s="1">
        <f>IFERROR(__xludf.DUMMYFUNCTION("""COMPUTED_VALUE"""),2.55)</f>
        <v>2.55</v>
      </c>
      <c r="F2097" s="1">
        <f>IFERROR(__xludf.DUMMYFUNCTION("""COMPUTED_VALUE"""),485591.0)</f>
        <v>485591</v>
      </c>
    </row>
    <row r="2098">
      <c r="A2098" s="2">
        <f>IFERROR(__xludf.DUMMYFUNCTION("""COMPUTED_VALUE"""),42212.66666666667)</f>
        <v>42212.66667</v>
      </c>
      <c r="B2098" s="1">
        <f>IFERROR(__xludf.DUMMYFUNCTION("""COMPUTED_VALUE"""),2.52)</f>
        <v>2.52</v>
      </c>
      <c r="C2098" s="1">
        <f>IFERROR(__xludf.DUMMYFUNCTION("""COMPUTED_VALUE"""),2.54)</f>
        <v>2.54</v>
      </c>
      <c r="D2098" s="1">
        <f>IFERROR(__xludf.DUMMYFUNCTION("""COMPUTED_VALUE"""),2.49)</f>
        <v>2.49</v>
      </c>
      <c r="E2098" s="1">
        <f>IFERROR(__xludf.DUMMYFUNCTION("""COMPUTED_VALUE"""),2.52)</f>
        <v>2.52</v>
      </c>
      <c r="F2098" s="1">
        <f>IFERROR(__xludf.DUMMYFUNCTION("""COMPUTED_VALUE"""),227265.0)</f>
        <v>227265</v>
      </c>
    </row>
    <row r="2099">
      <c r="A2099" s="2">
        <f>IFERROR(__xludf.DUMMYFUNCTION("""COMPUTED_VALUE"""),42213.66666666667)</f>
        <v>42213.66667</v>
      </c>
      <c r="B2099" s="1">
        <f>IFERROR(__xludf.DUMMYFUNCTION("""COMPUTED_VALUE"""),2.54)</f>
        <v>2.54</v>
      </c>
      <c r="C2099" s="1">
        <f>IFERROR(__xludf.DUMMYFUNCTION("""COMPUTED_VALUE"""),2.55)</f>
        <v>2.55</v>
      </c>
      <c r="D2099" s="1">
        <f>IFERROR(__xludf.DUMMYFUNCTION("""COMPUTED_VALUE"""),2.46)</f>
        <v>2.46</v>
      </c>
      <c r="E2099" s="1">
        <f>IFERROR(__xludf.DUMMYFUNCTION("""COMPUTED_VALUE"""),2.53)</f>
        <v>2.53</v>
      </c>
      <c r="F2099" s="1">
        <f>IFERROR(__xludf.DUMMYFUNCTION("""COMPUTED_VALUE"""),508425.0)</f>
        <v>508425</v>
      </c>
    </row>
    <row r="2100">
      <c r="A2100" s="2">
        <f>IFERROR(__xludf.DUMMYFUNCTION("""COMPUTED_VALUE"""),42214.66666666667)</f>
        <v>42214.66667</v>
      </c>
      <c r="B2100" s="1">
        <f>IFERROR(__xludf.DUMMYFUNCTION("""COMPUTED_VALUE"""),2.54)</f>
        <v>2.54</v>
      </c>
      <c r="C2100" s="1">
        <f>IFERROR(__xludf.DUMMYFUNCTION("""COMPUTED_VALUE"""),2.6)</f>
        <v>2.6</v>
      </c>
      <c r="D2100" s="1">
        <f>IFERROR(__xludf.DUMMYFUNCTION("""COMPUTED_VALUE"""),2.53)</f>
        <v>2.53</v>
      </c>
      <c r="E2100" s="1">
        <f>IFERROR(__xludf.DUMMYFUNCTION("""COMPUTED_VALUE"""),2.57)</f>
        <v>2.57</v>
      </c>
      <c r="F2100" s="1">
        <f>IFERROR(__xludf.DUMMYFUNCTION("""COMPUTED_VALUE"""),303869.0)</f>
        <v>303869</v>
      </c>
    </row>
    <row r="2101">
      <c r="A2101" s="2">
        <f>IFERROR(__xludf.DUMMYFUNCTION("""COMPUTED_VALUE"""),42215.66666666667)</f>
        <v>42215.66667</v>
      </c>
      <c r="B2101" s="1">
        <f>IFERROR(__xludf.DUMMYFUNCTION("""COMPUTED_VALUE"""),2.55)</f>
        <v>2.55</v>
      </c>
      <c r="C2101" s="1">
        <f>IFERROR(__xludf.DUMMYFUNCTION("""COMPUTED_VALUE"""),2.58)</f>
        <v>2.58</v>
      </c>
      <c r="D2101" s="1">
        <f>IFERROR(__xludf.DUMMYFUNCTION("""COMPUTED_VALUE"""),2.52)</f>
        <v>2.52</v>
      </c>
      <c r="E2101" s="1">
        <f>IFERROR(__xludf.DUMMYFUNCTION("""COMPUTED_VALUE"""),2.58)</f>
        <v>2.58</v>
      </c>
      <c r="F2101" s="1">
        <f>IFERROR(__xludf.DUMMYFUNCTION("""COMPUTED_VALUE"""),236395.0)</f>
        <v>236395</v>
      </c>
    </row>
    <row r="2102">
      <c r="A2102" s="2">
        <f>IFERROR(__xludf.DUMMYFUNCTION("""COMPUTED_VALUE"""),42216.66666666667)</f>
        <v>42216.66667</v>
      </c>
      <c r="B2102" s="1">
        <f>IFERROR(__xludf.DUMMYFUNCTION("""COMPUTED_VALUE"""),2.62)</f>
        <v>2.62</v>
      </c>
      <c r="C2102" s="1">
        <f>IFERROR(__xludf.DUMMYFUNCTION("""COMPUTED_VALUE"""),2.7)</f>
        <v>2.7</v>
      </c>
      <c r="D2102" s="1">
        <f>IFERROR(__xludf.DUMMYFUNCTION("""COMPUTED_VALUE"""),2.62)</f>
        <v>2.62</v>
      </c>
      <c r="E2102" s="1">
        <f>IFERROR(__xludf.DUMMYFUNCTION("""COMPUTED_VALUE"""),2.67)</f>
        <v>2.67</v>
      </c>
      <c r="F2102" s="1">
        <f>IFERROR(__xludf.DUMMYFUNCTION("""COMPUTED_VALUE"""),740816.0)</f>
        <v>740816</v>
      </c>
    </row>
    <row r="2103">
      <c r="A2103" s="2">
        <f>IFERROR(__xludf.DUMMYFUNCTION("""COMPUTED_VALUE"""),42219.66666666667)</f>
        <v>42219.66667</v>
      </c>
      <c r="B2103" s="1">
        <f>IFERROR(__xludf.DUMMYFUNCTION("""COMPUTED_VALUE"""),2.65)</f>
        <v>2.65</v>
      </c>
      <c r="C2103" s="1">
        <f>IFERROR(__xludf.DUMMYFUNCTION("""COMPUTED_VALUE"""),2.66)</f>
        <v>2.66</v>
      </c>
      <c r="D2103" s="1">
        <f>IFERROR(__xludf.DUMMYFUNCTION("""COMPUTED_VALUE"""),2.58)</f>
        <v>2.58</v>
      </c>
      <c r="E2103" s="1">
        <f>IFERROR(__xludf.DUMMYFUNCTION("""COMPUTED_VALUE"""),2.66)</f>
        <v>2.66</v>
      </c>
      <c r="F2103" s="1">
        <f>IFERROR(__xludf.DUMMYFUNCTION("""COMPUTED_VALUE"""),815904.0)</f>
        <v>815904</v>
      </c>
    </row>
    <row r="2104">
      <c r="A2104" s="2">
        <f>IFERROR(__xludf.DUMMYFUNCTION("""COMPUTED_VALUE"""),42220.66666666667)</f>
        <v>42220.66667</v>
      </c>
      <c r="B2104" s="1">
        <f>IFERROR(__xludf.DUMMYFUNCTION("""COMPUTED_VALUE"""),2.68)</f>
        <v>2.68</v>
      </c>
      <c r="C2104" s="1">
        <f>IFERROR(__xludf.DUMMYFUNCTION("""COMPUTED_VALUE"""),2.7)</f>
        <v>2.7</v>
      </c>
      <c r="D2104" s="1">
        <f>IFERROR(__xludf.DUMMYFUNCTION("""COMPUTED_VALUE"""),2.57)</f>
        <v>2.57</v>
      </c>
      <c r="E2104" s="1">
        <f>IFERROR(__xludf.DUMMYFUNCTION("""COMPUTED_VALUE"""),2.58)</f>
        <v>2.58</v>
      </c>
      <c r="F2104" s="1">
        <f>IFERROR(__xludf.DUMMYFUNCTION("""COMPUTED_VALUE"""),1036471.0)</f>
        <v>1036471</v>
      </c>
    </row>
    <row r="2105">
      <c r="A2105" s="2">
        <f>IFERROR(__xludf.DUMMYFUNCTION("""COMPUTED_VALUE"""),42221.66666666667)</f>
        <v>42221.66667</v>
      </c>
      <c r="B2105" s="1">
        <f>IFERROR(__xludf.DUMMYFUNCTION("""COMPUTED_VALUE"""),2.78)</f>
        <v>2.78</v>
      </c>
      <c r="C2105" s="1">
        <f>IFERROR(__xludf.DUMMYFUNCTION("""COMPUTED_VALUE"""),2.85)</f>
        <v>2.85</v>
      </c>
      <c r="D2105" s="1">
        <f>IFERROR(__xludf.DUMMYFUNCTION("""COMPUTED_VALUE"""),2.68)</f>
        <v>2.68</v>
      </c>
      <c r="E2105" s="1">
        <f>IFERROR(__xludf.DUMMYFUNCTION("""COMPUTED_VALUE"""),2.79)</f>
        <v>2.79</v>
      </c>
      <c r="F2105" s="1">
        <f>IFERROR(__xludf.DUMMYFUNCTION("""COMPUTED_VALUE"""),2534785.0)</f>
        <v>2534785</v>
      </c>
    </row>
    <row r="2106">
      <c r="A2106" s="2">
        <f>IFERROR(__xludf.DUMMYFUNCTION("""COMPUTED_VALUE"""),42222.66666666667)</f>
        <v>42222.66667</v>
      </c>
      <c r="B2106" s="1">
        <f>IFERROR(__xludf.DUMMYFUNCTION("""COMPUTED_VALUE"""),2.89)</f>
        <v>2.89</v>
      </c>
      <c r="C2106" s="1">
        <f>IFERROR(__xludf.DUMMYFUNCTION("""COMPUTED_VALUE"""),2.9)</f>
        <v>2.9</v>
      </c>
      <c r="D2106" s="1">
        <f>IFERROR(__xludf.DUMMYFUNCTION("""COMPUTED_VALUE"""),2.6)</f>
        <v>2.6</v>
      </c>
      <c r="E2106" s="1">
        <f>IFERROR(__xludf.DUMMYFUNCTION("""COMPUTED_VALUE"""),2.69)</f>
        <v>2.69</v>
      </c>
      <c r="F2106" s="1">
        <f>IFERROR(__xludf.DUMMYFUNCTION("""COMPUTED_VALUE"""),1092191.0)</f>
        <v>1092191</v>
      </c>
    </row>
    <row r="2107">
      <c r="A2107" s="2">
        <f>IFERROR(__xludf.DUMMYFUNCTION("""COMPUTED_VALUE"""),42223.66666666667)</f>
        <v>42223.66667</v>
      </c>
      <c r="B2107" s="1">
        <f>IFERROR(__xludf.DUMMYFUNCTION("""COMPUTED_VALUE"""),2.68)</f>
        <v>2.68</v>
      </c>
      <c r="C2107" s="1">
        <f>IFERROR(__xludf.DUMMYFUNCTION("""COMPUTED_VALUE"""),2.69)</f>
        <v>2.69</v>
      </c>
      <c r="D2107" s="1">
        <f>IFERROR(__xludf.DUMMYFUNCTION("""COMPUTED_VALUE"""),2.61)</f>
        <v>2.61</v>
      </c>
      <c r="E2107" s="1">
        <f>IFERROR(__xludf.DUMMYFUNCTION("""COMPUTED_VALUE"""),2.66)</f>
        <v>2.66</v>
      </c>
      <c r="F2107" s="1">
        <f>IFERROR(__xludf.DUMMYFUNCTION("""COMPUTED_VALUE"""),497408.0)</f>
        <v>497408</v>
      </c>
    </row>
    <row r="2108">
      <c r="A2108" s="2">
        <f>IFERROR(__xludf.DUMMYFUNCTION("""COMPUTED_VALUE"""),42226.66666666667)</f>
        <v>42226.66667</v>
      </c>
      <c r="B2108" s="1">
        <f>IFERROR(__xludf.DUMMYFUNCTION("""COMPUTED_VALUE"""),2.65)</f>
        <v>2.65</v>
      </c>
      <c r="C2108" s="1">
        <f>IFERROR(__xludf.DUMMYFUNCTION("""COMPUTED_VALUE"""),2.77)</f>
        <v>2.77</v>
      </c>
      <c r="D2108" s="1">
        <f>IFERROR(__xludf.DUMMYFUNCTION("""COMPUTED_VALUE"""),2.64)</f>
        <v>2.64</v>
      </c>
      <c r="E2108" s="1">
        <f>IFERROR(__xludf.DUMMYFUNCTION("""COMPUTED_VALUE"""),2.72)</f>
        <v>2.72</v>
      </c>
      <c r="F2108" s="1">
        <f>IFERROR(__xludf.DUMMYFUNCTION("""COMPUTED_VALUE"""),622925.0)</f>
        <v>622925</v>
      </c>
    </row>
    <row r="2109">
      <c r="A2109" s="2">
        <f>IFERROR(__xludf.DUMMYFUNCTION("""COMPUTED_VALUE"""),42227.66666666667)</f>
        <v>42227.66667</v>
      </c>
      <c r="B2109" s="1">
        <f>IFERROR(__xludf.DUMMYFUNCTION("""COMPUTED_VALUE"""),2.68)</f>
        <v>2.68</v>
      </c>
      <c r="C2109" s="1">
        <f>IFERROR(__xludf.DUMMYFUNCTION("""COMPUTED_VALUE"""),2.7)</f>
        <v>2.7</v>
      </c>
      <c r="D2109" s="1">
        <f>IFERROR(__xludf.DUMMYFUNCTION("""COMPUTED_VALUE"""),2.61)</f>
        <v>2.61</v>
      </c>
      <c r="E2109" s="1">
        <f>IFERROR(__xludf.DUMMYFUNCTION("""COMPUTED_VALUE"""),2.61)</f>
        <v>2.61</v>
      </c>
      <c r="F2109" s="1">
        <f>IFERROR(__xludf.DUMMYFUNCTION("""COMPUTED_VALUE"""),386041.0)</f>
        <v>386041</v>
      </c>
    </row>
    <row r="2110">
      <c r="A2110" s="2">
        <f>IFERROR(__xludf.DUMMYFUNCTION("""COMPUTED_VALUE"""),42228.66666666667)</f>
        <v>42228.66667</v>
      </c>
      <c r="B2110" s="1">
        <f>IFERROR(__xludf.DUMMYFUNCTION("""COMPUTED_VALUE"""),2.59)</f>
        <v>2.59</v>
      </c>
      <c r="C2110" s="1">
        <f>IFERROR(__xludf.DUMMYFUNCTION("""COMPUTED_VALUE"""),2.71)</f>
        <v>2.71</v>
      </c>
      <c r="D2110" s="1">
        <f>IFERROR(__xludf.DUMMYFUNCTION("""COMPUTED_VALUE"""),2.56)</f>
        <v>2.56</v>
      </c>
      <c r="E2110" s="1">
        <f>IFERROR(__xludf.DUMMYFUNCTION("""COMPUTED_VALUE"""),2.7)</f>
        <v>2.7</v>
      </c>
      <c r="F2110" s="1">
        <f>IFERROR(__xludf.DUMMYFUNCTION("""COMPUTED_VALUE"""),416393.0)</f>
        <v>416393</v>
      </c>
    </row>
    <row r="2111">
      <c r="A2111" s="2">
        <f>IFERROR(__xludf.DUMMYFUNCTION("""COMPUTED_VALUE"""),42229.66666666667)</f>
        <v>42229.66667</v>
      </c>
      <c r="B2111" s="1">
        <f>IFERROR(__xludf.DUMMYFUNCTION("""COMPUTED_VALUE"""),2.71)</f>
        <v>2.71</v>
      </c>
      <c r="C2111" s="1">
        <f>IFERROR(__xludf.DUMMYFUNCTION("""COMPUTED_VALUE"""),2.77)</f>
        <v>2.77</v>
      </c>
      <c r="D2111" s="1">
        <f>IFERROR(__xludf.DUMMYFUNCTION("""COMPUTED_VALUE"""),2.67)</f>
        <v>2.67</v>
      </c>
      <c r="E2111" s="1">
        <f>IFERROR(__xludf.DUMMYFUNCTION("""COMPUTED_VALUE"""),2.73)</f>
        <v>2.73</v>
      </c>
      <c r="F2111" s="1">
        <f>IFERROR(__xludf.DUMMYFUNCTION("""COMPUTED_VALUE"""),448684.0)</f>
        <v>448684</v>
      </c>
    </row>
    <row r="2112">
      <c r="A2112" s="2">
        <f>IFERROR(__xludf.DUMMYFUNCTION("""COMPUTED_VALUE"""),42230.66666666667)</f>
        <v>42230.66667</v>
      </c>
      <c r="B2112" s="1">
        <f>IFERROR(__xludf.DUMMYFUNCTION("""COMPUTED_VALUE"""),2.72)</f>
        <v>2.72</v>
      </c>
      <c r="C2112" s="1">
        <f>IFERROR(__xludf.DUMMYFUNCTION("""COMPUTED_VALUE"""),2.77)</f>
        <v>2.77</v>
      </c>
      <c r="D2112" s="1">
        <f>IFERROR(__xludf.DUMMYFUNCTION("""COMPUTED_VALUE"""),2.72)</f>
        <v>2.72</v>
      </c>
      <c r="E2112" s="1">
        <f>IFERROR(__xludf.DUMMYFUNCTION("""COMPUTED_VALUE"""),2.76)</f>
        <v>2.76</v>
      </c>
      <c r="F2112" s="1">
        <f>IFERROR(__xludf.DUMMYFUNCTION("""COMPUTED_VALUE"""),454558.0)</f>
        <v>454558</v>
      </c>
    </row>
    <row r="2113">
      <c r="A2113" s="2">
        <f>IFERROR(__xludf.DUMMYFUNCTION("""COMPUTED_VALUE"""),42233.66666666667)</f>
        <v>42233.66667</v>
      </c>
      <c r="B2113" s="1">
        <f>IFERROR(__xludf.DUMMYFUNCTION("""COMPUTED_VALUE"""),2.76)</f>
        <v>2.76</v>
      </c>
      <c r="C2113" s="1">
        <f>IFERROR(__xludf.DUMMYFUNCTION("""COMPUTED_VALUE"""),2.77)</f>
        <v>2.77</v>
      </c>
      <c r="D2113" s="1">
        <f>IFERROR(__xludf.DUMMYFUNCTION("""COMPUTED_VALUE"""),2.72)</f>
        <v>2.72</v>
      </c>
      <c r="E2113" s="1">
        <f>IFERROR(__xludf.DUMMYFUNCTION("""COMPUTED_VALUE"""),2.77)</f>
        <v>2.77</v>
      </c>
      <c r="F2113" s="1">
        <f>IFERROR(__xludf.DUMMYFUNCTION("""COMPUTED_VALUE"""),336621.0)</f>
        <v>336621</v>
      </c>
    </row>
    <row r="2114">
      <c r="A2114" s="2">
        <f>IFERROR(__xludf.DUMMYFUNCTION("""COMPUTED_VALUE"""),42234.66666666667)</f>
        <v>42234.66667</v>
      </c>
      <c r="B2114" s="1">
        <f>IFERROR(__xludf.DUMMYFUNCTION("""COMPUTED_VALUE"""),2.75)</f>
        <v>2.75</v>
      </c>
      <c r="C2114" s="1">
        <f>IFERROR(__xludf.DUMMYFUNCTION("""COMPUTED_VALUE"""),2.77)</f>
        <v>2.77</v>
      </c>
      <c r="D2114" s="1">
        <f>IFERROR(__xludf.DUMMYFUNCTION("""COMPUTED_VALUE"""),2.75)</f>
        <v>2.75</v>
      </c>
      <c r="E2114" s="1">
        <f>IFERROR(__xludf.DUMMYFUNCTION("""COMPUTED_VALUE"""),2.75)</f>
        <v>2.75</v>
      </c>
      <c r="F2114" s="1">
        <f>IFERROR(__xludf.DUMMYFUNCTION("""COMPUTED_VALUE"""),333205.0)</f>
        <v>333205</v>
      </c>
    </row>
    <row r="2115">
      <c r="A2115" s="2">
        <f>IFERROR(__xludf.DUMMYFUNCTION("""COMPUTED_VALUE"""),42235.66666666667)</f>
        <v>42235.66667</v>
      </c>
      <c r="B2115" s="1">
        <f>IFERROR(__xludf.DUMMYFUNCTION("""COMPUTED_VALUE"""),2.74)</f>
        <v>2.74</v>
      </c>
      <c r="C2115" s="1">
        <f>IFERROR(__xludf.DUMMYFUNCTION("""COMPUTED_VALUE"""),2.77)</f>
        <v>2.77</v>
      </c>
      <c r="D2115" s="1">
        <f>IFERROR(__xludf.DUMMYFUNCTION("""COMPUTED_VALUE"""),2.69)</f>
        <v>2.69</v>
      </c>
      <c r="E2115" s="1">
        <f>IFERROR(__xludf.DUMMYFUNCTION("""COMPUTED_VALUE"""),2.74)</f>
        <v>2.74</v>
      </c>
      <c r="F2115" s="1">
        <f>IFERROR(__xludf.DUMMYFUNCTION("""COMPUTED_VALUE"""),369405.0)</f>
        <v>369405</v>
      </c>
    </row>
    <row r="2116">
      <c r="A2116" s="2">
        <f>IFERROR(__xludf.DUMMYFUNCTION("""COMPUTED_VALUE"""),42236.66666666667)</f>
        <v>42236.66667</v>
      </c>
      <c r="B2116" s="1">
        <f>IFERROR(__xludf.DUMMYFUNCTION("""COMPUTED_VALUE"""),2.74)</f>
        <v>2.74</v>
      </c>
      <c r="C2116" s="1">
        <f>IFERROR(__xludf.DUMMYFUNCTION("""COMPUTED_VALUE"""),2.76)</f>
        <v>2.76</v>
      </c>
      <c r="D2116" s="1">
        <f>IFERROR(__xludf.DUMMYFUNCTION("""COMPUTED_VALUE"""),2.67)</f>
        <v>2.67</v>
      </c>
      <c r="E2116" s="1">
        <f>IFERROR(__xludf.DUMMYFUNCTION("""COMPUTED_VALUE"""),2.67)</f>
        <v>2.67</v>
      </c>
      <c r="F2116" s="1">
        <f>IFERROR(__xludf.DUMMYFUNCTION("""COMPUTED_VALUE"""),504829.0)</f>
        <v>504829</v>
      </c>
    </row>
    <row r="2117">
      <c r="A2117" s="2">
        <f>IFERROR(__xludf.DUMMYFUNCTION("""COMPUTED_VALUE"""),42237.66666666667)</f>
        <v>42237.66667</v>
      </c>
      <c r="B2117" s="1">
        <f>IFERROR(__xludf.DUMMYFUNCTION("""COMPUTED_VALUE"""),2.64)</f>
        <v>2.64</v>
      </c>
      <c r="C2117" s="1">
        <f>IFERROR(__xludf.DUMMYFUNCTION("""COMPUTED_VALUE"""),2.68)</f>
        <v>2.68</v>
      </c>
      <c r="D2117" s="1">
        <f>IFERROR(__xludf.DUMMYFUNCTION("""COMPUTED_VALUE"""),2.53)</f>
        <v>2.53</v>
      </c>
      <c r="E2117" s="1">
        <f>IFERROR(__xludf.DUMMYFUNCTION("""COMPUTED_VALUE"""),2.54)</f>
        <v>2.54</v>
      </c>
      <c r="F2117" s="1">
        <f>IFERROR(__xludf.DUMMYFUNCTION("""COMPUTED_VALUE"""),660232.0)</f>
        <v>660232</v>
      </c>
    </row>
    <row r="2118">
      <c r="A2118" s="2">
        <f>IFERROR(__xludf.DUMMYFUNCTION("""COMPUTED_VALUE"""),42240.66666666667)</f>
        <v>42240.66667</v>
      </c>
      <c r="B2118" s="1">
        <f>IFERROR(__xludf.DUMMYFUNCTION("""COMPUTED_VALUE"""),2.45)</f>
        <v>2.45</v>
      </c>
      <c r="C2118" s="1">
        <f>IFERROR(__xludf.DUMMYFUNCTION("""COMPUTED_VALUE"""),2.61)</f>
        <v>2.61</v>
      </c>
      <c r="D2118" s="1">
        <f>IFERROR(__xludf.DUMMYFUNCTION("""COMPUTED_VALUE"""),2.34)</f>
        <v>2.34</v>
      </c>
      <c r="E2118" s="1">
        <f>IFERROR(__xludf.DUMMYFUNCTION("""COMPUTED_VALUE"""),2.46)</f>
        <v>2.46</v>
      </c>
      <c r="F2118" s="1">
        <f>IFERROR(__xludf.DUMMYFUNCTION("""COMPUTED_VALUE"""),673594.0)</f>
        <v>673594</v>
      </c>
    </row>
    <row r="2119">
      <c r="A2119" s="2">
        <f>IFERROR(__xludf.DUMMYFUNCTION("""COMPUTED_VALUE"""),42241.66666666667)</f>
        <v>42241.66667</v>
      </c>
      <c r="B2119" s="1">
        <f>IFERROR(__xludf.DUMMYFUNCTION("""COMPUTED_VALUE"""),2.55)</f>
        <v>2.55</v>
      </c>
      <c r="C2119" s="1">
        <f>IFERROR(__xludf.DUMMYFUNCTION("""COMPUTED_VALUE"""),2.58)</f>
        <v>2.58</v>
      </c>
      <c r="D2119" s="1">
        <f>IFERROR(__xludf.DUMMYFUNCTION("""COMPUTED_VALUE"""),2.45)</f>
        <v>2.45</v>
      </c>
      <c r="E2119" s="1">
        <f>IFERROR(__xludf.DUMMYFUNCTION("""COMPUTED_VALUE"""),2.46)</f>
        <v>2.46</v>
      </c>
      <c r="F2119" s="1">
        <f>IFERROR(__xludf.DUMMYFUNCTION("""COMPUTED_VALUE"""),358887.0)</f>
        <v>358887</v>
      </c>
    </row>
    <row r="2120">
      <c r="A2120" s="2">
        <f>IFERROR(__xludf.DUMMYFUNCTION("""COMPUTED_VALUE"""),42242.66666666667)</f>
        <v>42242.66667</v>
      </c>
      <c r="B2120" s="1">
        <f>IFERROR(__xludf.DUMMYFUNCTION("""COMPUTED_VALUE"""),2.51)</f>
        <v>2.51</v>
      </c>
      <c r="C2120" s="1">
        <f>IFERROR(__xludf.DUMMYFUNCTION("""COMPUTED_VALUE"""),2.54)</f>
        <v>2.54</v>
      </c>
      <c r="D2120" s="1">
        <f>IFERROR(__xludf.DUMMYFUNCTION("""COMPUTED_VALUE"""),2.45)</f>
        <v>2.45</v>
      </c>
      <c r="E2120" s="1">
        <f>IFERROR(__xludf.DUMMYFUNCTION("""COMPUTED_VALUE"""),2.53)</f>
        <v>2.53</v>
      </c>
      <c r="F2120" s="1">
        <f>IFERROR(__xludf.DUMMYFUNCTION("""COMPUTED_VALUE"""),409773.0)</f>
        <v>409773</v>
      </c>
    </row>
    <row r="2121">
      <c r="A2121" s="2">
        <f>IFERROR(__xludf.DUMMYFUNCTION("""COMPUTED_VALUE"""),42243.66666666667)</f>
        <v>42243.66667</v>
      </c>
      <c r="B2121" s="1">
        <f>IFERROR(__xludf.DUMMYFUNCTION("""COMPUTED_VALUE"""),2.55)</f>
        <v>2.55</v>
      </c>
      <c r="C2121" s="1">
        <f>IFERROR(__xludf.DUMMYFUNCTION("""COMPUTED_VALUE"""),2.6)</f>
        <v>2.6</v>
      </c>
      <c r="D2121" s="1">
        <f>IFERROR(__xludf.DUMMYFUNCTION("""COMPUTED_VALUE"""),2.49)</f>
        <v>2.49</v>
      </c>
      <c r="E2121" s="1">
        <f>IFERROR(__xludf.DUMMYFUNCTION("""COMPUTED_VALUE"""),2.57)</f>
        <v>2.57</v>
      </c>
      <c r="F2121" s="1">
        <f>IFERROR(__xludf.DUMMYFUNCTION("""COMPUTED_VALUE"""),548842.0)</f>
        <v>548842</v>
      </c>
    </row>
    <row r="2122">
      <c r="A2122" s="2">
        <f>IFERROR(__xludf.DUMMYFUNCTION("""COMPUTED_VALUE"""),42244.66666666667)</f>
        <v>42244.66667</v>
      </c>
      <c r="B2122" s="1">
        <f>IFERROR(__xludf.DUMMYFUNCTION("""COMPUTED_VALUE"""),2.57)</f>
        <v>2.57</v>
      </c>
      <c r="C2122" s="1">
        <f>IFERROR(__xludf.DUMMYFUNCTION("""COMPUTED_VALUE"""),2.69)</f>
        <v>2.69</v>
      </c>
      <c r="D2122" s="1">
        <f>IFERROR(__xludf.DUMMYFUNCTION("""COMPUTED_VALUE"""),2.55)</f>
        <v>2.55</v>
      </c>
      <c r="E2122" s="1">
        <f>IFERROR(__xludf.DUMMYFUNCTION("""COMPUTED_VALUE"""),2.68)</f>
        <v>2.68</v>
      </c>
      <c r="F2122" s="1">
        <f>IFERROR(__xludf.DUMMYFUNCTION("""COMPUTED_VALUE"""),472941.0)</f>
        <v>472941</v>
      </c>
    </row>
    <row r="2123">
      <c r="A2123" s="2">
        <f>IFERROR(__xludf.DUMMYFUNCTION("""COMPUTED_VALUE"""),42247.66666666667)</f>
        <v>42247.66667</v>
      </c>
      <c r="B2123" s="1">
        <f>IFERROR(__xludf.DUMMYFUNCTION("""COMPUTED_VALUE"""),2.67)</f>
        <v>2.67</v>
      </c>
      <c r="C2123" s="1">
        <f>IFERROR(__xludf.DUMMYFUNCTION("""COMPUTED_VALUE"""),2.75)</f>
        <v>2.75</v>
      </c>
      <c r="D2123" s="1">
        <f>IFERROR(__xludf.DUMMYFUNCTION("""COMPUTED_VALUE"""),2.65)</f>
        <v>2.65</v>
      </c>
      <c r="E2123" s="1">
        <f>IFERROR(__xludf.DUMMYFUNCTION("""COMPUTED_VALUE"""),2.74)</f>
        <v>2.74</v>
      </c>
      <c r="F2123" s="1">
        <f>IFERROR(__xludf.DUMMYFUNCTION("""COMPUTED_VALUE"""),587655.0)</f>
        <v>587655</v>
      </c>
    </row>
    <row r="2124">
      <c r="A2124" s="2">
        <f>IFERROR(__xludf.DUMMYFUNCTION("""COMPUTED_VALUE"""),42248.66666666667)</f>
        <v>42248.66667</v>
      </c>
      <c r="B2124" s="1">
        <f>IFERROR(__xludf.DUMMYFUNCTION("""COMPUTED_VALUE"""),2.65)</f>
        <v>2.65</v>
      </c>
      <c r="C2124" s="1">
        <f>IFERROR(__xludf.DUMMYFUNCTION("""COMPUTED_VALUE"""),2.65)</f>
        <v>2.65</v>
      </c>
      <c r="D2124" s="1">
        <f>IFERROR(__xludf.DUMMYFUNCTION("""COMPUTED_VALUE"""),2.34)</f>
        <v>2.34</v>
      </c>
      <c r="E2124" s="1">
        <f>IFERROR(__xludf.DUMMYFUNCTION("""COMPUTED_VALUE"""),2.48)</f>
        <v>2.48</v>
      </c>
      <c r="F2124" s="1">
        <f>IFERROR(__xludf.DUMMYFUNCTION("""COMPUTED_VALUE"""),3412113.0)</f>
        <v>3412113</v>
      </c>
    </row>
    <row r="2125">
      <c r="A2125" s="2">
        <f>IFERROR(__xludf.DUMMYFUNCTION("""COMPUTED_VALUE"""),42249.66666666667)</f>
        <v>42249.66667</v>
      </c>
      <c r="B2125" s="1">
        <f>IFERROR(__xludf.DUMMYFUNCTION("""COMPUTED_VALUE"""),2.5)</f>
        <v>2.5</v>
      </c>
      <c r="C2125" s="1">
        <f>IFERROR(__xludf.DUMMYFUNCTION("""COMPUTED_VALUE"""),2.51)</f>
        <v>2.51</v>
      </c>
      <c r="D2125" s="1">
        <f>IFERROR(__xludf.DUMMYFUNCTION("""COMPUTED_VALUE"""),2.44)</f>
        <v>2.44</v>
      </c>
      <c r="E2125" s="1">
        <f>IFERROR(__xludf.DUMMYFUNCTION("""COMPUTED_VALUE"""),2.48)</f>
        <v>2.48</v>
      </c>
      <c r="F2125" s="1">
        <f>IFERROR(__xludf.DUMMYFUNCTION("""COMPUTED_VALUE"""),775564.0)</f>
        <v>775564</v>
      </c>
    </row>
    <row r="2126">
      <c r="A2126" s="2">
        <f>IFERROR(__xludf.DUMMYFUNCTION("""COMPUTED_VALUE"""),42250.66666666667)</f>
        <v>42250.66667</v>
      </c>
      <c r="B2126" s="1">
        <f>IFERROR(__xludf.DUMMYFUNCTION("""COMPUTED_VALUE"""),2.49)</f>
        <v>2.49</v>
      </c>
      <c r="C2126" s="1">
        <f>IFERROR(__xludf.DUMMYFUNCTION("""COMPUTED_VALUE"""),2.57)</f>
        <v>2.57</v>
      </c>
      <c r="D2126" s="1">
        <f>IFERROR(__xludf.DUMMYFUNCTION("""COMPUTED_VALUE"""),2.48)</f>
        <v>2.48</v>
      </c>
      <c r="E2126" s="1">
        <f>IFERROR(__xludf.DUMMYFUNCTION("""COMPUTED_VALUE"""),2.49)</f>
        <v>2.49</v>
      </c>
      <c r="F2126" s="1">
        <f>IFERROR(__xludf.DUMMYFUNCTION("""COMPUTED_VALUE"""),587647.0)</f>
        <v>587647</v>
      </c>
    </row>
    <row r="2127">
      <c r="A2127" s="2">
        <f>IFERROR(__xludf.DUMMYFUNCTION("""COMPUTED_VALUE"""),42251.66666666667)</f>
        <v>42251.66667</v>
      </c>
      <c r="B2127" s="1">
        <f>IFERROR(__xludf.DUMMYFUNCTION("""COMPUTED_VALUE"""),2.44)</f>
        <v>2.44</v>
      </c>
      <c r="C2127" s="1">
        <f>IFERROR(__xludf.DUMMYFUNCTION("""COMPUTED_VALUE"""),2.51)</f>
        <v>2.51</v>
      </c>
      <c r="D2127" s="1">
        <f>IFERROR(__xludf.DUMMYFUNCTION("""COMPUTED_VALUE"""),2.42)</f>
        <v>2.42</v>
      </c>
      <c r="E2127" s="1">
        <f>IFERROR(__xludf.DUMMYFUNCTION("""COMPUTED_VALUE"""),2.42)</f>
        <v>2.42</v>
      </c>
      <c r="F2127" s="1">
        <f>IFERROR(__xludf.DUMMYFUNCTION("""COMPUTED_VALUE"""),561408.0)</f>
        <v>561408</v>
      </c>
    </row>
    <row r="2128">
      <c r="A2128" s="2">
        <f>IFERROR(__xludf.DUMMYFUNCTION("""COMPUTED_VALUE"""),42255.66666666667)</f>
        <v>42255.66667</v>
      </c>
      <c r="B2128" s="1">
        <f>IFERROR(__xludf.DUMMYFUNCTION("""COMPUTED_VALUE"""),2.49)</f>
        <v>2.49</v>
      </c>
      <c r="C2128" s="1">
        <f>IFERROR(__xludf.DUMMYFUNCTION("""COMPUTED_VALUE"""),2.51)</f>
        <v>2.51</v>
      </c>
      <c r="D2128" s="1">
        <f>IFERROR(__xludf.DUMMYFUNCTION("""COMPUTED_VALUE"""),2.44)</f>
        <v>2.44</v>
      </c>
      <c r="E2128" s="1">
        <f>IFERROR(__xludf.DUMMYFUNCTION("""COMPUTED_VALUE"""),2.51)</f>
        <v>2.51</v>
      </c>
      <c r="F2128" s="1">
        <f>IFERROR(__xludf.DUMMYFUNCTION("""COMPUTED_VALUE"""),579190.0)</f>
        <v>579190</v>
      </c>
    </row>
    <row r="2129">
      <c r="A2129" s="2">
        <f>IFERROR(__xludf.DUMMYFUNCTION("""COMPUTED_VALUE"""),42256.66666666667)</f>
        <v>42256.66667</v>
      </c>
      <c r="B2129" s="1">
        <f>IFERROR(__xludf.DUMMYFUNCTION("""COMPUTED_VALUE"""),2.53)</f>
        <v>2.53</v>
      </c>
      <c r="C2129" s="1">
        <f>IFERROR(__xludf.DUMMYFUNCTION("""COMPUTED_VALUE"""),2.59)</f>
        <v>2.59</v>
      </c>
      <c r="D2129" s="1">
        <f>IFERROR(__xludf.DUMMYFUNCTION("""COMPUTED_VALUE"""),2.51)</f>
        <v>2.51</v>
      </c>
      <c r="E2129" s="1">
        <f>IFERROR(__xludf.DUMMYFUNCTION("""COMPUTED_VALUE"""),2.52)</f>
        <v>2.52</v>
      </c>
      <c r="F2129" s="1">
        <f>IFERROR(__xludf.DUMMYFUNCTION("""COMPUTED_VALUE"""),436922.0)</f>
        <v>436922</v>
      </c>
    </row>
    <row r="2130">
      <c r="A2130" s="2">
        <f>IFERROR(__xludf.DUMMYFUNCTION("""COMPUTED_VALUE"""),42257.66666666667)</f>
        <v>42257.66667</v>
      </c>
      <c r="B2130" s="1">
        <f>IFERROR(__xludf.DUMMYFUNCTION("""COMPUTED_VALUE"""),2.52)</f>
        <v>2.52</v>
      </c>
      <c r="C2130" s="1">
        <f>IFERROR(__xludf.DUMMYFUNCTION("""COMPUTED_VALUE"""),2.71)</f>
        <v>2.71</v>
      </c>
      <c r="D2130" s="1">
        <f>IFERROR(__xludf.DUMMYFUNCTION("""COMPUTED_VALUE"""),2.52)</f>
        <v>2.52</v>
      </c>
      <c r="E2130" s="1">
        <f>IFERROR(__xludf.DUMMYFUNCTION("""COMPUTED_VALUE"""),2.71)</f>
        <v>2.71</v>
      </c>
      <c r="F2130" s="1">
        <f>IFERROR(__xludf.DUMMYFUNCTION("""COMPUTED_VALUE"""),667798.0)</f>
        <v>667798</v>
      </c>
    </row>
    <row r="2131">
      <c r="A2131" s="2">
        <f>IFERROR(__xludf.DUMMYFUNCTION("""COMPUTED_VALUE"""),42258.66666666667)</f>
        <v>42258.66667</v>
      </c>
      <c r="B2131" s="1">
        <f>IFERROR(__xludf.DUMMYFUNCTION("""COMPUTED_VALUE"""),2.69)</f>
        <v>2.69</v>
      </c>
      <c r="C2131" s="1">
        <f>IFERROR(__xludf.DUMMYFUNCTION("""COMPUTED_VALUE"""),2.72)</f>
        <v>2.72</v>
      </c>
      <c r="D2131" s="1">
        <f>IFERROR(__xludf.DUMMYFUNCTION("""COMPUTED_VALUE"""),2.67)</f>
        <v>2.67</v>
      </c>
      <c r="E2131" s="1">
        <f>IFERROR(__xludf.DUMMYFUNCTION("""COMPUTED_VALUE"""),2.71)</f>
        <v>2.71</v>
      </c>
      <c r="F2131" s="1">
        <f>IFERROR(__xludf.DUMMYFUNCTION("""COMPUTED_VALUE"""),527066.0)</f>
        <v>527066</v>
      </c>
    </row>
    <row r="2132">
      <c r="A2132" s="2">
        <f>IFERROR(__xludf.DUMMYFUNCTION("""COMPUTED_VALUE"""),42261.66666666667)</f>
        <v>42261.66667</v>
      </c>
      <c r="B2132" s="1">
        <f>IFERROR(__xludf.DUMMYFUNCTION("""COMPUTED_VALUE"""),2.72)</f>
        <v>2.72</v>
      </c>
      <c r="C2132" s="1">
        <f>IFERROR(__xludf.DUMMYFUNCTION("""COMPUTED_VALUE"""),2.73)</f>
        <v>2.73</v>
      </c>
      <c r="D2132" s="1">
        <f>IFERROR(__xludf.DUMMYFUNCTION("""COMPUTED_VALUE"""),2.65)</f>
        <v>2.65</v>
      </c>
      <c r="E2132" s="1">
        <f>IFERROR(__xludf.DUMMYFUNCTION("""COMPUTED_VALUE"""),2.67)</f>
        <v>2.67</v>
      </c>
      <c r="F2132" s="1">
        <f>IFERROR(__xludf.DUMMYFUNCTION("""COMPUTED_VALUE"""),594526.0)</f>
        <v>594526</v>
      </c>
    </row>
    <row r="2133">
      <c r="A2133" s="2">
        <f>IFERROR(__xludf.DUMMYFUNCTION("""COMPUTED_VALUE"""),42262.66666666667)</f>
        <v>42262.66667</v>
      </c>
      <c r="B2133" s="1">
        <f>IFERROR(__xludf.DUMMYFUNCTION("""COMPUTED_VALUE"""),2.66)</f>
        <v>2.66</v>
      </c>
      <c r="C2133" s="1">
        <f>IFERROR(__xludf.DUMMYFUNCTION("""COMPUTED_VALUE"""),2.81)</f>
        <v>2.81</v>
      </c>
      <c r="D2133" s="1">
        <f>IFERROR(__xludf.DUMMYFUNCTION("""COMPUTED_VALUE"""),2.66)</f>
        <v>2.66</v>
      </c>
      <c r="E2133" s="1">
        <f>IFERROR(__xludf.DUMMYFUNCTION("""COMPUTED_VALUE"""),2.8)</f>
        <v>2.8</v>
      </c>
      <c r="F2133" s="1">
        <f>IFERROR(__xludf.DUMMYFUNCTION("""COMPUTED_VALUE"""),686807.0)</f>
        <v>686807</v>
      </c>
    </row>
    <row r="2134">
      <c r="A2134" s="2">
        <f>IFERROR(__xludf.DUMMYFUNCTION("""COMPUTED_VALUE"""),42263.66666666667)</f>
        <v>42263.66667</v>
      </c>
      <c r="B2134" s="1">
        <f>IFERROR(__xludf.DUMMYFUNCTION("""COMPUTED_VALUE"""),2.81)</f>
        <v>2.81</v>
      </c>
      <c r="C2134" s="1">
        <f>IFERROR(__xludf.DUMMYFUNCTION("""COMPUTED_VALUE"""),2.93)</f>
        <v>2.93</v>
      </c>
      <c r="D2134" s="1">
        <f>IFERROR(__xludf.DUMMYFUNCTION("""COMPUTED_VALUE"""),2.8)</f>
        <v>2.8</v>
      </c>
      <c r="E2134" s="1">
        <f>IFERROR(__xludf.DUMMYFUNCTION("""COMPUTED_VALUE"""),2.9)</f>
        <v>2.9</v>
      </c>
      <c r="F2134" s="1">
        <f>IFERROR(__xludf.DUMMYFUNCTION("""COMPUTED_VALUE"""),758919.0)</f>
        <v>758919</v>
      </c>
    </row>
    <row r="2135">
      <c r="A2135" s="2">
        <f>IFERROR(__xludf.DUMMYFUNCTION("""COMPUTED_VALUE"""),42264.66666666667)</f>
        <v>42264.66667</v>
      </c>
      <c r="B2135" s="1">
        <f>IFERROR(__xludf.DUMMYFUNCTION("""COMPUTED_VALUE"""),2.88)</f>
        <v>2.88</v>
      </c>
      <c r="C2135" s="1">
        <f>IFERROR(__xludf.DUMMYFUNCTION("""COMPUTED_VALUE"""),2.99)</f>
        <v>2.99</v>
      </c>
      <c r="D2135" s="1">
        <f>IFERROR(__xludf.DUMMYFUNCTION("""COMPUTED_VALUE"""),2.88)</f>
        <v>2.88</v>
      </c>
      <c r="E2135" s="1">
        <f>IFERROR(__xludf.DUMMYFUNCTION("""COMPUTED_VALUE"""),2.94)</f>
        <v>2.94</v>
      </c>
      <c r="F2135" s="1">
        <f>IFERROR(__xludf.DUMMYFUNCTION("""COMPUTED_VALUE"""),704188.0)</f>
        <v>704188</v>
      </c>
    </row>
    <row r="2136">
      <c r="A2136" s="2">
        <f>IFERROR(__xludf.DUMMYFUNCTION("""COMPUTED_VALUE"""),42265.66666666667)</f>
        <v>42265.66667</v>
      </c>
      <c r="B2136" s="1">
        <f>IFERROR(__xludf.DUMMYFUNCTION("""COMPUTED_VALUE"""),2.88)</f>
        <v>2.88</v>
      </c>
      <c r="C2136" s="1">
        <f>IFERROR(__xludf.DUMMYFUNCTION("""COMPUTED_VALUE"""),2.97)</f>
        <v>2.97</v>
      </c>
      <c r="D2136" s="1">
        <f>IFERROR(__xludf.DUMMYFUNCTION("""COMPUTED_VALUE"""),2.86)</f>
        <v>2.86</v>
      </c>
      <c r="E2136" s="1">
        <f>IFERROR(__xludf.DUMMYFUNCTION("""COMPUTED_VALUE"""),2.89)</f>
        <v>2.89</v>
      </c>
      <c r="F2136" s="1">
        <f>IFERROR(__xludf.DUMMYFUNCTION("""COMPUTED_VALUE"""),726748.0)</f>
        <v>726748</v>
      </c>
    </row>
    <row r="2137">
      <c r="A2137" s="2">
        <f>IFERROR(__xludf.DUMMYFUNCTION("""COMPUTED_VALUE"""),42268.66666666667)</f>
        <v>42268.66667</v>
      </c>
      <c r="B2137" s="1">
        <f>IFERROR(__xludf.DUMMYFUNCTION("""COMPUTED_VALUE"""),2.89)</f>
        <v>2.89</v>
      </c>
      <c r="C2137" s="1">
        <f>IFERROR(__xludf.DUMMYFUNCTION("""COMPUTED_VALUE"""),2.95)</f>
        <v>2.95</v>
      </c>
      <c r="D2137" s="1">
        <f>IFERROR(__xludf.DUMMYFUNCTION("""COMPUTED_VALUE"""),2.85)</f>
        <v>2.85</v>
      </c>
      <c r="E2137" s="1">
        <f>IFERROR(__xludf.DUMMYFUNCTION("""COMPUTED_VALUE"""),2.89)</f>
        <v>2.89</v>
      </c>
      <c r="F2137" s="1">
        <f>IFERROR(__xludf.DUMMYFUNCTION("""COMPUTED_VALUE"""),728589.0)</f>
        <v>728589</v>
      </c>
    </row>
    <row r="2138">
      <c r="A2138" s="2">
        <f>IFERROR(__xludf.DUMMYFUNCTION("""COMPUTED_VALUE"""),42269.66666666667)</f>
        <v>42269.66667</v>
      </c>
      <c r="B2138" s="1">
        <f>IFERROR(__xludf.DUMMYFUNCTION("""COMPUTED_VALUE"""),2.85)</f>
        <v>2.85</v>
      </c>
      <c r="C2138" s="1">
        <f>IFERROR(__xludf.DUMMYFUNCTION("""COMPUTED_VALUE"""),2.88)</f>
        <v>2.88</v>
      </c>
      <c r="D2138" s="1">
        <f>IFERROR(__xludf.DUMMYFUNCTION("""COMPUTED_VALUE"""),2.81)</f>
        <v>2.81</v>
      </c>
      <c r="E2138" s="1">
        <f>IFERROR(__xludf.DUMMYFUNCTION("""COMPUTED_VALUE"""),2.86)</f>
        <v>2.86</v>
      </c>
      <c r="F2138" s="1">
        <f>IFERROR(__xludf.DUMMYFUNCTION("""COMPUTED_VALUE"""),498489.0)</f>
        <v>498489</v>
      </c>
    </row>
    <row r="2139">
      <c r="A2139" s="2">
        <f>IFERROR(__xludf.DUMMYFUNCTION("""COMPUTED_VALUE"""),42270.66666666667)</f>
        <v>42270.66667</v>
      </c>
      <c r="B2139" s="1">
        <f>IFERROR(__xludf.DUMMYFUNCTION("""COMPUTED_VALUE"""),2.87)</f>
        <v>2.87</v>
      </c>
      <c r="C2139" s="1">
        <f>IFERROR(__xludf.DUMMYFUNCTION("""COMPUTED_VALUE"""),2.88)</f>
        <v>2.88</v>
      </c>
      <c r="D2139" s="1">
        <f>IFERROR(__xludf.DUMMYFUNCTION("""COMPUTED_VALUE"""),2.81)</f>
        <v>2.81</v>
      </c>
      <c r="E2139" s="1">
        <f>IFERROR(__xludf.DUMMYFUNCTION("""COMPUTED_VALUE"""),2.85)</f>
        <v>2.85</v>
      </c>
      <c r="F2139" s="1">
        <f>IFERROR(__xludf.DUMMYFUNCTION("""COMPUTED_VALUE"""),643186.0)</f>
        <v>643186</v>
      </c>
    </row>
    <row r="2140">
      <c r="A2140" s="2">
        <f>IFERROR(__xludf.DUMMYFUNCTION("""COMPUTED_VALUE"""),42271.66666666667)</f>
        <v>42271.66667</v>
      </c>
      <c r="B2140" s="1">
        <f>IFERROR(__xludf.DUMMYFUNCTION("""COMPUTED_VALUE"""),2.83)</f>
        <v>2.83</v>
      </c>
      <c r="C2140" s="1">
        <f>IFERROR(__xludf.DUMMYFUNCTION("""COMPUTED_VALUE"""),2.87)</f>
        <v>2.87</v>
      </c>
      <c r="D2140" s="1">
        <f>IFERROR(__xludf.DUMMYFUNCTION("""COMPUTED_VALUE"""),2.71)</f>
        <v>2.71</v>
      </c>
      <c r="E2140" s="1">
        <f>IFERROR(__xludf.DUMMYFUNCTION("""COMPUTED_VALUE"""),2.78)</f>
        <v>2.78</v>
      </c>
      <c r="F2140" s="1">
        <f>IFERROR(__xludf.DUMMYFUNCTION("""COMPUTED_VALUE"""),803795.0)</f>
        <v>803795</v>
      </c>
    </row>
    <row r="2141">
      <c r="A2141" s="2">
        <f>IFERROR(__xludf.DUMMYFUNCTION("""COMPUTED_VALUE"""),42272.66666666667)</f>
        <v>42272.66667</v>
      </c>
      <c r="B2141" s="1">
        <f>IFERROR(__xludf.DUMMYFUNCTION("""COMPUTED_VALUE"""),2.83)</f>
        <v>2.83</v>
      </c>
      <c r="C2141" s="1">
        <f>IFERROR(__xludf.DUMMYFUNCTION("""COMPUTED_VALUE"""),2.87)</f>
        <v>2.87</v>
      </c>
      <c r="D2141" s="1">
        <f>IFERROR(__xludf.DUMMYFUNCTION("""COMPUTED_VALUE"""),2.76)</f>
        <v>2.76</v>
      </c>
      <c r="E2141" s="1">
        <f>IFERROR(__xludf.DUMMYFUNCTION("""COMPUTED_VALUE"""),2.78)</f>
        <v>2.78</v>
      </c>
      <c r="F2141" s="1">
        <f>IFERROR(__xludf.DUMMYFUNCTION("""COMPUTED_VALUE"""),510045.0)</f>
        <v>510045</v>
      </c>
    </row>
    <row r="2142">
      <c r="A2142" s="2">
        <f>IFERROR(__xludf.DUMMYFUNCTION("""COMPUTED_VALUE"""),42275.66666666667)</f>
        <v>42275.66667</v>
      </c>
      <c r="B2142" s="1">
        <f>IFERROR(__xludf.DUMMYFUNCTION("""COMPUTED_VALUE"""),2.76)</f>
        <v>2.76</v>
      </c>
      <c r="C2142" s="1">
        <f>IFERROR(__xludf.DUMMYFUNCTION("""COMPUTED_VALUE"""),2.79)</f>
        <v>2.79</v>
      </c>
      <c r="D2142" s="1">
        <f>IFERROR(__xludf.DUMMYFUNCTION("""COMPUTED_VALUE"""),2.65)</f>
        <v>2.65</v>
      </c>
      <c r="E2142" s="1">
        <f>IFERROR(__xludf.DUMMYFUNCTION("""COMPUTED_VALUE"""),2.69)</f>
        <v>2.69</v>
      </c>
      <c r="F2142" s="1">
        <f>IFERROR(__xludf.DUMMYFUNCTION("""COMPUTED_VALUE"""),595640.0)</f>
        <v>595640</v>
      </c>
    </row>
    <row r="2143">
      <c r="A2143" s="2">
        <f>IFERROR(__xludf.DUMMYFUNCTION("""COMPUTED_VALUE"""),42276.66666666667)</f>
        <v>42276.66667</v>
      </c>
      <c r="B2143" s="1">
        <f>IFERROR(__xludf.DUMMYFUNCTION("""COMPUTED_VALUE"""),2.69)</f>
        <v>2.69</v>
      </c>
      <c r="C2143" s="1">
        <f>IFERROR(__xludf.DUMMYFUNCTION("""COMPUTED_VALUE"""),2.74)</f>
        <v>2.74</v>
      </c>
      <c r="D2143" s="1">
        <f>IFERROR(__xludf.DUMMYFUNCTION("""COMPUTED_VALUE"""),2.64)</f>
        <v>2.64</v>
      </c>
      <c r="E2143" s="1">
        <f>IFERROR(__xludf.DUMMYFUNCTION("""COMPUTED_VALUE"""),2.67)</f>
        <v>2.67</v>
      </c>
      <c r="F2143" s="1">
        <f>IFERROR(__xludf.DUMMYFUNCTION("""COMPUTED_VALUE"""),507663.0)</f>
        <v>507663</v>
      </c>
    </row>
    <row r="2144">
      <c r="A2144" s="2">
        <f>IFERROR(__xludf.DUMMYFUNCTION("""COMPUTED_VALUE"""),42277.66666666667)</f>
        <v>42277.66667</v>
      </c>
      <c r="B2144" s="1">
        <f>IFERROR(__xludf.DUMMYFUNCTION("""COMPUTED_VALUE"""),2.7)</f>
        <v>2.7</v>
      </c>
      <c r="C2144" s="1">
        <f>IFERROR(__xludf.DUMMYFUNCTION("""COMPUTED_VALUE"""),2.76)</f>
        <v>2.76</v>
      </c>
      <c r="D2144" s="1">
        <f>IFERROR(__xludf.DUMMYFUNCTION("""COMPUTED_VALUE"""),2.69)</f>
        <v>2.69</v>
      </c>
      <c r="E2144" s="1">
        <f>IFERROR(__xludf.DUMMYFUNCTION("""COMPUTED_VALUE"""),2.73)</f>
        <v>2.73</v>
      </c>
      <c r="F2144" s="1">
        <f>IFERROR(__xludf.DUMMYFUNCTION("""COMPUTED_VALUE"""),424536.0)</f>
        <v>424536</v>
      </c>
    </row>
    <row r="2145">
      <c r="A2145" s="2">
        <f>IFERROR(__xludf.DUMMYFUNCTION("""COMPUTED_VALUE"""),42278.66666666667)</f>
        <v>42278.66667</v>
      </c>
      <c r="B2145" s="1">
        <f>IFERROR(__xludf.DUMMYFUNCTION("""COMPUTED_VALUE"""),2.72)</f>
        <v>2.72</v>
      </c>
      <c r="C2145" s="1">
        <f>IFERROR(__xludf.DUMMYFUNCTION("""COMPUTED_VALUE"""),2.75)</f>
        <v>2.75</v>
      </c>
      <c r="D2145" s="1">
        <f>IFERROR(__xludf.DUMMYFUNCTION("""COMPUTED_VALUE"""),2.64)</f>
        <v>2.64</v>
      </c>
      <c r="E2145" s="1">
        <f>IFERROR(__xludf.DUMMYFUNCTION("""COMPUTED_VALUE"""),2.66)</f>
        <v>2.66</v>
      </c>
      <c r="F2145" s="1">
        <f>IFERROR(__xludf.DUMMYFUNCTION("""COMPUTED_VALUE"""),414597.0)</f>
        <v>414597</v>
      </c>
    </row>
    <row r="2146">
      <c r="A2146" s="2">
        <f>IFERROR(__xludf.DUMMYFUNCTION("""COMPUTED_VALUE"""),42279.66666666667)</f>
        <v>42279.66667</v>
      </c>
      <c r="B2146" s="1">
        <f>IFERROR(__xludf.DUMMYFUNCTION("""COMPUTED_VALUE"""),2.63)</f>
        <v>2.63</v>
      </c>
      <c r="C2146" s="1">
        <f>IFERROR(__xludf.DUMMYFUNCTION("""COMPUTED_VALUE"""),2.77)</f>
        <v>2.77</v>
      </c>
      <c r="D2146" s="1">
        <f>IFERROR(__xludf.DUMMYFUNCTION("""COMPUTED_VALUE"""),2.62)</f>
        <v>2.62</v>
      </c>
      <c r="E2146" s="1">
        <f>IFERROR(__xludf.DUMMYFUNCTION("""COMPUTED_VALUE"""),2.77)</f>
        <v>2.77</v>
      </c>
      <c r="F2146" s="1">
        <f>IFERROR(__xludf.DUMMYFUNCTION("""COMPUTED_VALUE"""),340432.0)</f>
        <v>340432</v>
      </c>
    </row>
    <row r="2147">
      <c r="A2147" s="2">
        <f>IFERROR(__xludf.DUMMYFUNCTION("""COMPUTED_VALUE"""),42282.66666666667)</f>
        <v>42282.66667</v>
      </c>
      <c r="B2147" s="1">
        <f>IFERROR(__xludf.DUMMYFUNCTION("""COMPUTED_VALUE"""),2.81)</f>
        <v>2.81</v>
      </c>
      <c r="C2147" s="1">
        <f>IFERROR(__xludf.DUMMYFUNCTION("""COMPUTED_VALUE"""),2.9)</f>
        <v>2.9</v>
      </c>
      <c r="D2147" s="1">
        <f>IFERROR(__xludf.DUMMYFUNCTION("""COMPUTED_VALUE"""),2.8)</f>
        <v>2.8</v>
      </c>
      <c r="E2147" s="1">
        <f>IFERROR(__xludf.DUMMYFUNCTION("""COMPUTED_VALUE"""),2.88)</f>
        <v>2.88</v>
      </c>
      <c r="F2147" s="1">
        <f>IFERROR(__xludf.DUMMYFUNCTION("""COMPUTED_VALUE"""),406996.0)</f>
        <v>406996</v>
      </c>
    </row>
    <row r="2148">
      <c r="A2148" s="2">
        <f>IFERROR(__xludf.DUMMYFUNCTION("""COMPUTED_VALUE"""),42283.66666666667)</f>
        <v>42283.66667</v>
      </c>
      <c r="B2148" s="1">
        <f>IFERROR(__xludf.DUMMYFUNCTION("""COMPUTED_VALUE"""),2.89)</f>
        <v>2.89</v>
      </c>
      <c r="C2148" s="1">
        <f>IFERROR(__xludf.DUMMYFUNCTION("""COMPUTED_VALUE"""),2.99)</f>
        <v>2.99</v>
      </c>
      <c r="D2148" s="1">
        <f>IFERROR(__xludf.DUMMYFUNCTION("""COMPUTED_VALUE"""),2.88)</f>
        <v>2.88</v>
      </c>
      <c r="E2148" s="1">
        <f>IFERROR(__xludf.DUMMYFUNCTION("""COMPUTED_VALUE"""),2.96)</f>
        <v>2.96</v>
      </c>
      <c r="F2148" s="1">
        <f>IFERROR(__xludf.DUMMYFUNCTION("""COMPUTED_VALUE"""),397311.0)</f>
        <v>397311</v>
      </c>
    </row>
    <row r="2149">
      <c r="A2149" s="2">
        <f>IFERROR(__xludf.DUMMYFUNCTION("""COMPUTED_VALUE"""),42284.66666666667)</f>
        <v>42284.66667</v>
      </c>
      <c r="B2149" s="1">
        <f>IFERROR(__xludf.DUMMYFUNCTION("""COMPUTED_VALUE"""),2.99)</f>
        <v>2.99</v>
      </c>
      <c r="C2149" s="1">
        <f>IFERROR(__xludf.DUMMYFUNCTION("""COMPUTED_VALUE"""),3.19)</f>
        <v>3.19</v>
      </c>
      <c r="D2149" s="1">
        <f>IFERROR(__xludf.DUMMYFUNCTION("""COMPUTED_VALUE"""),2.96)</f>
        <v>2.96</v>
      </c>
      <c r="E2149" s="1">
        <f>IFERROR(__xludf.DUMMYFUNCTION("""COMPUTED_VALUE"""),3.17)</f>
        <v>3.17</v>
      </c>
      <c r="F2149" s="1">
        <f>IFERROR(__xludf.DUMMYFUNCTION("""COMPUTED_VALUE"""),846634.0)</f>
        <v>846634</v>
      </c>
    </row>
    <row r="2150">
      <c r="A2150" s="2">
        <f>IFERROR(__xludf.DUMMYFUNCTION("""COMPUTED_VALUE"""),42285.66666666667)</f>
        <v>42285.66667</v>
      </c>
      <c r="B2150" s="1">
        <f>IFERROR(__xludf.DUMMYFUNCTION("""COMPUTED_VALUE"""),3.12)</f>
        <v>3.12</v>
      </c>
      <c r="C2150" s="1">
        <f>IFERROR(__xludf.DUMMYFUNCTION("""COMPUTED_VALUE"""),3.21)</f>
        <v>3.21</v>
      </c>
      <c r="D2150" s="1">
        <f>IFERROR(__xludf.DUMMYFUNCTION("""COMPUTED_VALUE"""),3.09)</f>
        <v>3.09</v>
      </c>
      <c r="E2150" s="1">
        <f>IFERROR(__xludf.DUMMYFUNCTION("""COMPUTED_VALUE"""),3.18)</f>
        <v>3.18</v>
      </c>
      <c r="F2150" s="1">
        <f>IFERROR(__xludf.DUMMYFUNCTION("""COMPUTED_VALUE"""),669147.0)</f>
        <v>669147</v>
      </c>
    </row>
    <row r="2151">
      <c r="A2151" s="2">
        <f>IFERROR(__xludf.DUMMYFUNCTION("""COMPUTED_VALUE"""),42286.66666666667)</f>
        <v>42286.66667</v>
      </c>
      <c r="B2151" s="1">
        <f>IFERROR(__xludf.DUMMYFUNCTION("""COMPUTED_VALUE"""),2.72)</f>
        <v>2.72</v>
      </c>
      <c r="C2151" s="1">
        <f>IFERROR(__xludf.DUMMYFUNCTION("""COMPUTED_VALUE"""),2.83)</f>
        <v>2.83</v>
      </c>
      <c r="D2151" s="1">
        <f>IFERROR(__xludf.DUMMYFUNCTION("""COMPUTED_VALUE"""),2.63)</f>
        <v>2.63</v>
      </c>
      <c r="E2151" s="1">
        <f>IFERROR(__xludf.DUMMYFUNCTION("""COMPUTED_VALUE"""),2.69)</f>
        <v>2.69</v>
      </c>
      <c r="F2151" s="1">
        <f>IFERROR(__xludf.DUMMYFUNCTION("""COMPUTED_VALUE"""),3855244.0)</f>
        <v>3855244</v>
      </c>
    </row>
    <row r="2152">
      <c r="A2152" s="2">
        <f>IFERROR(__xludf.DUMMYFUNCTION("""COMPUTED_VALUE"""),42289.66666666667)</f>
        <v>42289.66667</v>
      </c>
      <c r="B2152" s="1">
        <f>IFERROR(__xludf.DUMMYFUNCTION("""COMPUTED_VALUE"""),2.68)</f>
        <v>2.68</v>
      </c>
      <c r="C2152" s="1">
        <f>IFERROR(__xludf.DUMMYFUNCTION("""COMPUTED_VALUE"""),2.72)</f>
        <v>2.72</v>
      </c>
      <c r="D2152" s="1">
        <f>IFERROR(__xludf.DUMMYFUNCTION("""COMPUTED_VALUE"""),2.53)</f>
        <v>2.53</v>
      </c>
      <c r="E2152" s="1">
        <f>IFERROR(__xludf.DUMMYFUNCTION("""COMPUTED_VALUE"""),2.63)</f>
        <v>2.63</v>
      </c>
      <c r="F2152" s="1">
        <f>IFERROR(__xludf.DUMMYFUNCTION("""COMPUTED_VALUE"""),1735404.0)</f>
        <v>1735404</v>
      </c>
    </row>
    <row r="2153">
      <c r="A2153" s="2">
        <f>IFERROR(__xludf.DUMMYFUNCTION("""COMPUTED_VALUE"""),42290.66666666667)</f>
        <v>42290.66667</v>
      </c>
      <c r="B2153" s="1">
        <f>IFERROR(__xludf.DUMMYFUNCTION("""COMPUTED_VALUE"""),2.63)</f>
        <v>2.63</v>
      </c>
      <c r="C2153" s="1">
        <f>IFERROR(__xludf.DUMMYFUNCTION("""COMPUTED_VALUE"""),2.71)</f>
        <v>2.71</v>
      </c>
      <c r="D2153" s="1">
        <f>IFERROR(__xludf.DUMMYFUNCTION("""COMPUTED_VALUE"""),2.62)</f>
        <v>2.62</v>
      </c>
      <c r="E2153" s="1">
        <f>IFERROR(__xludf.DUMMYFUNCTION("""COMPUTED_VALUE"""),2.69)</f>
        <v>2.69</v>
      </c>
      <c r="F2153" s="1">
        <f>IFERROR(__xludf.DUMMYFUNCTION("""COMPUTED_VALUE"""),601705.0)</f>
        <v>601705</v>
      </c>
    </row>
    <row r="2154">
      <c r="A2154" s="2">
        <f>IFERROR(__xludf.DUMMYFUNCTION("""COMPUTED_VALUE"""),42291.66666666667)</f>
        <v>42291.66667</v>
      </c>
      <c r="B2154" s="1">
        <f>IFERROR(__xludf.DUMMYFUNCTION("""COMPUTED_VALUE"""),2.67)</f>
        <v>2.67</v>
      </c>
      <c r="C2154" s="1">
        <f>IFERROR(__xludf.DUMMYFUNCTION("""COMPUTED_VALUE"""),2.7)</f>
        <v>2.7</v>
      </c>
      <c r="D2154" s="1">
        <f>IFERROR(__xludf.DUMMYFUNCTION("""COMPUTED_VALUE"""),2.59)</f>
        <v>2.59</v>
      </c>
      <c r="E2154" s="1">
        <f>IFERROR(__xludf.DUMMYFUNCTION("""COMPUTED_VALUE"""),2.59)</f>
        <v>2.59</v>
      </c>
      <c r="F2154" s="1">
        <f>IFERROR(__xludf.DUMMYFUNCTION("""COMPUTED_VALUE"""),754821.0)</f>
        <v>754821</v>
      </c>
    </row>
    <row r="2155">
      <c r="A2155" s="2">
        <f>IFERROR(__xludf.DUMMYFUNCTION("""COMPUTED_VALUE"""),42292.66666666667)</f>
        <v>42292.66667</v>
      </c>
      <c r="B2155" s="1">
        <f>IFERROR(__xludf.DUMMYFUNCTION("""COMPUTED_VALUE"""),2.59)</f>
        <v>2.59</v>
      </c>
      <c r="C2155" s="1">
        <f>IFERROR(__xludf.DUMMYFUNCTION("""COMPUTED_VALUE"""),2.62)</f>
        <v>2.62</v>
      </c>
      <c r="D2155" s="1">
        <f>IFERROR(__xludf.DUMMYFUNCTION("""COMPUTED_VALUE"""),2.52)</f>
        <v>2.52</v>
      </c>
      <c r="E2155" s="1">
        <f>IFERROR(__xludf.DUMMYFUNCTION("""COMPUTED_VALUE"""),2.6)</f>
        <v>2.6</v>
      </c>
      <c r="F2155" s="1">
        <f>IFERROR(__xludf.DUMMYFUNCTION("""COMPUTED_VALUE"""),640890.0)</f>
        <v>640890</v>
      </c>
    </row>
    <row r="2156">
      <c r="A2156" s="2">
        <f>IFERROR(__xludf.DUMMYFUNCTION("""COMPUTED_VALUE"""),42293.66666666667)</f>
        <v>42293.66667</v>
      </c>
      <c r="B2156" s="1">
        <f>IFERROR(__xludf.DUMMYFUNCTION("""COMPUTED_VALUE"""),2.61)</f>
        <v>2.61</v>
      </c>
      <c r="C2156" s="1">
        <f>IFERROR(__xludf.DUMMYFUNCTION("""COMPUTED_VALUE"""),2.64)</f>
        <v>2.64</v>
      </c>
      <c r="D2156" s="1">
        <f>IFERROR(__xludf.DUMMYFUNCTION("""COMPUTED_VALUE"""),2.57)</f>
        <v>2.57</v>
      </c>
      <c r="E2156" s="1">
        <f>IFERROR(__xludf.DUMMYFUNCTION("""COMPUTED_VALUE"""),2.64)</f>
        <v>2.64</v>
      </c>
      <c r="F2156" s="1">
        <f>IFERROR(__xludf.DUMMYFUNCTION("""COMPUTED_VALUE"""),373374.0)</f>
        <v>373374</v>
      </c>
    </row>
    <row r="2157">
      <c r="A2157" s="2">
        <f>IFERROR(__xludf.DUMMYFUNCTION("""COMPUTED_VALUE"""),42296.66666666667)</f>
        <v>42296.66667</v>
      </c>
      <c r="B2157" s="1">
        <f>IFERROR(__xludf.DUMMYFUNCTION("""COMPUTED_VALUE"""),2.64)</f>
        <v>2.64</v>
      </c>
      <c r="C2157" s="1">
        <f>IFERROR(__xludf.DUMMYFUNCTION("""COMPUTED_VALUE"""),2.66)</f>
        <v>2.66</v>
      </c>
      <c r="D2157" s="1">
        <f>IFERROR(__xludf.DUMMYFUNCTION("""COMPUTED_VALUE"""),2.59)</f>
        <v>2.59</v>
      </c>
      <c r="E2157" s="1">
        <f>IFERROR(__xludf.DUMMYFUNCTION("""COMPUTED_VALUE"""),2.63)</f>
        <v>2.63</v>
      </c>
      <c r="F2157" s="1">
        <f>IFERROR(__xludf.DUMMYFUNCTION("""COMPUTED_VALUE"""),328464.0)</f>
        <v>328464</v>
      </c>
    </row>
    <row r="2158">
      <c r="A2158" s="2">
        <f>IFERROR(__xludf.DUMMYFUNCTION("""COMPUTED_VALUE"""),42297.66666666667)</f>
        <v>42297.66667</v>
      </c>
      <c r="B2158" s="1">
        <f>IFERROR(__xludf.DUMMYFUNCTION("""COMPUTED_VALUE"""),2.62)</f>
        <v>2.62</v>
      </c>
      <c r="C2158" s="1">
        <f>IFERROR(__xludf.DUMMYFUNCTION("""COMPUTED_VALUE"""),2.67)</f>
        <v>2.67</v>
      </c>
      <c r="D2158" s="1">
        <f>IFERROR(__xludf.DUMMYFUNCTION("""COMPUTED_VALUE"""),2.59)</f>
        <v>2.59</v>
      </c>
      <c r="E2158" s="1">
        <f>IFERROR(__xludf.DUMMYFUNCTION("""COMPUTED_VALUE"""),2.61)</f>
        <v>2.61</v>
      </c>
      <c r="F2158" s="1">
        <f>IFERROR(__xludf.DUMMYFUNCTION("""COMPUTED_VALUE"""),296933.0)</f>
        <v>296933</v>
      </c>
    </row>
    <row r="2159">
      <c r="A2159" s="2">
        <f>IFERROR(__xludf.DUMMYFUNCTION("""COMPUTED_VALUE"""),42298.66666666667)</f>
        <v>42298.66667</v>
      </c>
      <c r="B2159" s="1">
        <f>IFERROR(__xludf.DUMMYFUNCTION("""COMPUTED_VALUE"""),2.61)</f>
        <v>2.61</v>
      </c>
      <c r="C2159" s="1">
        <f>IFERROR(__xludf.DUMMYFUNCTION("""COMPUTED_VALUE"""),2.64)</f>
        <v>2.64</v>
      </c>
      <c r="D2159" s="1">
        <f>IFERROR(__xludf.DUMMYFUNCTION("""COMPUTED_VALUE"""),2.54)</f>
        <v>2.54</v>
      </c>
      <c r="E2159" s="1">
        <f>IFERROR(__xludf.DUMMYFUNCTION("""COMPUTED_VALUE"""),2.54)</f>
        <v>2.54</v>
      </c>
      <c r="F2159" s="1">
        <f>IFERROR(__xludf.DUMMYFUNCTION("""COMPUTED_VALUE"""),501662.0)</f>
        <v>501662</v>
      </c>
    </row>
    <row r="2160">
      <c r="A2160" s="2">
        <f>IFERROR(__xludf.DUMMYFUNCTION("""COMPUTED_VALUE"""),42299.66666666667)</f>
        <v>42299.66667</v>
      </c>
      <c r="B2160" s="1">
        <f>IFERROR(__xludf.DUMMYFUNCTION("""COMPUTED_VALUE"""),2.55)</f>
        <v>2.55</v>
      </c>
      <c r="C2160" s="1">
        <f>IFERROR(__xludf.DUMMYFUNCTION("""COMPUTED_VALUE"""),2.6)</f>
        <v>2.6</v>
      </c>
      <c r="D2160" s="1">
        <f>IFERROR(__xludf.DUMMYFUNCTION("""COMPUTED_VALUE"""),2.51)</f>
        <v>2.51</v>
      </c>
      <c r="E2160" s="1">
        <f>IFERROR(__xludf.DUMMYFUNCTION("""COMPUTED_VALUE"""),2.55)</f>
        <v>2.55</v>
      </c>
      <c r="F2160" s="1">
        <f>IFERROR(__xludf.DUMMYFUNCTION("""COMPUTED_VALUE"""),592948.0)</f>
        <v>592948</v>
      </c>
    </row>
    <row r="2161">
      <c r="A2161" s="2">
        <f>IFERROR(__xludf.DUMMYFUNCTION("""COMPUTED_VALUE"""),42300.66666666667)</f>
        <v>42300.66667</v>
      </c>
      <c r="B2161" s="1">
        <f>IFERROR(__xludf.DUMMYFUNCTION("""COMPUTED_VALUE"""),2.66)</f>
        <v>2.66</v>
      </c>
      <c r="C2161" s="1">
        <f>IFERROR(__xludf.DUMMYFUNCTION("""COMPUTED_VALUE"""),2.97)</f>
        <v>2.97</v>
      </c>
      <c r="D2161" s="1">
        <f>IFERROR(__xludf.DUMMYFUNCTION("""COMPUTED_VALUE"""),2.66)</f>
        <v>2.66</v>
      </c>
      <c r="E2161" s="1">
        <f>IFERROR(__xludf.DUMMYFUNCTION("""COMPUTED_VALUE"""),2.85)</f>
        <v>2.85</v>
      </c>
      <c r="F2161" s="1">
        <f>IFERROR(__xludf.DUMMYFUNCTION("""COMPUTED_VALUE"""),1374965.0)</f>
        <v>1374965</v>
      </c>
    </row>
    <row r="2162">
      <c r="A2162" s="2">
        <f>IFERROR(__xludf.DUMMYFUNCTION("""COMPUTED_VALUE"""),42303.66666666667)</f>
        <v>42303.66667</v>
      </c>
      <c r="B2162" s="1">
        <f>IFERROR(__xludf.DUMMYFUNCTION("""COMPUTED_VALUE"""),2.84)</f>
        <v>2.84</v>
      </c>
      <c r="C2162" s="1">
        <f>IFERROR(__xludf.DUMMYFUNCTION("""COMPUTED_VALUE"""),2.84)</f>
        <v>2.84</v>
      </c>
      <c r="D2162" s="1">
        <f>IFERROR(__xludf.DUMMYFUNCTION("""COMPUTED_VALUE"""),2.7)</f>
        <v>2.7</v>
      </c>
      <c r="E2162" s="1">
        <f>IFERROR(__xludf.DUMMYFUNCTION("""COMPUTED_VALUE"""),2.76)</f>
        <v>2.76</v>
      </c>
      <c r="F2162" s="1">
        <f>IFERROR(__xludf.DUMMYFUNCTION("""COMPUTED_VALUE"""),583489.0)</f>
        <v>583489</v>
      </c>
    </row>
    <row r="2163">
      <c r="A2163" s="2">
        <f>IFERROR(__xludf.DUMMYFUNCTION("""COMPUTED_VALUE"""),42304.66666666667)</f>
        <v>42304.66667</v>
      </c>
      <c r="B2163" s="1">
        <f>IFERROR(__xludf.DUMMYFUNCTION("""COMPUTED_VALUE"""),2.76)</f>
        <v>2.76</v>
      </c>
      <c r="C2163" s="1">
        <f>IFERROR(__xludf.DUMMYFUNCTION("""COMPUTED_VALUE"""),2.79)</f>
        <v>2.79</v>
      </c>
      <c r="D2163" s="1">
        <f>IFERROR(__xludf.DUMMYFUNCTION("""COMPUTED_VALUE"""),2.7)</f>
        <v>2.7</v>
      </c>
      <c r="E2163" s="1">
        <f>IFERROR(__xludf.DUMMYFUNCTION("""COMPUTED_VALUE"""),2.73)</f>
        <v>2.73</v>
      </c>
      <c r="F2163" s="1">
        <f>IFERROR(__xludf.DUMMYFUNCTION("""COMPUTED_VALUE"""),332727.0)</f>
        <v>332727</v>
      </c>
    </row>
    <row r="2164">
      <c r="A2164" s="2">
        <f>IFERROR(__xludf.DUMMYFUNCTION("""COMPUTED_VALUE"""),42305.66666666667)</f>
        <v>42305.66667</v>
      </c>
      <c r="B2164" s="1">
        <f>IFERROR(__xludf.DUMMYFUNCTION("""COMPUTED_VALUE"""),2.73)</f>
        <v>2.73</v>
      </c>
      <c r="C2164" s="1">
        <f>IFERROR(__xludf.DUMMYFUNCTION("""COMPUTED_VALUE"""),2.84)</f>
        <v>2.84</v>
      </c>
      <c r="D2164" s="1">
        <f>IFERROR(__xludf.DUMMYFUNCTION("""COMPUTED_VALUE"""),2.72)</f>
        <v>2.72</v>
      </c>
      <c r="E2164" s="1">
        <f>IFERROR(__xludf.DUMMYFUNCTION("""COMPUTED_VALUE"""),2.84)</f>
        <v>2.84</v>
      </c>
      <c r="F2164" s="1">
        <f>IFERROR(__xludf.DUMMYFUNCTION("""COMPUTED_VALUE"""),427003.0)</f>
        <v>427003</v>
      </c>
    </row>
    <row r="2165">
      <c r="A2165" s="2">
        <f>IFERROR(__xludf.DUMMYFUNCTION("""COMPUTED_VALUE"""),42306.66666666667)</f>
        <v>42306.66667</v>
      </c>
      <c r="B2165" s="1">
        <f>IFERROR(__xludf.DUMMYFUNCTION("""COMPUTED_VALUE"""),2.82)</f>
        <v>2.82</v>
      </c>
      <c r="C2165" s="1">
        <f>IFERROR(__xludf.DUMMYFUNCTION("""COMPUTED_VALUE"""),2.89)</f>
        <v>2.89</v>
      </c>
      <c r="D2165" s="1">
        <f>IFERROR(__xludf.DUMMYFUNCTION("""COMPUTED_VALUE"""),2.79)</f>
        <v>2.79</v>
      </c>
      <c r="E2165" s="1">
        <f>IFERROR(__xludf.DUMMYFUNCTION("""COMPUTED_VALUE"""),2.79)</f>
        <v>2.79</v>
      </c>
      <c r="F2165" s="1">
        <f>IFERROR(__xludf.DUMMYFUNCTION("""COMPUTED_VALUE"""),381830.0)</f>
        <v>381830</v>
      </c>
    </row>
    <row r="2166">
      <c r="A2166" s="2">
        <f>IFERROR(__xludf.DUMMYFUNCTION("""COMPUTED_VALUE"""),42307.66666666667)</f>
        <v>42307.66667</v>
      </c>
      <c r="B2166" s="1">
        <f>IFERROR(__xludf.DUMMYFUNCTION("""COMPUTED_VALUE"""),2.8)</f>
        <v>2.8</v>
      </c>
      <c r="C2166" s="1">
        <f>IFERROR(__xludf.DUMMYFUNCTION("""COMPUTED_VALUE"""),2.88)</f>
        <v>2.88</v>
      </c>
      <c r="D2166" s="1">
        <f>IFERROR(__xludf.DUMMYFUNCTION("""COMPUTED_VALUE"""),2.75)</f>
        <v>2.75</v>
      </c>
      <c r="E2166" s="1">
        <f>IFERROR(__xludf.DUMMYFUNCTION("""COMPUTED_VALUE"""),2.82)</f>
        <v>2.82</v>
      </c>
      <c r="F2166" s="1">
        <f>IFERROR(__xludf.DUMMYFUNCTION("""COMPUTED_VALUE"""),340929.0)</f>
        <v>340929</v>
      </c>
    </row>
    <row r="2167">
      <c r="A2167" s="2">
        <f>IFERROR(__xludf.DUMMYFUNCTION("""COMPUTED_VALUE"""),42310.66666666667)</f>
        <v>42310.66667</v>
      </c>
      <c r="B2167" s="1">
        <f>IFERROR(__xludf.DUMMYFUNCTION("""COMPUTED_VALUE"""),2.82)</f>
        <v>2.82</v>
      </c>
      <c r="C2167" s="1">
        <f>IFERROR(__xludf.DUMMYFUNCTION("""COMPUTED_VALUE"""),2.97)</f>
        <v>2.97</v>
      </c>
      <c r="D2167" s="1">
        <f>IFERROR(__xludf.DUMMYFUNCTION("""COMPUTED_VALUE"""),2.82)</f>
        <v>2.82</v>
      </c>
      <c r="E2167" s="1">
        <f>IFERROR(__xludf.DUMMYFUNCTION("""COMPUTED_VALUE"""),2.97)</f>
        <v>2.97</v>
      </c>
      <c r="F2167" s="1">
        <f>IFERROR(__xludf.DUMMYFUNCTION("""COMPUTED_VALUE"""),431607.0)</f>
        <v>431607</v>
      </c>
    </row>
    <row r="2168">
      <c r="A2168" s="2">
        <f>IFERROR(__xludf.DUMMYFUNCTION("""COMPUTED_VALUE"""),42311.66666666667)</f>
        <v>42311.66667</v>
      </c>
      <c r="B2168" s="1">
        <f>IFERROR(__xludf.DUMMYFUNCTION("""COMPUTED_VALUE"""),2.95)</f>
        <v>2.95</v>
      </c>
      <c r="C2168" s="1">
        <f>IFERROR(__xludf.DUMMYFUNCTION("""COMPUTED_VALUE"""),3.08)</f>
        <v>3.08</v>
      </c>
      <c r="D2168" s="1">
        <f>IFERROR(__xludf.DUMMYFUNCTION("""COMPUTED_VALUE"""),2.95)</f>
        <v>2.95</v>
      </c>
      <c r="E2168" s="1">
        <f>IFERROR(__xludf.DUMMYFUNCTION("""COMPUTED_VALUE"""),2.99)</f>
        <v>2.99</v>
      </c>
      <c r="F2168" s="1">
        <f>IFERROR(__xludf.DUMMYFUNCTION("""COMPUTED_VALUE"""),429526.0)</f>
        <v>429526</v>
      </c>
    </row>
    <row r="2169">
      <c r="A2169" s="2">
        <f>IFERROR(__xludf.DUMMYFUNCTION("""COMPUTED_VALUE"""),42312.66666666667)</f>
        <v>42312.66667</v>
      </c>
      <c r="B2169" s="1">
        <f>IFERROR(__xludf.DUMMYFUNCTION("""COMPUTED_VALUE"""),2.99)</f>
        <v>2.99</v>
      </c>
      <c r="C2169" s="1">
        <f>IFERROR(__xludf.DUMMYFUNCTION("""COMPUTED_VALUE"""),3.04)</f>
        <v>3.04</v>
      </c>
      <c r="D2169" s="1">
        <f>IFERROR(__xludf.DUMMYFUNCTION("""COMPUTED_VALUE"""),2.97)</f>
        <v>2.97</v>
      </c>
      <c r="E2169" s="1">
        <f>IFERROR(__xludf.DUMMYFUNCTION("""COMPUTED_VALUE"""),3.01)</f>
        <v>3.01</v>
      </c>
      <c r="F2169" s="1">
        <f>IFERROR(__xludf.DUMMYFUNCTION("""COMPUTED_VALUE"""),326043.0)</f>
        <v>326043</v>
      </c>
    </row>
    <row r="2170">
      <c r="A2170" s="2">
        <f>IFERROR(__xludf.DUMMYFUNCTION("""COMPUTED_VALUE"""),42313.66666666667)</f>
        <v>42313.66667</v>
      </c>
      <c r="B2170" s="1">
        <f>IFERROR(__xludf.DUMMYFUNCTION("""COMPUTED_VALUE"""),3.01)</f>
        <v>3.01</v>
      </c>
      <c r="C2170" s="1">
        <f>IFERROR(__xludf.DUMMYFUNCTION("""COMPUTED_VALUE"""),3.04)</f>
        <v>3.04</v>
      </c>
      <c r="D2170" s="1">
        <f>IFERROR(__xludf.DUMMYFUNCTION("""COMPUTED_VALUE"""),2.95)</f>
        <v>2.95</v>
      </c>
      <c r="E2170" s="1">
        <f>IFERROR(__xludf.DUMMYFUNCTION("""COMPUTED_VALUE"""),3.01)</f>
        <v>3.01</v>
      </c>
      <c r="F2170" s="1">
        <f>IFERROR(__xludf.DUMMYFUNCTION("""COMPUTED_VALUE"""),311483.0)</f>
        <v>311483</v>
      </c>
    </row>
    <row r="2171">
      <c r="A2171" s="2">
        <f>IFERROR(__xludf.DUMMYFUNCTION("""COMPUTED_VALUE"""),42314.66666666667)</f>
        <v>42314.66667</v>
      </c>
      <c r="B2171" s="1">
        <f>IFERROR(__xludf.DUMMYFUNCTION("""COMPUTED_VALUE"""),3.0)</f>
        <v>3</v>
      </c>
      <c r="C2171" s="1">
        <f>IFERROR(__xludf.DUMMYFUNCTION("""COMPUTED_VALUE"""),3.08)</f>
        <v>3.08</v>
      </c>
      <c r="D2171" s="1">
        <f>IFERROR(__xludf.DUMMYFUNCTION("""COMPUTED_VALUE"""),2.99)</f>
        <v>2.99</v>
      </c>
      <c r="E2171" s="1">
        <f>IFERROR(__xludf.DUMMYFUNCTION("""COMPUTED_VALUE"""),3.08)</f>
        <v>3.08</v>
      </c>
      <c r="F2171" s="1">
        <f>IFERROR(__xludf.DUMMYFUNCTION("""COMPUTED_VALUE"""),450489.0)</f>
        <v>450489</v>
      </c>
    </row>
    <row r="2172">
      <c r="A2172" s="2">
        <f>IFERROR(__xludf.DUMMYFUNCTION("""COMPUTED_VALUE"""),42317.66666666667)</f>
        <v>42317.66667</v>
      </c>
      <c r="B2172" s="1">
        <f>IFERROR(__xludf.DUMMYFUNCTION("""COMPUTED_VALUE"""),3.05)</f>
        <v>3.05</v>
      </c>
      <c r="C2172" s="1">
        <f>IFERROR(__xludf.DUMMYFUNCTION("""COMPUTED_VALUE"""),3.08)</f>
        <v>3.08</v>
      </c>
      <c r="D2172" s="1">
        <f>IFERROR(__xludf.DUMMYFUNCTION("""COMPUTED_VALUE"""),3.02)</f>
        <v>3.02</v>
      </c>
      <c r="E2172" s="1">
        <f>IFERROR(__xludf.DUMMYFUNCTION("""COMPUTED_VALUE"""),3.03)</f>
        <v>3.03</v>
      </c>
      <c r="F2172" s="1">
        <f>IFERROR(__xludf.DUMMYFUNCTION("""COMPUTED_VALUE"""),240700.0)</f>
        <v>240700</v>
      </c>
    </row>
    <row r="2173">
      <c r="A2173" s="2">
        <f>IFERROR(__xludf.DUMMYFUNCTION("""COMPUTED_VALUE"""),42318.66666666667)</f>
        <v>42318.66667</v>
      </c>
      <c r="B2173" s="1">
        <f>IFERROR(__xludf.DUMMYFUNCTION("""COMPUTED_VALUE"""),3.0)</f>
        <v>3</v>
      </c>
      <c r="C2173" s="1">
        <f>IFERROR(__xludf.DUMMYFUNCTION("""COMPUTED_VALUE"""),3.03)</f>
        <v>3.03</v>
      </c>
      <c r="D2173" s="1">
        <f>IFERROR(__xludf.DUMMYFUNCTION("""COMPUTED_VALUE"""),2.92)</f>
        <v>2.92</v>
      </c>
      <c r="E2173" s="1">
        <f>IFERROR(__xludf.DUMMYFUNCTION("""COMPUTED_VALUE"""),2.93)</f>
        <v>2.93</v>
      </c>
      <c r="F2173" s="1">
        <f>IFERROR(__xludf.DUMMYFUNCTION("""COMPUTED_VALUE"""),363817.0)</f>
        <v>363817</v>
      </c>
    </row>
    <row r="2174">
      <c r="A2174" s="2">
        <f>IFERROR(__xludf.DUMMYFUNCTION("""COMPUTED_VALUE"""),42319.66666666667)</f>
        <v>42319.66667</v>
      </c>
      <c r="B2174" s="1">
        <f>IFERROR(__xludf.DUMMYFUNCTION("""COMPUTED_VALUE"""),2.89)</f>
        <v>2.89</v>
      </c>
      <c r="C2174" s="1">
        <f>IFERROR(__xludf.DUMMYFUNCTION("""COMPUTED_VALUE"""),2.89)</f>
        <v>2.89</v>
      </c>
      <c r="D2174" s="1">
        <f>IFERROR(__xludf.DUMMYFUNCTION("""COMPUTED_VALUE"""),2.6)</f>
        <v>2.6</v>
      </c>
      <c r="E2174" s="1">
        <f>IFERROR(__xludf.DUMMYFUNCTION("""COMPUTED_VALUE"""),2.62)</f>
        <v>2.62</v>
      </c>
      <c r="F2174" s="1">
        <f>IFERROR(__xludf.DUMMYFUNCTION("""COMPUTED_VALUE"""),1113019.0)</f>
        <v>1113019</v>
      </c>
    </row>
    <row r="2175">
      <c r="A2175" s="2">
        <f>IFERROR(__xludf.DUMMYFUNCTION("""COMPUTED_VALUE"""),42320.66666666667)</f>
        <v>42320.66667</v>
      </c>
      <c r="B2175" s="1">
        <f>IFERROR(__xludf.DUMMYFUNCTION("""COMPUTED_VALUE"""),2.58)</f>
        <v>2.58</v>
      </c>
      <c r="C2175" s="1">
        <f>IFERROR(__xludf.DUMMYFUNCTION("""COMPUTED_VALUE"""),2.67)</f>
        <v>2.67</v>
      </c>
      <c r="D2175" s="1">
        <f>IFERROR(__xludf.DUMMYFUNCTION("""COMPUTED_VALUE"""),2.58)</f>
        <v>2.58</v>
      </c>
      <c r="E2175" s="1">
        <f>IFERROR(__xludf.DUMMYFUNCTION("""COMPUTED_VALUE"""),2.64)</f>
        <v>2.64</v>
      </c>
      <c r="F2175" s="1">
        <f>IFERROR(__xludf.DUMMYFUNCTION("""COMPUTED_VALUE"""),640167.0)</f>
        <v>640167</v>
      </c>
    </row>
    <row r="2176">
      <c r="A2176" s="2">
        <f>IFERROR(__xludf.DUMMYFUNCTION("""COMPUTED_VALUE"""),42321.66666666667)</f>
        <v>42321.66667</v>
      </c>
      <c r="B2176" s="1">
        <f>IFERROR(__xludf.DUMMYFUNCTION("""COMPUTED_VALUE"""),2.62)</f>
        <v>2.62</v>
      </c>
      <c r="C2176" s="1">
        <f>IFERROR(__xludf.DUMMYFUNCTION("""COMPUTED_VALUE"""),2.69)</f>
        <v>2.69</v>
      </c>
      <c r="D2176" s="1">
        <f>IFERROR(__xludf.DUMMYFUNCTION("""COMPUTED_VALUE"""),2.53)</f>
        <v>2.53</v>
      </c>
      <c r="E2176" s="1">
        <f>IFERROR(__xludf.DUMMYFUNCTION("""COMPUTED_VALUE"""),2.55)</f>
        <v>2.55</v>
      </c>
      <c r="F2176" s="1">
        <f>IFERROR(__xludf.DUMMYFUNCTION("""COMPUTED_VALUE"""),430268.0)</f>
        <v>430268</v>
      </c>
    </row>
    <row r="2177">
      <c r="A2177" s="2">
        <f>IFERROR(__xludf.DUMMYFUNCTION("""COMPUTED_VALUE"""),42324.66666666667)</f>
        <v>42324.66667</v>
      </c>
      <c r="B2177" s="1">
        <f>IFERROR(__xludf.DUMMYFUNCTION("""COMPUTED_VALUE"""),2.54)</f>
        <v>2.54</v>
      </c>
      <c r="C2177" s="1">
        <f>IFERROR(__xludf.DUMMYFUNCTION("""COMPUTED_VALUE"""),2.62)</f>
        <v>2.62</v>
      </c>
      <c r="D2177" s="1">
        <f>IFERROR(__xludf.DUMMYFUNCTION("""COMPUTED_VALUE"""),2.45)</f>
        <v>2.45</v>
      </c>
      <c r="E2177" s="1">
        <f>IFERROR(__xludf.DUMMYFUNCTION("""COMPUTED_VALUE"""),2.47)</f>
        <v>2.47</v>
      </c>
      <c r="F2177" s="1">
        <f>IFERROR(__xludf.DUMMYFUNCTION("""COMPUTED_VALUE"""),706965.0)</f>
        <v>706965</v>
      </c>
    </row>
    <row r="2178">
      <c r="A2178" s="2">
        <f>IFERROR(__xludf.DUMMYFUNCTION("""COMPUTED_VALUE"""),42325.66666666667)</f>
        <v>42325.66667</v>
      </c>
      <c r="B2178" s="1">
        <f>IFERROR(__xludf.DUMMYFUNCTION("""COMPUTED_VALUE"""),2.46)</f>
        <v>2.46</v>
      </c>
      <c r="C2178" s="1">
        <f>IFERROR(__xludf.DUMMYFUNCTION("""COMPUTED_VALUE"""),2.54)</f>
        <v>2.54</v>
      </c>
      <c r="D2178" s="1">
        <f>IFERROR(__xludf.DUMMYFUNCTION("""COMPUTED_VALUE"""),2.43)</f>
        <v>2.43</v>
      </c>
      <c r="E2178" s="1">
        <f>IFERROR(__xludf.DUMMYFUNCTION("""COMPUTED_VALUE"""),2.43)</f>
        <v>2.43</v>
      </c>
      <c r="F2178" s="1">
        <f>IFERROR(__xludf.DUMMYFUNCTION("""COMPUTED_VALUE"""),558779.0)</f>
        <v>558779</v>
      </c>
    </row>
    <row r="2179">
      <c r="A2179" s="2">
        <f>IFERROR(__xludf.DUMMYFUNCTION("""COMPUTED_VALUE"""),42326.66666666667)</f>
        <v>42326.66667</v>
      </c>
      <c r="B2179" s="1">
        <f>IFERROR(__xludf.DUMMYFUNCTION("""COMPUTED_VALUE"""),2.46)</f>
        <v>2.46</v>
      </c>
      <c r="C2179" s="1">
        <f>IFERROR(__xludf.DUMMYFUNCTION("""COMPUTED_VALUE"""),2.46)</f>
        <v>2.46</v>
      </c>
      <c r="D2179" s="1">
        <f>IFERROR(__xludf.DUMMYFUNCTION("""COMPUTED_VALUE"""),2.33)</f>
        <v>2.33</v>
      </c>
      <c r="E2179" s="1">
        <f>IFERROR(__xludf.DUMMYFUNCTION("""COMPUTED_VALUE"""),2.37)</f>
        <v>2.37</v>
      </c>
      <c r="F2179" s="1">
        <f>IFERROR(__xludf.DUMMYFUNCTION("""COMPUTED_VALUE"""),1377585.0)</f>
        <v>1377585</v>
      </c>
    </row>
    <row r="2180">
      <c r="A2180" s="2">
        <f>IFERROR(__xludf.DUMMYFUNCTION("""COMPUTED_VALUE"""),42327.66666666667)</f>
        <v>42327.66667</v>
      </c>
      <c r="B2180" s="1">
        <f>IFERROR(__xludf.DUMMYFUNCTION("""COMPUTED_VALUE"""),2.36)</f>
        <v>2.36</v>
      </c>
      <c r="C2180" s="1">
        <f>IFERROR(__xludf.DUMMYFUNCTION("""COMPUTED_VALUE"""),2.41)</f>
        <v>2.41</v>
      </c>
      <c r="D2180" s="1">
        <f>IFERROR(__xludf.DUMMYFUNCTION("""COMPUTED_VALUE"""),2.34)</f>
        <v>2.34</v>
      </c>
      <c r="E2180" s="1">
        <f>IFERROR(__xludf.DUMMYFUNCTION("""COMPUTED_VALUE"""),2.35)</f>
        <v>2.35</v>
      </c>
      <c r="F2180" s="1">
        <f>IFERROR(__xludf.DUMMYFUNCTION("""COMPUTED_VALUE"""),512822.0)</f>
        <v>512822</v>
      </c>
    </row>
    <row r="2181">
      <c r="A2181" s="2">
        <f>IFERROR(__xludf.DUMMYFUNCTION("""COMPUTED_VALUE"""),42328.66666666667)</f>
        <v>42328.66667</v>
      </c>
      <c r="B2181" s="1">
        <f>IFERROR(__xludf.DUMMYFUNCTION("""COMPUTED_VALUE"""),2.34)</f>
        <v>2.34</v>
      </c>
      <c r="C2181" s="1">
        <f>IFERROR(__xludf.DUMMYFUNCTION("""COMPUTED_VALUE"""),2.35)</f>
        <v>2.35</v>
      </c>
      <c r="D2181" s="1">
        <f>IFERROR(__xludf.DUMMYFUNCTION("""COMPUTED_VALUE"""),2.31)</f>
        <v>2.31</v>
      </c>
      <c r="E2181" s="1">
        <f>IFERROR(__xludf.DUMMYFUNCTION("""COMPUTED_VALUE"""),2.34)</f>
        <v>2.34</v>
      </c>
      <c r="F2181" s="1">
        <f>IFERROR(__xludf.DUMMYFUNCTION("""COMPUTED_VALUE"""),546998.0)</f>
        <v>546998</v>
      </c>
    </row>
    <row r="2182">
      <c r="A2182" s="2">
        <f>IFERROR(__xludf.DUMMYFUNCTION("""COMPUTED_VALUE"""),42331.66666666667)</f>
        <v>42331.66667</v>
      </c>
      <c r="B2182" s="1">
        <f>IFERROR(__xludf.DUMMYFUNCTION("""COMPUTED_VALUE"""),2.35)</f>
        <v>2.35</v>
      </c>
      <c r="C2182" s="1">
        <f>IFERROR(__xludf.DUMMYFUNCTION("""COMPUTED_VALUE"""),2.41)</f>
        <v>2.41</v>
      </c>
      <c r="D2182" s="1">
        <f>IFERROR(__xludf.DUMMYFUNCTION("""COMPUTED_VALUE"""),2.35)</f>
        <v>2.35</v>
      </c>
      <c r="E2182" s="1">
        <f>IFERROR(__xludf.DUMMYFUNCTION("""COMPUTED_VALUE"""),2.36)</f>
        <v>2.36</v>
      </c>
      <c r="F2182" s="1">
        <f>IFERROR(__xludf.DUMMYFUNCTION("""COMPUTED_VALUE"""),510940.0)</f>
        <v>510940</v>
      </c>
    </row>
    <row r="2183">
      <c r="A2183" s="2">
        <f>IFERROR(__xludf.DUMMYFUNCTION("""COMPUTED_VALUE"""),42332.66666666667)</f>
        <v>42332.66667</v>
      </c>
      <c r="B2183" s="1">
        <f>IFERROR(__xludf.DUMMYFUNCTION("""COMPUTED_VALUE"""),2.35)</f>
        <v>2.35</v>
      </c>
      <c r="C2183" s="1">
        <f>IFERROR(__xludf.DUMMYFUNCTION("""COMPUTED_VALUE"""),2.4)</f>
        <v>2.4</v>
      </c>
      <c r="D2183" s="1">
        <f>IFERROR(__xludf.DUMMYFUNCTION("""COMPUTED_VALUE"""),2.34)</f>
        <v>2.34</v>
      </c>
      <c r="E2183" s="1">
        <f>IFERROR(__xludf.DUMMYFUNCTION("""COMPUTED_VALUE"""),2.39)</f>
        <v>2.39</v>
      </c>
      <c r="F2183" s="1">
        <f>IFERROR(__xludf.DUMMYFUNCTION("""COMPUTED_VALUE"""),395419.0)</f>
        <v>395419</v>
      </c>
    </row>
    <row r="2184">
      <c r="A2184" s="2">
        <f>IFERROR(__xludf.DUMMYFUNCTION("""COMPUTED_VALUE"""),42333.66666666667)</f>
        <v>42333.66667</v>
      </c>
      <c r="B2184" s="1">
        <f>IFERROR(__xludf.DUMMYFUNCTION("""COMPUTED_VALUE"""),2.38)</f>
        <v>2.38</v>
      </c>
      <c r="C2184" s="1">
        <f>IFERROR(__xludf.DUMMYFUNCTION("""COMPUTED_VALUE"""),2.43)</f>
        <v>2.43</v>
      </c>
      <c r="D2184" s="1">
        <f>IFERROR(__xludf.DUMMYFUNCTION("""COMPUTED_VALUE"""),2.38)</f>
        <v>2.38</v>
      </c>
      <c r="E2184" s="1">
        <f>IFERROR(__xludf.DUMMYFUNCTION("""COMPUTED_VALUE"""),2.41)</f>
        <v>2.41</v>
      </c>
      <c r="F2184" s="1">
        <f>IFERROR(__xludf.DUMMYFUNCTION("""COMPUTED_VALUE"""),320664.0)</f>
        <v>320664</v>
      </c>
    </row>
    <row r="2185">
      <c r="A2185" s="2">
        <f>IFERROR(__xludf.DUMMYFUNCTION("""COMPUTED_VALUE"""),42335.66666666667)</f>
        <v>42335.66667</v>
      </c>
      <c r="B2185" s="1">
        <f>IFERROR(__xludf.DUMMYFUNCTION("""COMPUTED_VALUE"""),2.43)</f>
        <v>2.43</v>
      </c>
      <c r="C2185" s="1">
        <f>IFERROR(__xludf.DUMMYFUNCTION("""COMPUTED_VALUE"""),2.45)</f>
        <v>2.45</v>
      </c>
      <c r="D2185" s="1">
        <f>IFERROR(__xludf.DUMMYFUNCTION("""COMPUTED_VALUE"""),2.41)</f>
        <v>2.41</v>
      </c>
      <c r="E2185" s="1">
        <f>IFERROR(__xludf.DUMMYFUNCTION("""COMPUTED_VALUE"""),2.44)</f>
        <v>2.44</v>
      </c>
      <c r="F2185" s="1">
        <f>IFERROR(__xludf.DUMMYFUNCTION("""COMPUTED_VALUE"""),143698.0)</f>
        <v>143698</v>
      </c>
    </row>
    <row r="2186">
      <c r="A2186" s="2">
        <f>IFERROR(__xludf.DUMMYFUNCTION("""COMPUTED_VALUE"""),42338.66666666667)</f>
        <v>42338.66667</v>
      </c>
      <c r="B2186" s="1">
        <f>IFERROR(__xludf.DUMMYFUNCTION("""COMPUTED_VALUE"""),2.46)</f>
        <v>2.46</v>
      </c>
      <c r="C2186" s="1">
        <f>IFERROR(__xludf.DUMMYFUNCTION("""COMPUTED_VALUE"""),2.48)</f>
        <v>2.48</v>
      </c>
      <c r="D2186" s="1">
        <f>IFERROR(__xludf.DUMMYFUNCTION("""COMPUTED_VALUE"""),2.45)</f>
        <v>2.45</v>
      </c>
      <c r="E2186" s="1">
        <f>IFERROR(__xludf.DUMMYFUNCTION("""COMPUTED_VALUE"""),2.46)</f>
        <v>2.46</v>
      </c>
      <c r="F2186" s="1">
        <f>IFERROR(__xludf.DUMMYFUNCTION("""COMPUTED_VALUE"""),495689.0)</f>
        <v>495689</v>
      </c>
    </row>
    <row r="2187">
      <c r="A2187" s="2">
        <f>IFERROR(__xludf.DUMMYFUNCTION("""COMPUTED_VALUE"""),42339.66666666667)</f>
        <v>42339.66667</v>
      </c>
      <c r="B2187" s="1">
        <f>IFERROR(__xludf.DUMMYFUNCTION("""COMPUTED_VALUE"""),2.47)</f>
        <v>2.47</v>
      </c>
      <c r="C2187" s="1">
        <f>IFERROR(__xludf.DUMMYFUNCTION("""COMPUTED_VALUE"""),2.63)</f>
        <v>2.63</v>
      </c>
      <c r="D2187" s="1">
        <f>IFERROR(__xludf.DUMMYFUNCTION("""COMPUTED_VALUE"""),2.45)</f>
        <v>2.45</v>
      </c>
      <c r="E2187" s="1">
        <f>IFERROR(__xludf.DUMMYFUNCTION("""COMPUTED_VALUE"""),2.62)</f>
        <v>2.62</v>
      </c>
      <c r="F2187" s="1">
        <f>IFERROR(__xludf.DUMMYFUNCTION("""COMPUTED_VALUE"""),716250.0)</f>
        <v>716250</v>
      </c>
    </row>
    <row r="2188">
      <c r="A2188" s="2">
        <f>IFERROR(__xludf.DUMMYFUNCTION("""COMPUTED_VALUE"""),42340.66666666667)</f>
        <v>42340.66667</v>
      </c>
      <c r="B2188" s="1">
        <f>IFERROR(__xludf.DUMMYFUNCTION("""COMPUTED_VALUE"""),2.62)</f>
        <v>2.62</v>
      </c>
      <c r="C2188" s="1">
        <f>IFERROR(__xludf.DUMMYFUNCTION("""COMPUTED_VALUE"""),2.68)</f>
        <v>2.68</v>
      </c>
      <c r="D2188" s="1">
        <f>IFERROR(__xludf.DUMMYFUNCTION("""COMPUTED_VALUE"""),2.59)</f>
        <v>2.59</v>
      </c>
      <c r="E2188" s="1">
        <f>IFERROR(__xludf.DUMMYFUNCTION("""COMPUTED_VALUE"""),2.66)</f>
        <v>2.66</v>
      </c>
      <c r="F2188" s="1">
        <f>IFERROR(__xludf.DUMMYFUNCTION("""COMPUTED_VALUE"""),828513.0)</f>
        <v>828513</v>
      </c>
    </row>
    <row r="2189">
      <c r="A2189" s="2">
        <f>IFERROR(__xludf.DUMMYFUNCTION("""COMPUTED_VALUE"""),42341.66666666667)</f>
        <v>42341.66667</v>
      </c>
      <c r="B2189" s="1">
        <f>IFERROR(__xludf.DUMMYFUNCTION("""COMPUTED_VALUE"""),2.67)</f>
        <v>2.67</v>
      </c>
      <c r="C2189" s="1">
        <f>IFERROR(__xludf.DUMMYFUNCTION("""COMPUTED_VALUE"""),2.67)</f>
        <v>2.67</v>
      </c>
      <c r="D2189" s="1">
        <f>IFERROR(__xludf.DUMMYFUNCTION("""COMPUTED_VALUE"""),2.6)</f>
        <v>2.6</v>
      </c>
      <c r="E2189" s="1">
        <f>IFERROR(__xludf.DUMMYFUNCTION("""COMPUTED_VALUE"""),2.64)</f>
        <v>2.64</v>
      </c>
      <c r="F2189" s="1">
        <f>IFERROR(__xludf.DUMMYFUNCTION("""COMPUTED_VALUE"""),432181.0)</f>
        <v>432181</v>
      </c>
    </row>
    <row r="2190">
      <c r="A2190" s="2">
        <f>IFERROR(__xludf.DUMMYFUNCTION("""COMPUTED_VALUE"""),42342.66666666667)</f>
        <v>42342.66667</v>
      </c>
      <c r="B2190" s="1">
        <f>IFERROR(__xludf.DUMMYFUNCTION("""COMPUTED_VALUE"""),2.64)</f>
        <v>2.64</v>
      </c>
      <c r="C2190" s="1">
        <f>IFERROR(__xludf.DUMMYFUNCTION("""COMPUTED_VALUE"""),2.7)</f>
        <v>2.7</v>
      </c>
      <c r="D2190" s="1">
        <f>IFERROR(__xludf.DUMMYFUNCTION("""COMPUTED_VALUE"""),2.62)</f>
        <v>2.62</v>
      </c>
      <c r="E2190" s="1">
        <f>IFERROR(__xludf.DUMMYFUNCTION("""COMPUTED_VALUE"""),2.65)</f>
        <v>2.65</v>
      </c>
      <c r="F2190" s="1">
        <f>IFERROR(__xludf.DUMMYFUNCTION("""COMPUTED_VALUE"""),480180.0)</f>
        <v>480180</v>
      </c>
    </row>
    <row r="2191">
      <c r="A2191" s="2">
        <f>IFERROR(__xludf.DUMMYFUNCTION("""COMPUTED_VALUE"""),42345.66666666667)</f>
        <v>42345.66667</v>
      </c>
      <c r="B2191" s="1">
        <f>IFERROR(__xludf.DUMMYFUNCTION("""COMPUTED_VALUE"""),2.64)</f>
        <v>2.64</v>
      </c>
      <c r="C2191" s="1">
        <f>IFERROR(__xludf.DUMMYFUNCTION("""COMPUTED_VALUE"""),2.64)</f>
        <v>2.64</v>
      </c>
      <c r="D2191" s="1">
        <f>IFERROR(__xludf.DUMMYFUNCTION("""COMPUTED_VALUE"""),2.48)</f>
        <v>2.48</v>
      </c>
      <c r="E2191" s="1">
        <f>IFERROR(__xludf.DUMMYFUNCTION("""COMPUTED_VALUE"""),2.49)</f>
        <v>2.49</v>
      </c>
      <c r="F2191" s="1">
        <f>IFERROR(__xludf.DUMMYFUNCTION("""COMPUTED_VALUE"""),571658.0)</f>
        <v>571658</v>
      </c>
    </row>
    <row r="2192">
      <c r="A2192" s="2">
        <f>IFERROR(__xludf.DUMMYFUNCTION("""COMPUTED_VALUE"""),42346.66666666667)</f>
        <v>42346.66667</v>
      </c>
      <c r="B2192" s="1">
        <f>IFERROR(__xludf.DUMMYFUNCTION("""COMPUTED_VALUE"""),2.47)</f>
        <v>2.47</v>
      </c>
      <c r="C2192" s="1">
        <f>IFERROR(__xludf.DUMMYFUNCTION("""COMPUTED_VALUE"""),2.55)</f>
        <v>2.55</v>
      </c>
      <c r="D2192" s="1">
        <f>IFERROR(__xludf.DUMMYFUNCTION("""COMPUTED_VALUE"""),2.45)</f>
        <v>2.45</v>
      </c>
      <c r="E2192" s="1">
        <f>IFERROR(__xludf.DUMMYFUNCTION("""COMPUTED_VALUE"""),2.53)</f>
        <v>2.53</v>
      </c>
      <c r="F2192" s="1">
        <f>IFERROR(__xludf.DUMMYFUNCTION("""COMPUTED_VALUE"""),403023.0)</f>
        <v>403023</v>
      </c>
    </row>
    <row r="2193">
      <c r="A2193" s="2">
        <f>IFERROR(__xludf.DUMMYFUNCTION("""COMPUTED_VALUE"""),42347.66666666667)</f>
        <v>42347.66667</v>
      </c>
      <c r="B2193" s="1">
        <f>IFERROR(__xludf.DUMMYFUNCTION("""COMPUTED_VALUE"""),2.53)</f>
        <v>2.53</v>
      </c>
      <c r="C2193" s="1">
        <f>IFERROR(__xludf.DUMMYFUNCTION("""COMPUTED_VALUE"""),2.55)</f>
        <v>2.55</v>
      </c>
      <c r="D2193" s="1">
        <f>IFERROR(__xludf.DUMMYFUNCTION("""COMPUTED_VALUE"""),2.38)</f>
        <v>2.38</v>
      </c>
      <c r="E2193" s="1">
        <f>IFERROR(__xludf.DUMMYFUNCTION("""COMPUTED_VALUE"""),2.39)</f>
        <v>2.39</v>
      </c>
      <c r="F2193" s="1">
        <f>IFERROR(__xludf.DUMMYFUNCTION("""COMPUTED_VALUE"""),769646.0)</f>
        <v>769646</v>
      </c>
    </row>
    <row r="2194">
      <c r="A2194" s="2">
        <f>IFERROR(__xludf.DUMMYFUNCTION("""COMPUTED_VALUE"""),42348.66666666667)</f>
        <v>42348.66667</v>
      </c>
      <c r="B2194" s="1">
        <f>IFERROR(__xludf.DUMMYFUNCTION("""COMPUTED_VALUE"""),2.39)</f>
        <v>2.39</v>
      </c>
      <c r="C2194" s="1">
        <f>IFERROR(__xludf.DUMMYFUNCTION("""COMPUTED_VALUE"""),2.5)</f>
        <v>2.5</v>
      </c>
      <c r="D2194" s="1">
        <f>IFERROR(__xludf.DUMMYFUNCTION("""COMPUTED_VALUE"""),2.37)</f>
        <v>2.37</v>
      </c>
      <c r="E2194" s="1">
        <f>IFERROR(__xludf.DUMMYFUNCTION("""COMPUTED_VALUE"""),2.48)</f>
        <v>2.48</v>
      </c>
      <c r="F2194" s="1">
        <f>IFERROR(__xludf.DUMMYFUNCTION("""COMPUTED_VALUE"""),780106.0)</f>
        <v>780106</v>
      </c>
    </row>
    <row r="2195">
      <c r="A2195" s="2">
        <f>IFERROR(__xludf.DUMMYFUNCTION("""COMPUTED_VALUE"""),42349.66666666667)</f>
        <v>42349.66667</v>
      </c>
      <c r="B2195" s="1">
        <f>IFERROR(__xludf.DUMMYFUNCTION("""COMPUTED_VALUE"""),2.43)</f>
        <v>2.43</v>
      </c>
      <c r="C2195" s="1">
        <f>IFERROR(__xludf.DUMMYFUNCTION("""COMPUTED_VALUE"""),2.45)</f>
        <v>2.45</v>
      </c>
      <c r="D2195" s="1">
        <f>IFERROR(__xludf.DUMMYFUNCTION("""COMPUTED_VALUE"""),2.4)</f>
        <v>2.4</v>
      </c>
      <c r="E2195" s="1">
        <f>IFERROR(__xludf.DUMMYFUNCTION("""COMPUTED_VALUE"""),2.42)</f>
        <v>2.42</v>
      </c>
      <c r="F2195" s="1">
        <f>IFERROR(__xludf.DUMMYFUNCTION("""COMPUTED_VALUE"""),653805.0)</f>
        <v>653805</v>
      </c>
    </row>
    <row r="2196">
      <c r="A2196" s="2">
        <f>IFERROR(__xludf.DUMMYFUNCTION("""COMPUTED_VALUE"""),42352.66666666667)</f>
        <v>42352.66667</v>
      </c>
      <c r="B2196" s="1">
        <f>IFERROR(__xludf.DUMMYFUNCTION("""COMPUTED_VALUE"""),2.41)</f>
        <v>2.41</v>
      </c>
      <c r="C2196" s="1">
        <f>IFERROR(__xludf.DUMMYFUNCTION("""COMPUTED_VALUE"""),2.42)</f>
        <v>2.42</v>
      </c>
      <c r="D2196" s="1">
        <f>IFERROR(__xludf.DUMMYFUNCTION("""COMPUTED_VALUE"""),2.25)</f>
        <v>2.25</v>
      </c>
      <c r="E2196" s="1">
        <f>IFERROR(__xludf.DUMMYFUNCTION("""COMPUTED_VALUE"""),2.28)</f>
        <v>2.28</v>
      </c>
      <c r="F2196" s="1">
        <f>IFERROR(__xludf.DUMMYFUNCTION("""COMPUTED_VALUE"""),826456.0)</f>
        <v>826456</v>
      </c>
    </row>
    <row r="2197">
      <c r="A2197" s="2">
        <f>IFERROR(__xludf.DUMMYFUNCTION("""COMPUTED_VALUE"""),42353.66666666667)</f>
        <v>42353.66667</v>
      </c>
      <c r="B2197" s="1">
        <f>IFERROR(__xludf.DUMMYFUNCTION("""COMPUTED_VALUE"""),2.3)</f>
        <v>2.3</v>
      </c>
      <c r="C2197" s="1">
        <f>IFERROR(__xludf.DUMMYFUNCTION("""COMPUTED_VALUE"""),2.35)</f>
        <v>2.35</v>
      </c>
      <c r="D2197" s="1">
        <f>IFERROR(__xludf.DUMMYFUNCTION("""COMPUTED_VALUE"""),2.27)</f>
        <v>2.27</v>
      </c>
      <c r="E2197" s="1">
        <f>IFERROR(__xludf.DUMMYFUNCTION("""COMPUTED_VALUE"""),2.29)</f>
        <v>2.29</v>
      </c>
      <c r="F2197" s="1">
        <f>IFERROR(__xludf.DUMMYFUNCTION("""COMPUTED_VALUE"""),476739.0)</f>
        <v>476739</v>
      </c>
    </row>
    <row r="2198">
      <c r="A2198" s="2">
        <f>IFERROR(__xludf.DUMMYFUNCTION("""COMPUTED_VALUE"""),42354.66666666667)</f>
        <v>42354.66667</v>
      </c>
      <c r="B2198" s="1">
        <f>IFERROR(__xludf.DUMMYFUNCTION("""COMPUTED_VALUE"""),2.3)</f>
        <v>2.3</v>
      </c>
      <c r="C2198" s="1">
        <f>IFERROR(__xludf.DUMMYFUNCTION("""COMPUTED_VALUE"""),2.36)</f>
        <v>2.36</v>
      </c>
      <c r="D2198" s="1">
        <f>IFERROR(__xludf.DUMMYFUNCTION("""COMPUTED_VALUE"""),2.29)</f>
        <v>2.29</v>
      </c>
      <c r="E2198" s="1">
        <f>IFERROR(__xludf.DUMMYFUNCTION("""COMPUTED_VALUE"""),2.32)</f>
        <v>2.32</v>
      </c>
      <c r="F2198" s="1">
        <f>IFERROR(__xludf.DUMMYFUNCTION("""COMPUTED_VALUE"""),263282.0)</f>
        <v>263282</v>
      </c>
    </row>
    <row r="2199">
      <c r="A2199" s="2">
        <f>IFERROR(__xludf.DUMMYFUNCTION("""COMPUTED_VALUE"""),42355.66666666667)</f>
        <v>42355.66667</v>
      </c>
      <c r="B2199" s="1">
        <f>IFERROR(__xludf.DUMMYFUNCTION("""COMPUTED_VALUE"""),2.34)</f>
        <v>2.34</v>
      </c>
      <c r="C2199" s="1">
        <f>IFERROR(__xludf.DUMMYFUNCTION("""COMPUTED_VALUE"""),2.35)</f>
        <v>2.35</v>
      </c>
      <c r="D2199" s="1">
        <f>IFERROR(__xludf.DUMMYFUNCTION("""COMPUTED_VALUE"""),2.28)</f>
        <v>2.28</v>
      </c>
      <c r="E2199" s="1">
        <f>IFERROR(__xludf.DUMMYFUNCTION("""COMPUTED_VALUE"""),2.28)</f>
        <v>2.28</v>
      </c>
      <c r="F2199" s="1">
        <f>IFERROR(__xludf.DUMMYFUNCTION("""COMPUTED_VALUE"""),226884.0)</f>
        <v>226884</v>
      </c>
    </row>
    <row r="2200">
      <c r="A2200" s="2">
        <f>IFERROR(__xludf.DUMMYFUNCTION("""COMPUTED_VALUE"""),42356.66666666667)</f>
        <v>42356.66667</v>
      </c>
      <c r="B2200" s="1">
        <f>IFERROR(__xludf.DUMMYFUNCTION("""COMPUTED_VALUE"""),2.28)</f>
        <v>2.28</v>
      </c>
      <c r="C2200" s="1">
        <f>IFERROR(__xludf.DUMMYFUNCTION("""COMPUTED_VALUE"""),2.31)</f>
        <v>2.31</v>
      </c>
      <c r="D2200" s="1">
        <f>IFERROR(__xludf.DUMMYFUNCTION("""COMPUTED_VALUE"""),2.23)</f>
        <v>2.23</v>
      </c>
      <c r="E2200" s="1">
        <f>IFERROR(__xludf.DUMMYFUNCTION("""COMPUTED_VALUE"""),2.23)</f>
        <v>2.23</v>
      </c>
      <c r="F2200" s="1">
        <f>IFERROR(__xludf.DUMMYFUNCTION("""COMPUTED_VALUE"""),928472.0)</f>
        <v>928472</v>
      </c>
    </row>
    <row r="2201">
      <c r="A2201" s="2">
        <f>IFERROR(__xludf.DUMMYFUNCTION("""COMPUTED_VALUE"""),42359.66666666667)</f>
        <v>42359.66667</v>
      </c>
      <c r="B2201" s="1">
        <f>IFERROR(__xludf.DUMMYFUNCTION("""COMPUTED_VALUE"""),2.26)</f>
        <v>2.26</v>
      </c>
      <c r="C2201" s="1">
        <f>IFERROR(__xludf.DUMMYFUNCTION("""COMPUTED_VALUE"""),2.32)</f>
        <v>2.32</v>
      </c>
      <c r="D2201" s="1">
        <f>IFERROR(__xludf.DUMMYFUNCTION("""COMPUTED_VALUE"""),2.26)</f>
        <v>2.26</v>
      </c>
      <c r="E2201" s="1">
        <f>IFERROR(__xludf.DUMMYFUNCTION("""COMPUTED_VALUE"""),2.31)</f>
        <v>2.31</v>
      </c>
      <c r="F2201" s="1">
        <f>IFERROR(__xludf.DUMMYFUNCTION("""COMPUTED_VALUE"""),487338.0)</f>
        <v>487338</v>
      </c>
    </row>
    <row r="2202">
      <c r="A2202" s="2">
        <f>IFERROR(__xludf.DUMMYFUNCTION("""COMPUTED_VALUE"""),42360.66666666667)</f>
        <v>42360.66667</v>
      </c>
      <c r="B2202" s="1">
        <f>IFERROR(__xludf.DUMMYFUNCTION("""COMPUTED_VALUE"""),2.31)</f>
        <v>2.31</v>
      </c>
      <c r="C2202" s="1">
        <f>IFERROR(__xludf.DUMMYFUNCTION("""COMPUTED_VALUE"""),2.42)</f>
        <v>2.42</v>
      </c>
      <c r="D2202" s="1">
        <f>IFERROR(__xludf.DUMMYFUNCTION("""COMPUTED_VALUE"""),2.29)</f>
        <v>2.29</v>
      </c>
      <c r="E2202" s="1">
        <f>IFERROR(__xludf.DUMMYFUNCTION("""COMPUTED_VALUE"""),2.4)</f>
        <v>2.4</v>
      </c>
      <c r="F2202" s="1">
        <f>IFERROR(__xludf.DUMMYFUNCTION("""COMPUTED_VALUE"""),569340.0)</f>
        <v>569340</v>
      </c>
    </row>
    <row r="2203">
      <c r="A2203" s="2">
        <f>IFERROR(__xludf.DUMMYFUNCTION("""COMPUTED_VALUE"""),42361.66666666667)</f>
        <v>42361.66667</v>
      </c>
      <c r="B2203" s="1">
        <f>IFERROR(__xludf.DUMMYFUNCTION("""COMPUTED_VALUE"""),2.43)</f>
        <v>2.43</v>
      </c>
      <c r="C2203" s="1">
        <f>IFERROR(__xludf.DUMMYFUNCTION("""COMPUTED_VALUE"""),2.54)</f>
        <v>2.54</v>
      </c>
      <c r="D2203" s="1">
        <f>IFERROR(__xludf.DUMMYFUNCTION("""COMPUTED_VALUE"""),2.42)</f>
        <v>2.42</v>
      </c>
      <c r="E2203" s="1">
        <f>IFERROR(__xludf.DUMMYFUNCTION("""COMPUTED_VALUE"""),2.48)</f>
        <v>2.48</v>
      </c>
      <c r="F2203" s="1">
        <f>IFERROR(__xludf.DUMMYFUNCTION("""COMPUTED_VALUE"""),439537.0)</f>
        <v>439537</v>
      </c>
    </row>
    <row r="2204">
      <c r="A2204" s="2">
        <f>IFERROR(__xludf.DUMMYFUNCTION("""COMPUTED_VALUE"""),42362.66666666667)</f>
        <v>42362.66667</v>
      </c>
      <c r="B2204" s="1">
        <f>IFERROR(__xludf.DUMMYFUNCTION("""COMPUTED_VALUE"""),2.47)</f>
        <v>2.47</v>
      </c>
      <c r="C2204" s="1">
        <f>IFERROR(__xludf.DUMMYFUNCTION("""COMPUTED_VALUE"""),2.5)</f>
        <v>2.5</v>
      </c>
      <c r="D2204" s="1">
        <f>IFERROR(__xludf.DUMMYFUNCTION("""COMPUTED_VALUE"""),2.46)</f>
        <v>2.46</v>
      </c>
      <c r="E2204" s="1">
        <f>IFERROR(__xludf.DUMMYFUNCTION("""COMPUTED_VALUE"""),2.47)</f>
        <v>2.47</v>
      </c>
      <c r="F2204" s="1">
        <f>IFERROR(__xludf.DUMMYFUNCTION("""COMPUTED_VALUE"""),155182.0)</f>
        <v>155182</v>
      </c>
    </row>
    <row r="2205">
      <c r="A2205" s="2">
        <f>IFERROR(__xludf.DUMMYFUNCTION("""COMPUTED_VALUE"""),42366.66666666667)</f>
        <v>42366.66667</v>
      </c>
      <c r="B2205" s="1">
        <f>IFERROR(__xludf.DUMMYFUNCTION("""COMPUTED_VALUE"""),2.45)</f>
        <v>2.45</v>
      </c>
      <c r="C2205" s="1">
        <f>IFERROR(__xludf.DUMMYFUNCTION("""COMPUTED_VALUE"""),2.47)</f>
        <v>2.47</v>
      </c>
      <c r="D2205" s="1">
        <f>IFERROR(__xludf.DUMMYFUNCTION("""COMPUTED_VALUE"""),2.4)</f>
        <v>2.4</v>
      </c>
      <c r="E2205" s="1">
        <f>IFERROR(__xludf.DUMMYFUNCTION("""COMPUTED_VALUE"""),2.44)</f>
        <v>2.44</v>
      </c>
      <c r="F2205" s="1">
        <f>IFERROR(__xludf.DUMMYFUNCTION("""COMPUTED_VALUE"""),361142.0)</f>
        <v>361142</v>
      </c>
    </row>
    <row r="2206">
      <c r="A2206" s="2">
        <f>IFERROR(__xludf.DUMMYFUNCTION("""COMPUTED_VALUE"""),42367.66666666667)</f>
        <v>42367.66667</v>
      </c>
      <c r="B2206" s="1">
        <f>IFERROR(__xludf.DUMMYFUNCTION("""COMPUTED_VALUE"""),2.44)</f>
        <v>2.44</v>
      </c>
      <c r="C2206" s="1">
        <f>IFERROR(__xludf.DUMMYFUNCTION("""COMPUTED_VALUE"""),2.48)</f>
        <v>2.48</v>
      </c>
      <c r="D2206" s="1">
        <f>IFERROR(__xludf.DUMMYFUNCTION("""COMPUTED_VALUE"""),2.43)</f>
        <v>2.43</v>
      </c>
      <c r="E2206" s="1">
        <f>IFERROR(__xludf.DUMMYFUNCTION("""COMPUTED_VALUE"""),2.47)</f>
        <v>2.47</v>
      </c>
      <c r="F2206" s="1">
        <f>IFERROR(__xludf.DUMMYFUNCTION("""COMPUTED_VALUE"""),329779.0)</f>
        <v>329779</v>
      </c>
    </row>
    <row r="2207">
      <c r="A2207" s="2">
        <f>IFERROR(__xludf.DUMMYFUNCTION("""COMPUTED_VALUE"""),42368.66666666667)</f>
        <v>42368.66667</v>
      </c>
      <c r="B2207" s="1">
        <f>IFERROR(__xludf.DUMMYFUNCTION("""COMPUTED_VALUE"""),2.47)</f>
        <v>2.47</v>
      </c>
      <c r="C2207" s="1">
        <f>IFERROR(__xludf.DUMMYFUNCTION("""COMPUTED_VALUE"""),2.48)</f>
        <v>2.48</v>
      </c>
      <c r="D2207" s="1">
        <f>IFERROR(__xludf.DUMMYFUNCTION("""COMPUTED_VALUE"""),2.41)</f>
        <v>2.41</v>
      </c>
      <c r="E2207" s="1">
        <f>IFERROR(__xludf.DUMMYFUNCTION("""COMPUTED_VALUE"""),2.42)</f>
        <v>2.42</v>
      </c>
      <c r="F2207" s="1">
        <f>IFERROR(__xludf.DUMMYFUNCTION("""COMPUTED_VALUE"""),276655.0)</f>
        <v>276655</v>
      </c>
    </row>
    <row r="2208">
      <c r="A2208" s="2">
        <f>IFERROR(__xludf.DUMMYFUNCTION("""COMPUTED_VALUE"""),42369.66666666667)</f>
        <v>42369.66667</v>
      </c>
      <c r="B2208" s="1">
        <f>IFERROR(__xludf.DUMMYFUNCTION("""COMPUTED_VALUE"""),2.4)</f>
        <v>2.4</v>
      </c>
      <c r="C2208" s="1">
        <f>IFERROR(__xludf.DUMMYFUNCTION("""COMPUTED_VALUE"""),2.5)</f>
        <v>2.5</v>
      </c>
      <c r="D2208" s="1">
        <f>IFERROR(__xludf.DUMMYFUNCTION("""COMPUTED_VALUE"""),2.39)</f>
        <v>2.39</v>
      </c>
      <c r="E2208" s="1">
        <f>IFERROR(__xludf.DUMMYFUNCTION("""COMPUTED_VALUE"""),2.45)</f>
        <v>2.45</v>
      </c>
      <c r="F2208" s="1">
        <f>IFERROR(__xludf.DUMMYFUNCTION("""COMPUTED_VALUE"""),439072.0)</f>
        <v>439072</v>
      </c>
    </row>
    <row r="2209">
      <c r="A2209" s="2">
        <f>IFERROR(__xludf.DUMMYFUNCTION("""COMPUTED_VALUE"""),42373.66666666667)</f>
        <v>42373.66667</v>
      </c>
      <c r="B2209" s="1">
        <f>IFERROR(__xludf.DUMMYFUNCTION("""COMPUTED_VALUE"""),2.39)</f>
        <v>2.39</v>
      </c>
      <c r="C2209" s="1">
        <f>IFERROR(__xludf.DUMMYFUNCTION("""COMPUTED_VALUE"""),2.42)</f>
        <v>2.42</v>
      </c>
      <c r="D2209" s="1">
        <f>IFERROR(__xludf.DUMMYFUNCTION("""COMPUTED_VALUE"""),2.34)</f>
        <v>2.34</v>
      </c>
      <c r="E2209" s="1">
        <f>IFERROR(__xludf.DUMMYFUNCTION("""COMPUTED_VALUE"""),2.37)</f>
        <v>2.37</v>
      </c>
      <c r="F2209" s="1">
        <f>IFERROR(__xludf.DUMMYFUNCTION("""COMPUTED_VALUE"""),465281.0)</f>
        <v>465281</v>
      </c>
    </row>
    <row r="2210">
      <c r="A2210" s="2">
        <f>IFERROR(__xludf.DUMMYFUNCTION("""COMPUTED_VALUE"""),42374.66666666667)</f>
        <v>42374.66667</v>
      </c>
      <c r="B2210" s="1">
        <f>IFERROR(__xludf.DUMMYFUNCTION("""COMPUTED_VALUE"""),2.37)</f>
        <v>2.37</v>
      </c>
      <c r="C2210" s="1">
        <f>IFERROR(__xludf.DUMMYFUNCTION("""COMPUTED_VALUE"""),2.41)</f>
        <v>2.41</v>
      </c>
      <c r="D2210" s="1">
        <f>IFERROR(__xludf.DUMMYFUNCTION("""COMPUTED_VALUE"""),2.3)</f>
        <v>2.3</v>
      </c>
      <c r="E2210" s="1">
        <f>IFERROR(__xludf.DUMMYFUNCTION("""COMPUTED_VALUE"""),2.31)</f>
        <v>2.31</v>
      </c>
      <c r="F2210" s="1">
        <f>IFERROR(__xludf.DUMMYFUNCTION("""COMPUTED_VALUE"""),458419.0)</f>
        <v>458419</v>
      </c>
    </row>
    <row r="2211">
      <c r="A2211" s="2">
        <f>IFERROR(__xludf.DUMMYFUNCTION("""COMPUTED_VALUE"""),42375.66666666667)</f>
        <v>42375.66667</v>
      </c>
      <c r="B2211" s="1">
        <f>IFERROR(__xludf.DUMMYFUNCTION("""COMPUTED_VALUE"""),2.28)</f>
        <v>2.28</v>
      </c>
      <c r="C2211" s="1">
        <f>IFERROR(__xludf.DUMMYFUNCTION("""COMPUTED_VALUE"""),2.3)</f>
        <v>2.3</v>
      </c>
      <c r="D2211" s="1">
        <f>IFERROR(__xludf.DUMMYFUNCTION("""COMPUTED_VALUE"""),2.25)</f>
        <v>2.25</v>
      </c>
      <c r="E2211" s="1">
        <f>IFERROR(__xludf.DUMMYFUNCTION("""COMPUTED_VALUE"""),2.29)</f>
        <v>2.29</v>
      </c>
      <c r="F2211" s="1">
        <f>IFERROR(__xludf.DUMMYFUNCTION("""COMPUTED_VALUE"""),304577.0)</f>
        <v>304577</v>
      </c>
    </row>
    <row r="2212">
      <c r="A2212" s="2">
        <f>IFERROR(__xludf.DUMMYFUNCTION("""COMPUTED_VALUE"""),42376.66666666667)</f>
        <v>42376.66667</v>
      </c>
      <c r="B2212" s="1">
        <f>IFERROR(__xludf.DUMMYFUNCTION("""COMPUTED_VALUE"""),2.25)</f>
        <v>2.25</v>
      </c>
      <c r="C2212" s="1">
        <f>IFERROR(__xludf.DUMMYFUNCTION("""COMPUTED_VALUE"""),2.27)</f>
        <v>2.27</v>
      </c>
      <c r="D2212" s="1">
        <f>IFERROR(__xludf.DUMMYFUNCTION("""COMPUTED_VALUE"""),2.2)</f>
        <v>2.2</v>
      </c>
      <c r="E2212" s="1">
        <f>IFERROR(__xludf.DUMMYFUNCTION("""COMPUTED_VALUE"""),2.2)</f>
        <v>2.2</v>
      </c>
      <c r="F2212" s="1">
        <f>IFERROR(__xludf.DUMMYFUNCTION("""COMPUTED_VALUE"""),452675.0)</f>
        <v>452675</v>
      </c>
    </row>
    <row r="2213">
      <c r="A2213" s="2">
        <f>IFERROR(__xludf.DUMMYFUNCTION("""COMPUTED_VALUE"""),42377.66666666667)</f>
        <v>42377.66667</v>
      </c>
      <c r="B2213" s="1">
        <f>IFERROR(__xludf.DUMMYFUNCTION("""COMPUTED_VALUE"""),2.21)</f>
        <v>2.21</v>
      </c>
      <c r="C2213" s="1">
        <f>IFERROR(__xludf.DUMMYFUNCTION("""COMPUTED_VALUE"""),2.25)</f>
        <v>2.25</v>
      </c>
      <c r="D2213" s="1">
        <f>IFERROR(__xludf.DUMMYFUNCTION("""COMPUTED_VALUE"""),2.18)</f>
        <v>2.18</v>
      </c>
      <c r="E2213" s="1">
        <f>IFERROR(__xludf.DUMMYFUNCTION("""COMPUTED_VALUE"""),2.2)</f>
        <v>2.2</v>
      </c>
      <c r="F2213" s="1">
        <f>IFERROR(__xludf.DUMMYFUNCTION("""COMPUTED_VALUE"""),456366.0)</f>
        <v>456366</v>
      </c>
    </row>
    <row r="2214">
      <c r="A2214" s="2">
        <f>IFERROR(__xludf.DUMMYFUNCTION("""COMPUTED_VALUE"""),42380.66666666667)</f>
        <v>42380.66667</v>
      </c>
      <c r="B2214" s="1">
        <f>IFERROR(__xludf.DUMMYFUNCTION("""COMPUTED_VALUE"""),2.2)</f>
        <v>2.2</v>
      </c>
      <c r="C2214" s="1">
        <f>IFERROR(__xludf.DUMMYFUNCTION("""COMPUTED_VALUE"""),2.25)</f>
        <v>2.25</v>
      </c>
      <c r="D2214" s="1">
        <f>IFERROR(__xludf.DUMMYFUNCTION("""COMPUTED_VALUE"""),2.13)</f>
        <v>2.13</v>
      </c>
      <c r="E2214" s="1">
        <f>IFERROR(__xludf.DUMMYFUNCTION("""COMPUTED_VALUE"""),2.15)</f>
        <v>2.15</v>
      </c>
      <c r="F2214" s="1">
        <f>IFERROR(__xludf.DUMMYFUNCTION("""COMPUTED_VALUE"""),448952.0)</f>
        <v>448952</v>
      </c>
    </row>
    <row r="2215">
      <c r="A2215" s="2">
        <f>IFERROR(__xludf.DUMMYFUNCTION("""COMPUTED_VALUE"""),42381.66666666667)</f>
        <v>42381.66667</v>
      </c>
      <c r="B2215" s="1">
        <f>IFERROR(__xludf.DUMMYFUNCTION("""COMPUTED_VALUE"""),2.45)</f>
        <v>2.45</v>
      </c>
      <c r="C2215" s="1">
        <f>IFERROR(__xludf.DUMMYFUNCTION("""COMPUTED_VALUE"""),2.85)</f>
        <v>2.85</v>
      </c>
      <c r="D2215" s="1">
        <f>IFERROR(__xludf.DUMMYFUNCTION("""COMPUTED_VALUE"""),2.45)</f>
        <v>2.45</v>
      </c>
      <c r="E2215" s="1">
        <f>IFERROR(__xludf.DUMMYFUNCTION("""COMPUTED_VALUE"""),2.73)</f>
        <v>2.73</v>
      </c>
      <c r="F2215" s="1">
        <f>IFERROR(__xludf.DUMMYFUNCTION("""COMPUTED_VALUE"""),3803325.0)</f>
        <v>3803325</v>
      </c>
    </row>
    <row r="2216">
      <c r="A2216" s="2">
        <f>IFERROR(__xludf.DUMMYFUNCTION("""COMPUTED_VALUE"""),42382.66666666667)</f>
        <v>42382.66667</v>
      </c>
      <c r="B2216" s="1">
        <f>IFERROR(__xludf.DUMMYFUNCTION("""COMPUTED_VALUE"""),2.75)</f>
        <v>2.75</v>
      </c>
      <c r="C2216" s="1">
        <f>IFERROR(__xludf.DUMMYFUNCTION("""COMPUTED_VALUE"""),2.77)</f>
        <v>2.77</v>
      </c>
      <c r="D2216" s="1">
        <f>IFERROR(__xludf.DUMMYFUNCTION("""COMPUTED_VALUE"""),2.5)</f>
        <v>2.5</v>
      </c>
      <c r="E2216" s="1">
        <f>IFERROR(__xludf.DUMMYFUNCTION("""COMPUTED_VALUE"""),2.5)</f>
        <v>2.5</v>
      </c>
      <c r="F2216" s="1">
        <f>IFERROR(__xludf.DUMMYFUNCTION("""COMPUTED_VALUE"""),1218040.0)</f>
        <v>1218040</v>
      </c>
    </row>
    <row r="2217">
      <c r="A2217" s="2">
        <f>IFERROR(__xludf.DUMMYFUNCTION("""COMPUTED_VALUE"""),42383.66666666667)</f>
        <v>42383.66667</v>
      </c>
      <c r="B2217" s="1">
        <f>IFERROR(__xludf.DUMMYFUNCTION("""COMPUTED_VALUE"""),2.51)</f>
        <v>2.51</v>
      </c>
      <c r="C2217" s="1">
        <f>IFERROR(__xludf.DUMMYFUNCTION("""COMPUTED_VALUE"""),2.51)</f>
        <v>2.51</v>
      </c>
      <c r="D2217" s="1">
        <f>IFERROR(__xludf.DUMMYFUNCTION("""COMPUTED_VALUE"""),2.33)</f>
        <v>2.33</v>
      </c>
      <c r="E2217" s="1">
        <f>IFERROR(__xludf.DUMMYFUNCTION("""COMPUTED_VALUE"""),2.44)</f>
        <v>2.44</v>
      </c>
      <c r="F2217" s="1">
        <f>IFERROR(__xludf.DUMMYFUNCTION("""COMPUTED_VALUE"""),930618.0)</f>
        <v>930618</v>
      </c>
    </row>
    <row r="2218">
      <c r="A2218" s="2">
        <f>IFERROR(__xludf.DUMMYFUNCTION("""COMPUTED_VALUE"""),42384.66666666667)</f>
        <v>42384.66667</v>
      </c>
      <c r="B2218" s="1">
        <f>IFERROR(__xludf.DUMMYFUNCTION("""COMPUTED_VALUE"""),2.35)</f>
        <v>2.35</v>
      </c>
      <c r="C2218" s="1">
        <f>IFERROR(__xludf.DUMMYFUNCTION("""COMPUTED_VALUE"""),2.45)</f>
        <v>2.45</v>
      </c>
      <c r="D2218" s="1">
        <f>IFERROR(__xludf.DUMMYFUNCTION("""COMPUTED_VALUE"""),2.3)</f>
        <v>2.3</v>
      </c>
      <c r="E2218" s="1">
        <f>IFERROR(__xludf.DUMMYFUNCTION("""COMPUTED_VALUE"""),2.44)</f>
        <v>2.44</v>
      </c>
      <c r="F2218" s="1">
        <f>IFERROR(__xludf.DUMMYFUNCTION("""COMPUTED_VALUE"""),639028.0)</f>
        <v>639028</v>
      </c>
    </row>
    <row r="2219">
      <c r="A2219" s="2">
        <f>IFERROR(__xludf.DUMMYFUNCTION("""COMPUTED_VALUE"""),42388.66666666667)</f>
        <v>42388.66667</v>
      </c>
      <c r="B2219" s="1">
        <f>IFERROR(__xludf.DUMMYFUNCTION("""COMPUTED_VALUE"""),2.48)</f>
        <v>2.48</v>
      </c>
      <c r="C2219" s="1">
        <f>IFERROR(__xludf.DUMMYFUNCTION("""COMPUTED_VALUE"""),2.51)</f>
        <v>2.51</v>
      </c>
      <c r="D2219" s="1">
        <f>IFERROR(__xludf.DUMMYFUNCTION("""COMPUTED_VALUE"""),2.41)</f>
        <v>2.41</v>
      </c>
      <c r="E2219" s="1">
        <f>IFERROR(__xludf.DUMMYFUNCTION("""COMPUTED_VALUE"""),2.48)</f>
        <v>2.48</v>
      </c>
      <c r="F2219" s="1">
        <f>IFERROR(__xludf.DUMMYFUNCTION("""COMPUTED_VALUE"""),728363.0)</f>
        <v>728363</v>
      </c>
    </row>
    <row r="2220">
      <c r="A2220" s="2">
        <f>IFERROR(__xludf.DUMMYFUNCTION("""COMPUTED_VALUE"""),42389.66666666667)</f>
        <v>42389.66667</v>
      </c>
      <c r="B2220" s="1">
        <f>IFERROR(__xludf.DUMMYFUNCTION("""COMPUTED_VALUE"""),2.43)</f>
        <v>2.43</v>
      </c>
      <c r="C2220" s="1">
        <f>IFERROR(__xludf.DUMMYFUNCTION("""COMPUTED_VALUE"""),2.56)</f>
        <v>2.56</v>
      </c>
      <c r="D2220" s="1">
        <f>IFERROR(__xludf.DUMMYFUNCTION("""COMPUTED_VALUE"""),2.38)</f>
        <v>2.38</v>
      </c>
      <c r="E2220" s="1">
        <f>IFERROR(__xludf.DUMMYFUNCTION("""COMPUTED_VALUE"""),2.52)</f>
        <v>2.52</v>
      </c>
      <c r="F2220" s="1">
        <f>IFERROR(__xludf.DUMMYFUNCTION("""COMPUTED_VALUE"""),685391.0)</f>
        <v>685391</v>
      </c>
    </row>
    <row r="2221">
      <c r="A2221" s="2">
        <f>IFERROR(__xludf.DUMMYFUNCTION("""COMPUTED_VALUE"""),42390.66666666667)</f>
        <v>42390.66667</v>
      </c>
      <c r="B2221" s="1">
        <f>IFERROR(__xludf.DUMMYFUNCTION("""COMPUTED_VALUE"""),2.54)</f>
        <v>2.54</v>
      </c>
      <c r="C2221" s="1">
        <f>IFERROR(__xludf.DUMMYFUNCTION("""COMPUTED_VALUE"""),2.54)</f>
        <v>2.54</v>
      </c>
      <c r="D2221" s="1">
        <f>IFERROR(__xludf.DUMMYFUNCTION("""COMPUTED_VALUE"""),2.47)</f>
        <v>2.47</v>
      </c>
      <c r="E2221" s="1">
        <f>IFERROR(__xludf.DUMMYFUNCTION("""COMPUTED_VALUE"""),2.5)</f>
        <v>2.5</v>
      </c>
      <c r="F2221" s="1">
        <f>IFERROR(__xludf.DUMMYFUNCTION("""COMPUTED_VALUE"""),640242.0)</f>
        <v>640242</v>
      </c>
    </row>
    <row r="2222">
      <c r="A2222" s="2">
        <f>IFERROR(__xludf.DUMMYFUNCTION("""COMPUTED_VALUE"""),42391.66666666667)</f>
        <v>42391.66667</v>
      </c>
      <c r="B2222" s="1">
        <f>IFERROR(__xludf.DUMMYFUNCTION("""COMPUTED_VALUE"""),2.54)</f>
        <v>2.54</v>
      </c>
      <c r="C2222" s="1">
        <f>IFERROR(__xludf.DUMMYFUNCTION("""COMPUTED_VALUE"""),2.6)</f>
        <v>2.6</v>
      </c>
      <c r="D2222" s="1">
        <f>IFERROR(__xludf.DUMMYFUNCTION("""COMPUTED_VALUE"""),2.5)</f>
        <v>2.5</v>
      </c>
      <c r="E2222" s="1">
        <f>IFERROR(__xludf.DUMMYFUNCTION("""COMPUTED_VALUE"""),2.6)</f>
        <v>2.6</v>
      </c>
      <c r="F2222" s="1">
        <f>IFERROR(__xludf.DUMMYFUNCTION("""COMPUTED_VALUE"""),647722.0)</f>
        <v>647722</v>
      </c>
    </row>
    <row r="2223">
      <c r="A2223" s="2">
        <f>IFERROR(__xludf.DUMMYFUNCTION("""COMPUTED_VALUE"""),42394.66666666667)</f>
        <v>42394.66667</v>
      </c>
      <c r="B2223" s="1">
        <f>IFERROR(__xludf.DUMMYFUNCTION("""COMPUTED_VALUE"""),2.6)</f>
        <v>2.6</v>
      </c>
      <c r="C2223" s="1">
        <f>IFERROR(__xludf.DUMMYFUNCTION("""COMPUTED_VALUE"""),2.66)</f>
        <v>2.66</v>
      </c>
      <c r="D2223" s="1">
        <f>IFERROR(__xludf.DUMMYFUNCTION("""COMPUTED_VALUE"""),2.56)</f>
        <v>2.56</v>
      </c>
      <c r="E2223" s="1">
        <f>IFERROR(__xludf.DUMMYFUNCTION("""COMPUTED_VALUE"""),2.61)</f>
        <v>2.61</v>
      </c>
      <c r="F2223" s="1">
        <f>IFERROR(__xludf.DUMMYFUNCTION("""COMPUTED_VALUE"""),818842.0)</f>
        <v>818842</v>
      </c>
    </row>
    <row r="2224">
      <c r="A2224" s="2">
        <f>IFERROR(__xludf.DUMMYFUNCTION("""COMPUTED_VALUE"""),42395.66666666667)</f>
        <v>42395.66667</v>
      </c>
      <c r="B2224" s="1">
        <f>IFERROR(__xludf.DUMMYFUNCTION("""COMPUTED_VALUE"""),2.62)</f>
        <v>2.62</v>
      </c>
      <c r="C2224" s="1">
        <f>IFERROR(__xludf.DUMMYFUNCTION("""COMPUTED_VALUE"""),2.7)</f>
        <v>2.7</v>
      </c>
      <c r="D2224" s="1">
        <f>IFERROR(__xludf.DUMMYFUNCTION("""COMPUTED_VALUE"""),2.58)</f>
        <v>2.58</v>
      </c>
      <c r="E2224" s="1">
        <f>IFERROR(__xludf.DUMMYFUNCTION("""COMPUTED_VALUE"""),2.65)</f>
        <v>2.65</v>
      </c>
      <c r="F2224" s="1">
        <f>IFERROR(__xludf.DUMMYFUNCTION("""COMPUTED_VALUE"""),658063.0)</f>
        <v>658063</v>
      </c>
    </row>
    <row r="2225">
      <c r="A2225" s="2">
        <f>IFERROR(__xludf.DUMMYFUNCTION("""COMPUTED_VALUE"""),42396.66666666667)</f>
        <v>42396.66667</v>
      </c>
      <c r="B2225" s="1">
        <f>IFERROR(__xludf.DUMMYFUNCTION("""COMPUTED_VALUE"""),2.72)</f>
        <v>2.72</v>
      </c>
      <c r="C2225" s="1">
        <f>IFERROR(__xludf.DUMMYFUNCTION("""COMPUTED_VALUE"""),2.8)</f>
        <v>2.8</v>
      </c>
      <c r="D2225" s="1">
        <f>IFERROR(__xludf.DUMMYFUNCTION("""COMPUTED_VALUE"""),2.65)</f>
        <v>2.65</v>
      </c>
      <c r="E2225" s="1">
        <f>IFERROR(__xludf.DUMMYFUNCTION("""COMPUTED_VALUE"""),2.73)</f>
        <v>2.73</v>
      </c>
      <c r="F2225" s="1">
        <f>IFERROR(__xludf.DUMMYFUNCTION("""COMPUTED_VALUE"""),1007029.0)</f>
        <v>1007029</v>
      </c>
    </row>
    <row r="2226">
      <c r="A2226" s="2">
        <f>IFERROR(__xludf.DUMMYFUNCTION("""COMPUTED_VALUE"""),42397.66666666667)</f>
        <v>42397.66667</v>
      </c>
      <c r="B2226" s="1">
        <f>IFERROR(__xludf.DUMMYFUNCTION("""COMPUTED_VALUE"""),2.76)</f>
        <v>2.76</v>
      </c>
      <c r="C2226" s="1">
        <f>IFERROR(__xludf.DUMMYFUNCTION("""COMPUTED_VALUE"""),2.8)</f>
        <v>2.8</v>
      </c>
      <c r="D2226" s="1">
        <f>IFERROR(__xludf.DUMMYFUNCTION("""COMPUTED_VALUE"""),2.64)</f>
        <v>2.64</v>
      </c>
      <c r="E2226" s="1">
        <f>IFERROR(__xludf.DUMMYFUNCTION("""COMPUTED_VALUE"""),2.7)</f>
        <v>2.7</v>
      </c>
      <c r="F2226" s="1">
        <f>IFERROR(__xludf.DUMMYFUNCTION("""COMPUTED_VALUE"""),745975.0)</f>
        <v>745975</v>
      </c>
    </row>
    <row r="2227">
      <c r="A2227" s="2">
        <f>IFERROR(__xludf.DUMMYFUNCTION("""COMPUTED_VALUE"""),42398.66666666667)</f>
        <v>42398.66667</v>
      </c>
      <c r="B2227" s="1">
        <f>IFERROR(__xludf.DUMMYFUNCTION("""COMPUTED_VALUE"""),2.79)</f>
        <v>2.79</v>
      </c>
      <c r="C2227" s="1">
        <f>IFERROR(__xludf.DUMMYFUNCTION("""COMPUTED_VALUE"""),3.16)</f>
        <v>3.16</v>
      </c>
      <c r="D2227" s="1">
        <f>IFERROR(__xludf.DUMMYFUNCTION("""COMPUTED_VALUE"""),2.75)</f>
        <v>2.75</v>
      </c>
      <c r="E2227" s="1">
        <f>IFERROR(__xludf.DUMMYFUNCTION("""COMPUTED_VALUE"""),2.98)</f>
        <v>2.98</v>
      </c>
      <c r="F2227" s="1">
        <f>IFERROR(__xludf.DUMMYFUNCTION("""COMPUTED_VALUE"""),3493917.0)</f>
        <v>3493917</v>
      </c>
    </row>
    <row r="2228">
      <c r="A2228" s="2">
        <f>IFERROR(__xludf.DUMMYFUNCTION("""COMPUTED_VALUE"""),42401.66666666667)</f>
        <v>42401.66667</v>
      </c>
      <c r="B2228" s="1">
        <f>IFERROR(__xludf.DUMMYFUNCTION("""COMPUTED_VALUE"""),2.96)</f>
        <v>2.96</v>
      </c>
      <c r="C2228" s="1">
        <f>IFERROR(__xludf.DUMMYFUNCTION("""COMPUTED_VALUE"""),3.16)</f>
        <v>3.16</v>
      </c>
      <c r="D2228" s="1">
        <f>IFERROR(__xludf.DUMMYFUNCTION("""COMPUTED_VALUE"""),2.91)</f>
        <v>2.91</v>
      </c>
      <c r="E2228" s="1">
        <f>IFERROR(__xludf.DUMMYFUNCTION("""COMPUTED_VALUE"""),3.14)</f>
        <v>3.14</v>
      </c>
      <c r="F2228" s="1">
        <f>IFERROR(__xludf.DUMMYFUNCTION("""COMPUTED_VALUE"""),1419520.0)</f>
        <v>1419520</v>
      </c>
    </row>
    <row r="2229">
      <c r="A2229" s="2">
        <f>IFERROR(__xludf.DUMMYFUNCTION("""COMPUTED_VALUE"""),42402.66666666667)</f>
        <v>42402.66667</v>
      </c>
      <c r="B2229" s="1">
        <f>IFERROR(__xludf.DUMMYFUNCTION("""COMPUTED_VALUE"""),3.07)</f>
        <v>3.07</v>
      </c>
      <c r="C2229" s="1">
        <f>IFERROR(__xludf.DUMMYFUNCTION("""COMPUTED_VALUE"""),3.16)</f>
        <v>3.16</v>
      </c>
      <c r="D2229" s="1">
        <f>IFERROR(__xludf.DUMMYFUNCTION("""COMPUTED_VALUE"""),3.0)</f>
        <v>3</v>
      </c>
      <c r="E2229" s="1">
        <f>IFERROR(__xludf.DUMMYFUNCTION("""COMPUTED_VALUE"""),3.09)</f>
        <v>3.09</v>
      </c>
      <c r="F2229" s="1">
        <f>IFERROR(__xludf.DUMMYFUNCTION("""COMPUTED_VALUE"""),914161.0)</f>
        <v>914161</v>
      </c>
    </row>
    <row r="2230">
      <c r="A2230" s="2">
        <f>IFERROR(__xludf.DUMMYFUNCTION("""COMPUTED_VALUE"""),42403.66666666667)</f>
        <v>42403.66667</v>
      </c>
      <c r="B2230" s="1">
        <f>IFERROR(__xludf.DUMMYFUNCTION("""COMPUTED_VALUE"""),3.1)</f>
        <v>3.1</v>
      </c>
      <c r="C2230" s="1">
        <f>IFERROR(__xludf.DUMMYFUNCTION("""COMPUTED_VALUE"""),3.25)</f>
        <v>3.25</v>
      </c>
      <c r="D2230" s="1">
        <f>IFERROR(__xludf.DUMMYFUNCTION("""COMPUTED_VALUE"""),3.08)</f>
        <v>3.08</v>
      </c>
      <c r="E2230" s="1">
        <f>IFERROR(__xludf.DUMMYFUNCTION("""COMPUTED_VALUE"""),3.21)</f>
        <v>3.21</v>
      </c>
      <c r="F2230" s="1">
        <f>IFERROR(__xludf.DUMMYFUNCTION("""COMPUTED_VALUE"""),818849.0)</f>
        <v>818849</v>
      </c>
    </row>
    <row r="2231">
      <c r="A2231" s="2">
        <f>IFERROR(__xludf.DUMMYFUNCTION("""COMPUTED_VALUE"""),42404.66666666667)</f>
        <v>42404.66667</v>
      </c>
      <c r="B2231" s="1">
        <f>IFERROR(__xludf.DUMMYFUNCTION("""COMPUTED_VALUE"""),3.17)</f>
        <v>3.17</v>
      </c>
      <c r="C2231" s="1">
        <f>IFERROR(__xludf.DUMMYFUNCTION("""COMPUTED_VALUE"""),3.33)</f>
        <v>3.33</v>
      </c>
      <c r="D2231" s="1">
        <f>IFERROR(__xludf.DUMMYFUNCTION("""COMPUTED_VALUE"""),3.17)</f>
        <v>3.17</v>
      </c>
      <c r="E2231" s="1">
        <f>IFERROR(__xludf.DUMMYFUNCTION("""COMPUTED_VALUE"""),3.23)</f>
        <v>3.23</v>
      </c>
      <c r="F2231" s="1">
        <f>IFERROR(__xludf.DUMMYFUNCTION("""COMPUTED_VALUE"""),720032.0)</f>
        <v>720032</v>
      </c>
    </row>
    <row r="2232">
      <c r="A2232" s="2">
        <f>IFERROR(__xludf.DUMMYFUNCTION("""COMPUTED_VALUE"""),42405.66666666667)</f>
        <v>42405.66667</v>
      </c>
      <c r="B2232" s="1">
        <f>IFERROR(__xludf.DUMMYFUNCTION("""COMPUTED_VALUE"""),3.2)</f>
        <v>3.2</v>
      </c>
      <c r="C2232" s="1">
        <f>IFERROR(__xludf.DUMMYFUNCTION("""COMPUTED_VALUE"""),3.29)</f>
        <v>3.29</v>
      </c>
      <c r="D2232" s="1">
        <f>IFERROR(__xludf.DUMMYFUNCTION("""COMPUTED_VALUE"""),3.13)</f>
        <v>3.13</v>
      </c>
      <c r="E2232" s="1">
        <f>IFERROR(__xludf.DUMMYFUNCTION("""COMPUTED_VALUE"""),3.2)</f>
        <v>3.2</v>
      </c>
      <c r="F2232" s="1">
        <f>IFERROR(__xludf.DUMMYFUNCTION("""COMPUTED_VALUE"""),781558.0)</f>
        <v>781558</v>
      </c>
    </row>
    <row r="2233">
      <c r="A2233" s="2">
        <f>IFERROR(__xludf.DUMMYFUNCTION("""COMPUTED_VALUE"""),42408.66666666667)</f>
        <v>42408.66667</v>
      </c>
      <c r="B2233" s="1">
        <f>IFERROR(__xludf.DUMMYFUNCTION("""COMPUTED_VALUE"""),3.17)</f>
        <v>3.17</v>
      </c>
      <c r="C2233" s="1">
        <f>IFERROR(__xludf.DUMMYFUNCTION("""COMPUTED_VALUE"""),3.21)</f>
        <v>3.21</v>
      </c>
      <c r="D2233" s="1">
        <f>IFERROR(__xludf.DUMMYFUNCTION("""COMPUTED_VALUE"""),3.11)</f>
        <v>3.11</v>
      </c>
      <c r="E2233" s="1">
        <f>IFERROR(__xludf.DUMMYFUNCTION("""COMPUTED_VALUE"""),3.17)</f>
        <v>3.17</v>
      </c>
      <c r="F2233" s="1">
        <f>IFERROR(__xludf.DUMMYFUNCTION("""COMPUTED_VALUE"""),724732.0)</f>
        <v>724732</v>
      </c>
    </row>
    <row r="2234">
      <c r="A2234" s="2">
        <f>IFERROR(__xludf.DUMMYFUNCTION("""COMPUTED_VALUE"""),42409.66666666667)</f>
        <v>42409.66667</v>
      </c>
      <c r="B2234" s="1">
        <f>IFERROR(__xludf.DUMMYFUNCTION("""COMPUTED_VALUE"""),3.13)</f>
        <v>3.13</v>
      </c>
      <c r="C2234" s="1">
        <f>IFERROR(__xludf.DUMMYFUNCTION("""COMPUTED_VALUE"""),3.19)</f>
        <v>3.19</v>
      </c>
      <c r="D2234" s="1">
        <f>IFERROR(__xludf.DUMMYFUNCTION("""COMPUTED_VALUE"""),3.04)</f>
        <v>3.04</v>
      </c>
      <c r="E2234" s="1">
        <f>IFERROR(__xludf.DUMMYFUNCTION("""COMPUTED_VALUE"""),3.08)</f>
        <v>3.08</v>
      </c>
      <c r="F2234" s="1">
        <f>IFERROR(__xludf.DUMMYFUNCTION("""COMPUTED_VALUE"""),627622.0)</f>
        <v>627622</v>
      </c>
    </row>
    <row r="2235">
      <c r="A2235" s="2">
        <f>IFERROR(__xludf.DUMMYFUNCTION("""COMPUTED_VALUE"""),42410.66666666667)</f>
        <v>42410.66667</v>
      </c>
      <c r="B2235" s="1">
        <f>IFERROR(__xludf.DUMMYFUNCTION("""COMPUTED_VALUE"""),3.11)</f>
        <v>3.11</v>
      </c>
      <c r="C2235" s="1">
        <f>IFERROR(__xludf.DUMMYFUNCTION("""COMPUTED_VALUE"""),3.14)</f>
        <v>3.14</v>
      </c>
      <c r="D2235" s="1">
        <f>IFERROR(__xludf.DUMMYFUNCTION("""COMPUTED_VALUE"""),2.97)</f>
        <v>2.97</v>
      </c>
      <c r="E2235" s="1">
        <f>IFERROR(__xludf.DUMMYFUNCTION("""COMPUTED_VALUE"""),3.0)</f>
        <v>3</v>
      </c>
      <c r="F2235" s="1">
        <f>IFERROR(__xludf.DUMMYFUNCTION("""COMPUTED_VALUE"""),836484.0)</f>
        <v>836484</v>
      </c>
    </row>
    <row r="2236">
      <c r="A2236" s="2">
        <f>IFERROR(__xludf.DUMMYFUNCTION("""COMPUTED_VALUE"""),42411.66666666667)</f>
        <v>42411.66667</v>
      </c>
      <c r="B2236" s="1">
        <f>IFERROR(__xludf.DUMMYFUNCTION("""COMPUTED_VALUE"""),2.97)</f>
        <v>2.97</v>
      </c>
      <c r="C2236" s="1">
        <f>IFERROR(__xludf.DUMMYFUNCTION("""COMPUTED_VALUE"""),3.04)</f>
        <v>3.04</v>
      </c>
      <c r="D2236" s="1">
        <f>IFERROR(__xludf.DUMMYFUNCTION("""COMPUTED_VALUE"""),2.94)</f>
        <v>2.94</v>
      </c>
      <c r="E2236" s="1">
        <f>IFERROR(__xludf.DUMMYFUNCTION("""COMPUTED_VALUE"""),2.97)</f>
        <v>2.97</v>
      </c>
      <c r="F2236" s="1">
        <f>IFERROR(__xludf.DUMMYFUNCTION("""COMPUTED_VALUE"""),543949.0)</f>
        <v>543949</v>
      </c>
    </row>
    <row r="2237">
      <c r="A2237" s="2">
        <f>IFERROR(__xludf.DUMMYFUNCTION("""COMPUTED_VALUE"""),42412.66666666667)</f>
        <v>42412.66667</v>
      </c>
      <c r="B2237" s="1">
        <f>IFERROR(__xludf.DUMMYFUNCTION("""COMPUTED_VALUE"""),2.99)</f>
        <v>2.99</v>
      </c>
      <c r="C2237" s="1">
        <f>IFERROR(__xludf.DUMMYFUNCTION("""COMPUTED_VALUE"""),3.07)</f>
        <v>3.07</v>
      </c>
      <c r="D2237" s="1">
        <f>IFERROR(__xludf.DUMMYFUNCTION("""COMPUTED_VALUE"""),2.93)</f>
        <v>2.93</v>
      </c>
      <c r="E2237" s="1">
        <f>IFERROR(__xludf.DUMMYFUNCTION("""COMPUTED_VALUE"""),2.99)</f>
        <v>2.99</v>
      </c>
      <c r="F2237" s="1">
        <f>IFERROR(__xludf.DUMMYFUNCTION("""COMPUTED_VALUE"""),301118.0)</f>
        <v>301118</v>
      </c>
    </row>
    <row r="2238">
      <c r="A2238" s="2">
        <f>IFERROR(__xludf.DUMMYFUNCTION("""COMPUTED_VALUE"""),42416.66666666667)</f>
        <v>42416.66667</v>
      </c>
      <c r="B2238" s="1">
        <f>IFERROR(__xludf.DUMMYFUNCTION("""COMPUTED_VALUE"""),3.02)</f>
        <v>3.02</v>
      </c>
      <c r="C2238" s="1">
        <f>IFERROR(__xludf.DUMMYFUNCTION("""COMPUTED_VALUE"""),3.15)</f>
        <v>3.15</v>
      </c>
      <c r="D2238" s="1">
        <f>IFERROR(__xludf.DUMMYFUNCTION("""COMPUTED_VALUE"""),3.02)</f>
        <v>3.02</v>
      </c>
      <c r="E2238" s="1">
        <f>IFERROR(__xludf.DUMMYFUNCTION("""COMPUTED_VALUE"""),3.12)</f>
        <v>3.12</v>
      </c>
      <c r="F2238" s="1">
        <f>IFERROR(__xludf.DUMMYFUNCTION("""COMPUTED_VALUE"""),1048295.0)</f>
        <v>1048295</v>
      </c>
    </row>
    <row r="2239">
      <c r="A2239" s="2">
        <f>IFERROR(__xludf.DUMMYFUNCTION("""COMPUTED_VALUE"""),42417.66666666667)</f>
        <v>42417.66667</v>
      </c>
      <c r="B2239" s="1">
        <f>IFERROR(__xludf.DUMMYFUNCTION("""COMPUTED_VALUE"""),3.15)</f>
        <v>3.15</v>
      </c>
      <c r="C2239" s="1">
        <f>IFERROR(__xludf.DUMMYFUNCTION("""COMPUTED_VALUE"""),3.27)</f>
        <v>3.27</v>
      </c>
      <c r="D2239" s="1">
        <f>IFERROR(__xludf.DUMMYFUNCTION("""COMPUTED_VALUE"""),3.12)</f>
        <v>3.12</v>
      </c>
      <c r="E2239" s="1">
        <f>IFERROR(__xludf.DUMMYFUNCTION("""COMPUTED_VALUE"""),3.22)</f>
        <v>3.22</v>
      </c>
      <c r="F2239" s="1">
        <f>IFERROR(__xludf.DUMMYFUNCTION("""COMPUTED_VALUE"""),624433.0)</f>
        <v>624433</v>
      </c>
    </row>
    <row r="2240">
      <c r="A2240" s="2">
        <f>IFERROR(__xludf.DUMMYFUNCTION("""COMPUTED_VALUE"""),42418.66666666667)</f>
        <v>42418.66667</v>
      </c>
      <c r="B2240" s="1">
        <f>IFERROR(__xludf.DUMMYFUNCTION("""COMPUTED_VALUE"""),3.23)</f>
        <v>3.23</v>
      </c>
      <c r="C2240" s="1">
        <f>IFERROR(__xludf.DUMMYFUNCTION("""COMPUTED_VALUE"""),3.29)</f>
        <v>3.29</v>
      </c>
      <c r="D2240" s="1">
        <f>IFERROR(__xludf.DUMMYFUNCTION("""COMPUTED_VALUE"""),3.21)</f>
        <v>3.21</v>
      </c>
      <c r="E2240" s="1">
        <f>IFERROR(__xludf.DUMMYFUNCTION("""COMPUTED_VALUE"""),3.25)</f>
        <v>3.25</v>
      </c>
      <c r="F2240" s="1">
        <f>IFERROR(__xludf.DUMMYFUNCTION("""COMPUTED_VALUE"""),455215.0)</f>
        <v>455215</v>
      </c>
    </row>
    <row r="2241">
      <c r="A2241" s="2">
        <f>IFERROR(__xludf.DUMMYFUNCTION("""COMPUTED_VALUE"""),42419.66666666667)</f>
        <v>42419.66667</v>
      </c>
      <c r="B2241" s="1">
        <f>IFERROR(__xludf.DUMMYFUNCTION("""COMPUTED_VALUE"""),3.24)</f>
        <v>3.24</v>
      </c>
      <c r="C2241" s="1">
        <f>IFERROR(__xludf.DUMMYFUNCTION("""COMPUTED_VALUE"""),3.25)</f>
        <v>3.25</v>
      </c>
      <c r="D2241" s="1">
        <f>IFERROR(__xludf.DUMMYFUNCTION("""COMPUTED_VALUE"""),3.16)</f>
        <v>3.16</v>
      </c>
      <c r="E2241" s="1">
        <f>IFERROR(__xludf.DUMMYFUNCTION("""COMPUTED_VALUE"""),3.19)</f>
        <v>3.19</v>
      </c>
      <c r="F2241" s="1">
        <f>IFERROR(__xludf.DUMMYFUNCTION("""COMPUTED_VALUE"""),296690.0)</f>
        <v>296690</v>
      </c>
    </row>
    <row r="2242">
      <c r="A2242" s="2">
        <f>IFERROR(__xludf.DUMMYFUNCTION("""COMPUTED_VALUE"""),42422.66666666667)</f>
        <v>42422.66667</v>
      </c>
      <c r="B2242" s="1">
        <f>IFERROR(__xludf.DUMMYFUNCTION("""COMPUTED_VALUE"""),3.24)</f>
        <v>3.24</v>
      </c>
      <c r="C2242" s="1">
        <f>IFERROR(__xludf.DUMMYFUNCTION("""COMPUTED_VALUE"""),3.3)</f>
        <v>3.3</v>
      </c>
      <c r="D2242" s="1">
        <f>IFERROR(__xludf.DUMMYFUNCTION("""COMPUTED_VALUE"""),3.17)</f>
        <v>3.17</v>
      </c>
      <c r="E2242" s="1">
        <f>IFERROR(__xludf.DUMMYFUNCTION("""COMPUTED_VALUE"""),3.23)</f>
        <v>3.23</v>
      </c>
      <c r="F2242" s="1">
        <f>IFERROR(__xludf.DUMMYFUNCTION("""COMPUTED_VALUE"""),515747.0)</f>
        <v>515747</v>
      </c>
    </row>
    <row r="2243">
      <c r="A2243" s="2">
        <f>IFERROR(__xludf.DUMMYFUNCTION("""COMPUTED_VALUE"""),42423.66666666667)</f>
        <v>42423.66667</v>
      </c>
      <c r="B2243" s="1">
        <f>IFERROR(__xludf.DUMMYFUNCTION("""COMPUTED_VALUE"""),3.23)</f>
        <v>3.23</v>
      </c>
      <c r="C2243" s="1">
        <f>IFERROR(__xludf.DUMMYFUNCTION("""COMPUTED_VALUE"""),3.23)</f>
        <v>3.23</v>
      </c>
      <c r="D2243" s="1">
        <f>IFERROR(__xludf.DUMMYFUNCTION("""COMPUTED_VALUE"""),3.17)</f>
        <v>3.17</v>
      </c>
      <c r="E2243" s="1">
        <f>IFERROR(__xludf.DUMMYFUNCTION("""COMPUTED_VALUE"""),3.18)</f>
        <v>3.18</v>
      </c>
      <c r="F2243" s="1">
        <f>IFERROR(__xludf.DUMMYFUNCTION("""COMPUTED_VALUE"""),308613.0)</f>
        <v>308613</v>
      </c>
    </row>
    <row r="2244">
      <c r="A2244" s="2">
        <f>IFERROR(__xludf.DUMMYFUNCTION("""COMPUTED_VALUE"""),42424.66666666667)</f>
        <v>42424.66667</v>
      </c>
      <c r="B2244" s="1">
        <f>IFERROR(__xludf.DUMMYFUNCTION("""COMPUTED_VALUE"""),3.16)</f>
        <v>3.16</v>
      </c>
      <c r="C2244" s="1">
        <f>IFERROR(__xludf.DUMMYFUNCTION("""COMPUTED_VALUE"""),3.24)</f>
        <v>3.24</v>
      </c>
      <c r="D2244" s="1">
        <f>IFERROR(__xludf.DUMMYFUNCTION("""COMPUTED_VALUE"""),3.09)</f>
        <v>3.09</v>
      </c>
      <c r="E2244" s="1">
        <f>IFERROR(__xludf.DUMMYFUNCTION("""COMPUTED_VALUE"""),3.24)</f>
        <v>3.24</v>
      </c>
      <c r="F2244" s="1">
        <f>IFERROR(__xludf.DUMMYFUNCTION("""COMPUTED_VALUE"""),347474.0)</f>
        <v>347474</v>
      </c>
    </row>
    <row r="2245">
      <c r="A2245" s="2">
        <f>IFERROR(__xludf.DUMMYFUNCTION("""COMPUTED_VALUE"""),42425.66666666667)</f>
        <v>42425.66667</v>
      </c>
      <c r="B2245" s="1">
        <f>IFERROR(__xludf.DUMMYFUNCTION("""COMPUTED_VALUE"""),3.23)</f>
        <v>3.23</v>
      </c>
      <c r="C2245" s="1">
        <f>IFERROR(__xludf.DUMMYFUNCTION("""COMPUTED_VALUE"""),3.24)</f>
        <v>3.24</v>
      </c>
      <c r="D2245" s="1">
        <f>IFERROR(__xludf.DUMMYFUNCTION("""COMPUTED_VALUE"""),3.17)</f>
        <v>3.17</v>
      </c>
      <c r="E2245" s="1">
        <f>IFERROR(__xludf.DUMMYFUNCTION("""COMPUTED_VALUE"""),3.22)</f>
        <v>3.22</v>
      </c>
      <c r="F2245" s="1">
        <f>IFERROR(__xludf.DUMMYFUNCTION("""COMPUTED_VALUE"""),279371.0)</f>
        <v>279371</v>
      </c>
    </row>
    <row r="2246">
      <c r="A2246" s="2">
        <f>IFERROR(__xludf.DUMMYFUNCTION("""COMPUTED_VALUE"""),42426.66666666667)</f>
        <v>42426.66667</v>
      </c>
      <c r="B2246" s="1">
        <f>IFERROR(__xludf.DUMMYFUNCTION("""COMPUTED_VALUE"""),3.24)</f>
        <v>3.24</v>
      </c>
      <c r="C2246" s="1">
        <f>IFERROR(__xludf.DUMMYFUNCTION("""COMPUTED_VALUE"""),3.27)</f>
        <v>3.27</v>
      </c>
      <c r="D2246" s="1">
        <f>IFERROR(__xludf.DUMMYFUNCTION("""COMPUTED_VALUE"""),3.07)</f>
        <v>3.07</v>
      </c>
      <c r="E2246" s="1">
        <f>IFERROR(__xludf.DUMMYFUNCTION("""COMPUTED_VALUE"""),3.21)</f>
        <v>3.21</v>
      </c>
      <c r="F2246" s="1">
        <f>IFERROR(__xludf.DUMMYFUNCTION("""COMPUTED_VALUE"""),532273.0)</f>
        <v>532273</v>
      </c>
    </row>
    <row r="2247">
      <c r="A2247" s="2">
        <f>IFERROR(__xludf.DUMMYFUNCTION("""COMPUTED_VALUE"""),42429.66666666667)</f>
        <v>42429.66667</v>
      </c>
      <c r="B2247" s="1">
        <f>IFERROR(__xludf.DUMMYFUNCTION("""COMPUTED_VALUE"""),3.19)</f>
        <v>3.19</v>
      </c>
      <c r="C2247" s="1">
        <f>IFERROR(__xludf.DUMMYFUNCTION("""COMPUTED_VALUE"""),3.28)</f>
        <v>3.28</v>
      </c>
      <c r="D2247" s="1">
        <f>IFERROR(__xludf.DUMMYFUNCTION("""COMPUTED_VALUE"""),3.17)</f>
        <v>3.17</v>
      </c>
      <c r="E2247" s="1">
        <f>IFERROR(__xludf.DUMMYFUNCTION("""COMPUTED_VALUE"""),3.25)</f>
        <v>3.25</v>
      </c>
      <c r="F2247" s="1">
        <f>IFERROR(__xludf.DUMMYFUNCTION("""COMPUTED_VALUE"""),783255.0)</f>
        <v>783255</v>
      </c>
    </row>
    <row r="2248">
      <c r="A2248" s="2">
        <f>IFERROR(__xludf.DUMMYFUNCTION("""COMPUTED_VALUE"""),42430.66666666667)</f>
        <v>42430.66667</v>
      </c>
      <c r="B2248" s="1">
        <f>IFERROR(__xludf.DUMMYFUNCTION("""COMPUTED_VALUE"""),3.27)</f>
        <v>3.27</v>
      </c>
      <c r="C2248" s="1">
        <f>IFERROR(__xludf.DUMMYFUNCTION("""COMPUTED_VALUE"""),3.33)</f>
        <v>3.33</v>
      </c>
      <c r="D2248" s="1">
        <f>IFERROR(__xludf.DUMMYFUNCTION("""COMPUTED_VALUE"""),3.22)</f>
        <v>3.22</v>
      </c>
      <c r="E2248" s="1">
        <f>IFERROR(__xludf.DUMMYFUNCTION("""COMPUTED_VALUE"""),3.32)</f>
        <v>3.32</v>
      </c>
      <c r="F2248" s="1">
        <f>IFERROR(__xludf.DUMMYFUNCTION("""COMPUTED_VALUE"""),496634.0)</f>
        <v>496634</v>
      </c>
    </row>
    <row r="2249">
      <c r="A2249" s="2">
        <f>IFERROR(__xludf.DUMMYFUNCTION("""COMPUTED_VALUE"""),42431.66666666667)</f>
        <v>42431.66667</v>
      </c>
      <c r="B2249" s="1">
        <f>IFERROR(__xludf.DUMMYFUNCTION("""COMPUTED_VALUE"""),3.31)</f>
        <v>3.31</v>
      </c>
      <c r="C2249" s="1">
        <f>IFERROR(__xludf.DUMMYFUNCTION("""COMPUTED_VALUE"""),3.32)</f>
        <v>3.32</v>
      </c>
      <c r="D2249" s="1">
        <f>IFERROR(__xludf.DUMMYFUNCTION("""COMPUTED_VALUE"""),3.28)</f>
        <v>3.28</v>
      </c>
      <c r="E2249" s="1">
        <f>IFERROR(__xludf.DUMMYFUNCTION("""COMPUTED_VALUE"""),3.32)</f>
        <v>3.32</v>
      </c>
      <c r="F2249" s="1">
        <f>IFERROR(__xludf.DUMMYFUNCTION("""COMPUTED_VALUE"""),391138.0)</f>
        <v>391138</v>
      </c>
    </row>
    <row r="2250">
      <c r="A2250" s="2">
        <f>IFERROR(__xludf.DUMMYFUNCTION("""COMPUTED_VALUE"""),42432.66666666667)</f>
        <v>42432.66667</v>
      </c>
      <c r="B2250" s="1">
        <f>IFERROR(__xludf.DUMMYFUNCTION("""COMPUTED_VALUE"""),3.31)</f>
        <v>3.31</v>
      </c>
      <c r="C2250" s="1">
        <f>IFERROR(__xludf.DUMMYFUNCTION("""COMPUTED_VALUE"""),3.38)</f>
        <v>3.38</v>
      </c>
      <c r="D2250" s="1">
        <f>IFERROR(__xludf.DUMMYFUNCTION("""COMPUTED_VALUE"""),3.29)</f>
        <v>3.29</v>
      </c>
      <c r="E2250" s="1">
        <f>IFERROR(__xludf.DUMMYFUNCTION("""COMPUTED_VALUE"""),3.36)</f>
        <v>3.36</v>
      </c>
      <c r="F2250" s="1">
        <f>IFERROR(__xludf.DUMMYFUNCTION("""COMPUTED_VALUE"""),465470.0)</f>
        <v>465470</v>
      </c>
    </row>
    <row r="2251">
      <c r="A2251" s="2">
        <f>IFERROR(__xludf.DUMMYFUNCTION("""COMPUTED_VALUE"""),42433.66666666667)</f>
        <v>42433.66667</v>
      </c>
      <c r="B2251" s="1">
        <f>IFERROR(__xludf.DUMMYFUNCTION("""COMPUTED_VALUE"""),3.36)</f>
        <v>3.36</v>
      </c>
      <c r="C2251" s="1">
        <f>IFERROR(__xludf.DUMMYFUNCTION("""COMPUTED_VALUE"""),3.37)</f>
        <v>3.37</v>
      </c>
      <c r="D2251" s="1">
        <f>IFERROR(__xludf.DUMMYFUNCTION("""COMPUTED_VALUE"""),3.24)</f>
        <v>3.24</v>
      </c>
      <c r="E2251" s="1">
        <f>IFERROR(__xludf.DUMMYFUNCTION("""COMPUTED_VALUE"""),3.26)</f>
        <v>3.26</v>
      </c>
      <c r="F2251" s="1">
        <f>IFERROR(__xludf.DUMMYFUNCTION("""COMPUTED_VALUE"""),447761.0)</f>
        <v>447761</v>
      </c>
    </row>
    <row r="2252">
      <c r="A2252" s="2">
        <f>IFERROR(__xludf.DUMMYFUNCTION("""COMPUTED_VALUE"""),42436.66666666667)</f>
        <v>42436.66667</v>
      </c>
      <c r="B2252" s="1">
        <f>IFERROR(__xludf.DUMMYFUNCTION("""COMPUTED_VALUE"""),3.25)</f>
        <v>3.25</v>
      </c>
      <c r="C2252" s="1">
        <f>IFERROR(__xludf.DUMMYFUNCTION("""COMPUTED_VALUE"""),3.32)</f>
        <v>3.32</v>
      </c>
      <c r="D2252" s="1">
        <f>IFERROR(__xludf.DUMMYFUNCTION("""COMPUTED_VALUE"""),3.21)</f>
        <v>3.21</v>
      </c>
      <c r="E2252" s="1">
        <f>IFERROR(__xludf.DUMMYFUNCTION("""COMPUTED_VALUE"""),3.28)</f>
        <v>3.28</v>
      </c>
      <c r="F2252" s="1">
        <f>IFERROR(__xludf.DUMMYFUNCTION("""COMPUTED_VALUE"""),349190.0)</f>
        <v>349190</v>
      </c>
    </row>
    <row r="2253">
      <c r="A2253" s="2">
        <f>IFERROR(__xludf.DUMMYFUNCTION("""COMPUTED_VALUE"""),42437.66666666667)</f>
        <v>42437.66667</v>
      </c>
      <c r="B2253" s="1">
        <f>IFERROR(__xludf.DUMMYFUNCTION("""COMPUTED_VALUE"""),3.25)</f>
        <v>3.25</v>
      </c>
      <c r="C2253" s="1">
        <f>IFERROR(__xludf.DUMMYFUNCTION("""COMPUTED_VALUE"""),3.25)</f>
        <v>3.25</v>
      </c>
      <c r="D2253" s="1">
        <f>IFERROR(__xludf.DUMMYFUNCTION("""COMPUTED_VALUE"""),3.06)</f>
        <v>3.06</v>
      </c>
      <c r="E2253" s="1">
        <f>IFERROR(__xludf.DUMMYFUNCTION("""COMPUTED_VALUE"""),3.14)</f>
        <v>3.14</v>
      </c>
      <c r="F2253" s="1">
        <f>IFERROR(__xludf.DUMMYFUNCTION("""COMPUTED_VALUE"""),447585.0)</f>
        <v>447585</v>
      </c>
    </row>
    <row r="2254">
      <c r="A2254" s="2">
        <f>IFERROR(__xludf.DUMMYFUNCTION("""COMPUTED_VALUE"""),42438.66666666667)</f>
        <v>42438.66667</v>
      </c>
      <c r="B2254" s="1">
        <f>IFERROR(__xludf.DUMMYFUNCTION("""COMPUTED_VALUE"""),3.15)</f>
        <v>3.15</v>
      </c>
      <c r="C2254" s="1">
        <f>IFERROR(__xludf.DUMMYFUNCTION("""COMPUTED_VALUE"""),3.21)</f>
        <v>3.21</v>
      </c>
      <c r="D2254" s="1">
        <f>IFERROR(__xludf.DUMMYFUNCTION("""COMPUTED_VALUE"""),3.14)</f>
        <v>3.14</v>
      </c>
      <c r="E2254" s="1">
        <f>IFERROR(__xludf.DUMMYFUNCTION("""COMPUTED_VALUE"""),3.16)</f>
        <v>3.16</v>
      </c>
      <c r="F2254" s="1">
        <f>IFERROR(__xludf.DUMMYFUNCTION("""COMPUTED_VALUE"""),365946.0)</f>
        <v>365946</v>
      </c>
    </row>
    <row r="2255">
      <c r="A2255" s="2">
        <f>IFERROR(__xludf.DUMMYFUNCTION("""COMPUTED_VALUE"""),42439.66666666667)</f>
        <v>42439.66667</v>
      </c>
      <c r="B2255" s="1">
        <f>IFERROR(__xludf.DUMMYFUNCTION("""COMPUTED_VALUE"""),3.16)</f>
        <v>3.16</v>
      </c>
      <c r="C2255" s="1">
        <f>IFERROR(__xludf.DUMMYFUNCTION("""COMPUTED_VALUE"""),3.23)</f>
        <v>3.23</v>
      </c>
      <c r="D2255" s="1">
        <f>IFERROR(__xludf.DUMMYFUNCTION("""COMPUTED_VALUE"""),3.09)</f>
        <v>3.09</v>
      </c>
      <c r="E2255" s="1">
        <f>IFERROR(__xludf.DUMMYFUNCTION("""COMPUTED_VALUE"""),3.17)</f>
        <v>3.17</v>
      </c>
      <c r="F2255" s="1">
        <f>IFERROR(__xludf.DUMMYFUNCTION("""COMPUTED_VALUE"""),338241.0)</f>
        <v>338241</v>
      </c>
    </row>
    <row r="2256">
      <c r="A2256" s="2">
        <f>IFERROR(__xludf.DUMMYFUNCTION("""COMPUTED_VALUE"""),42440.66666666667)</f>
        <v>42440.66667</v>
      </c>
      <c r="B2256" s="1">
        <f>IFERROR(__xludf.DUMMYFUNCTION("""COMPUTED_VALUE"""),3.23)</f>
        <v>3.23</v>
      </c>
      <c r="C2256" s="1">
        <f>IFERROR(__xludf.DUMMYFUNCTION("""COMPUTED_VALUE"""),3.25)</f>
        <v>3.25</v>
      </c>
      <c r="D2256" s="1">
        <f>IFERROR(__xludf.DUMMYFUNCTION("""COMPUTED_VALUE"""),3.11)</f>
        <v>3.11</v>
      </c>
      <c r="E2256" s="1">
        <f>IFERROR(__xludf.DUMMYFUNCTION("""COMPUTED_VALUE"""),3.22)</f>
        <v>3.22</v>
      </c>
      <c r="F2256" s="1">
        <f>IFERROR(__xludf.DUMMYFUNCTION("""COMPUTED_VALUE"""),202676.0)</f>
        <v>202676</v>
      </c>
    </row>
    <row r="2257">
      <c r="A2257" s="2">
        <f>IFERROR(__xludf.DUMMYFUNCTION("""COMPUTED_VALUE"""),42443.66666666667)</f>
        <v>42443.66667</v>
      </c>
      <c r="B2257" s="1">
        <f>IFERROR(__xludf.DUMMYFUNCTION("""COMPUTED_VALUE"""),3.2)</f>
        <v>3.2</v>
      </c>
      <c r="C2257" s="1">
        <f>IFERROR(__xludf.DUMMYFUNCTION("""COMPUTED_VALUE"""),3.25)</f>
        <v>3.25</v>
      </c>
      <c r="D2257" s="1">
        <f>IFERROR(__xludf.DUMMYFUNCTION("""COMPUTED_VALUE"""),3.19)</f>
        <v>3.19</v>
      </c>
      <c r="E2257" s="1">
        <f>IFERROR(__xludf.DUMMYFUNCTION("""COMPUTED_VALUE"""),3.23)</f>
        <v>3.23</v>
      </c>
      <c r="F2257" s="1">
        <f>IFERROR(__xludf.DUMMYFUNCTION("""COMPUTED_VALUE"""),227071.0)</f>
        <v>227071</v>
      </c>
    </row>
    <row r="2258">
      <c r="A2258" s="2">
        <f>IFERROR(__xludf.DUMMYFUNCTION("""COMPUTED_VALUE"""),42444.66666666667)</f>
        <v>42444.66667</v>
      </c>
      <c r="B2258" s="1">
        <f>IFERROR(__xludf.DUMMYFUNCTION("""COMPUTED_VALUE"""),3.22)</f>
        <v>3.22</v>
      </c>
      <c r="C2258" s="1">
        <f>IFERROR(__xludf.DUMMYFUNCTION("""COMPUTED_VALUE"""),3.22)</f>
        <v>3.22</v>
      </c>
      <c r="D2258" s="1">
        <f>IFERROR(__xludf.DUMMYFUNCTION("""COMPUTED_VALUE"""),3.15)</f>
        <v>3.15</v>
      </c>
      <c r="E2258" s="1">
        <f>IFERROR(__xludf.DUMMYFUNCTION("""COMPUTED_VALUE"""),3.17)</f>
        <v>3.17</v>
      </c>
      <c r="F2258" s="1">
        <f>IFERROR(__xludf.DUMMYFUNCTION("""COMPUTED_VALUE"""),294628.0)</f>
        <v>294628</v>
      </c>
    </row>
    <row r="2259">
      <c r="A2259" s="2">
        <f>IFERROR(__xludf.DUMMYFUNCTION("""COMPUTED_VALUE"""),42445.66666666667)</f>
        <v>42445.66667</v>
      </c>
      <c r="B2259" s="1">
        <f>IFERROR(__xludf.DUMMYFUNCTION("""COMPUTED_VALUE"""),3.16)</f>
        <v>3.16</v>
      </c>
      <c r="C2259" s="1">
        <f>IFERROR(__xludf.DUMMYFUNCTION("""COMPUTED_VALUE"""),3.27)</f>
        <v>3.27</v>
      </c>
      <c r="D2259" s="1">
        <f>IFERROR(__xludf.DUMMYFUNCTION("""COMPUTED_VALUE"""),3.16)</f>
        <v>3.16</v>
      </c>
      <c r="E2259" s="1">
        <f>IFERROR(__xludf.DUMMYFUNCTION("""COMPUTED_VALUE"""),3.24)</f>
        <v>3.24</v>
      </c>
      <c r="F2259" s="1">
        <f>IFERROR(__xludf.DUMMYFUNCTION("""COMPUTED_VALUE"""),261231.0)</f>
        <v>261231</v>
      </c>
    </row>
    <row r="2260">
      <c r="A2260" s="2">
        <f>IFERROR(__xludf.DUMMYFUNCTION("""COMPUTED_VALUE"""),42446.66666666667)</f>
        <v>42446.66667</v>
      </c>
      <c r="B2260" s="1">
        <f>IFERROR(__xludf.DUMMYFUNCTION("""COMPUTED_VALUE"""),3.24)</f>
        <v>3.24</v>
      </c>
      <c r="C2260" s="1">
        <f>IFERROR(__xludf.DUMMYFUNCTION("""COMPUTED_VALUE"""),3.32)</f>
        <v>3.32</v>
      </c>
      <c r="D2260" s="1">
        <f>IFERROR(__xludf.DUMMYFUNCTION("""COMPUTED_VALUE"""),3.22)</f>
        <v>3.22</v>
      </c>
      <c r="E2260" s="1">
        <f>IFERROR(__xludf.DUMMYFUNCTION("""COMPUTED_VALUE"""),3.31)</f>
        <v>3.31</v>
      </c>
      <c r="F2260" s="1">
        <f>IFERROR(__xludf.DUMMYFUNCTION("""COMPUTED_VALUE"""),323732.0)</f>
        <v>323732</v>
      </c>
    </row>
    <row r="2261">
      <c r="A2261" s="2">
        <f>IFERROR(__xludf.DUMMYFUNCTION("""COMPUTED_VALUE"""),42447.66666666667)</f>
        <v>42447.66667</v>
      </c>
      <c r="B2261" s="1">
        <f>IFERROR(__xludf.DUMMYFUNCTION("""COMPUTED_VALUE"""),3.32)</f>
        <v>3.32</v>
      </c>
      <c r="C2261" s="1">
        <f>IFERROR(__xludf.DUMMYFUNCTION("""COMPUTED_VALUE"""),3.35)</f>
        <v>3.35</v>
      </c>
      <c r="D2261" s="1">
        <f>IFERROR(__xludf.DUMMYFUNCTION("""COMPUTED_VALUE"""),3.28)</f>
        <v>3.28</v>
      </c>
      <c r="E2261" s="1">
        <f>IFERROR(__xludf.DUMMYFUNCTION("""COMPUTED_VALUE"""),3.29)</f>
        <v>3.29</v>
      </c>
      <c r="F2261" s="1">
        <f>IFERROR(__xludf.DUMMYFUNCTION("""COMPUTED_VALUE"""),311189.0)</f>
        <v>311189</v>
      </c>
    </row>
    <row r="2262">
      <c r="A2262" s="2">
        <f>IFERROR(__xludf.DUMMYFUNCTION("""COMPUTED_VALUE"""),42450.66666666667)</f>
        <v>42450.66667</v>
      </c>
      <c r="B2262" s="1">
        <f>IFERROR(__xludf.DUMMYFUNCTION("""COMPUTED_VALUE"""),3.29)</f>
        <v>3.29</v>
      </c>
      <c r="C2262" s="1">
        <f>IFERROR(__xludf.DUMMYFUNCTION("""COMPUTED_VALUE"""),3.3)</f>
        <v>3.3</v>
      </c>
      <c r="D2262" s="1">
        <f>IFERROR(__xludf.DUMMYFUNCTION("""COMPUTED_VALUE"""),3.22)</f>
        <v>3.22</v>
      </c>
      <c r="E2262" s="1">
        <f>IFERROR(__xludf.DUMMYFUNCTION("""COMPUTED_VALUE"""),3.3)</f>
        <v>3.3</v>
      </c>
      <c r="F2262" s="1">
        <f>IFERROR(__xludf.DUMMYFUNCTION("""COMPUTED_VALUE"""),327525.0)</f>
        <v>327525</v>
      </c>
    </row>
    <row r="2263">
      <c r="A2263" s="2">
        <f>IFERROR(__xludf.DUMMYFUNCTION("""COMPUTED_VALUE"""),42451.66666666667)</f>
        <v>42451.66667</v>
      </c>
      <c r="B2263" s="1">
        <f>IFERROR(__xludf.DUMMYFUNCTION("""COMPUTED_VALUE"""),3.27)</f>
        <v>3.27</v>
      </c>
      <c r="C2263" s="1">
        <f>IFERROR(__xludf.DUMMYFUNCTION("""COMPUTED_VALUE"""),3.33)</f>
        <v>3.33</v>
      </c>
      <c r="D2263" s="1">
        <f>IFERROR(__xludf.DUMMYFUNCTION("""COMPUTED_VALUE"""),3.27)</f>
        <v>3.27</v>
      </c>
      <c r="E2263" s="1">
        <f>IFERROR(__xludf.DUMMYFUNCTION("""COMPUTED_VALUE"""),3.3)</f>
        <v>3.3</v>
      </c>
      <c r="F2263" s="1">
        <f>IFERROR(__xludf.DUMMYFUNCTION("""COMPUTED_VALUE"""),225450.0)</f>
        <v>225450</v>
      </c>
    </row>
    <row r="2264">
      <c r="A2264" s="2">
        <f>IFERROR(__xludf.DUMMYFUNCTION("""COMPUTED_VALUE"""),42452.66666666667)</f>
        <v>42452.66667</v>
      </c>
      <c r="B2264" s="1">
        <f>IFERROR(__xludf.DUMMYFUNCTION("""COMPUTED_VALUE"""),3.29)</f>
        <v>3.29</v>
      </c>
      <c r="C2264" s="1">
        <f>IFERROR(__xludf.DUMMYFUNCTION("""COMPUTED_VALUE"""),3.3)</f>
        <v>3.3</v>
      </c>
      <c r="D2264" s="1">
        <f>IFERROR(__xludf.DUMMYFUNCTION("""COMPUTED_VALUE"""),3.2)</f>
        <v>3.2</v>
      </c>
      <c r="E2264" s="1">
        <f>IFERROR(__xludf.DUMMYFUNCTION("""COMPUTED_VALUE"""),3.22)</f>
        <v>3.22</v>
      </c>
      <c r="F2264" s="1">
        <f>IFERROR(__xludf.DUMMYFUNCTION("""COMPUTED_VALUE"""),199456.0)</f>
        <v>199456</v>
      </c>
    </row>
    <row r="2265">
      <c r="A2265" s="2">
        <f>IFERROR(__xludf.DUMMYFUNCTION("""COMPUTED_VALUE"""),42453.66666666667)</f>
        <v>42453.66667</v>
      </c>
      <c r="B2265" s="1">
        <f>IFERROR(__xludf.DUMMYFUNCTION("""COMPUTED_VALUE"""),3.21)</f>
        <v>3.21</v>
      </c>
      <c r="C2265" s="1">
        <f>IFERROR(__xludf.DUMMYFUNCTION("""COMPUTED_VALUE"""),3.26)</f>
        <v>3.26</v>
      </c>
      <c r="D2265" s="1">
        <f>IFERROR(__xludf.DUMMYFUNCTION("""COMPUTED_VALUE"""),3.17)</f>
        <v>3.17</v>
      </c>
      <c r="E2265" s="1">
        <f>IFERROR(__xludf.DUMMYFUNCTION("""COMPUTED_VALUE"""),3.25)</f>
        <v>3.25</v>
      </c>
      <c r="F2265" s="1">
        <f>IFERROR(__xludf.DUMMYFUNCTION("""COMPUTED_VALUE"""),260106.0)</f>
        <v>260106</v>
      </c>
    </row>
    <row r="2266">
      <c r="A2266" s="2">
        <f>IFERROR(__xludf.DUMMYFUNCTION("""COMPUTED_VALUE"""),42457.66666666667)</f>
        <v>42457.66667</v>
      </c>
      <c r="B2266" s="1">
        <f>IFERROR(__xludf.DUMMYFUNCTION("""COMPUTED_VALUE"""),3.27)</f>
        <v>3.27</v>
      </c>
      <c r="C2266" s="1">
        <f>IFERROR(__xludf.DUMMYFUNCTION("""COMPUTED_VALUE"""),3.3)</f>
        <v>3.3</v>
      </c>
      <c r="D2266" s="1">
        <f>IFERROR(__xludf.DUMMYFUNCTION("""COMPUTED_VALUE"""),3.24)</f>
        <v>3.24</v>
      </c>
      <c r="E2266" s="1">
        <f>IFERROR(__xludf.DUMMYFUNCTION("""COMPUTED_VALUE"""),3.27)</f>
        <v>3.27</v>
      </c>
      <c r="F2266" s="1">
        <f>IFERROR(__xludf.DUMMYFUNCTION("""COMPUTED_VALUE"""),164325.0)</f>
        <v>164325</v>
      </c>
    </row>
    <row r="2267">
      <c r="A2267" s="2">
        <f>IFERROR(__xludf.DUMMYFUNCTION("""COMPUTED_VALUE"""),42458.66666666667)</f>
        <v>42458.66667</v>
      </c>
      <c r="B2267" s="1">
        <f>IFERROR(__xludf.DUMMYFUNCTION("""COMPUTED_VALUE"""),3.26)</f>
        <v>3.26</v>
      </c>
      <c r="C2267" s="1">
        <f>IFERROR(__xludf.DUMMYFUNCTION("""COMPUTED_VALUE"""),3.39)</f>
        <v>3.39</v>
      </c>
      <c r="D2267" s="1">
        <f>IFERROR(__xludf.DUMMYFUNCTION("""COMPUTED_VALUE"""),3.22)</f>
        <v>3.22</v>
      </c>
      <c r="E2267" s="1">
        <f>IFERROR(__xludf.DUMMYFUNCTION("""COMPUTED_VALUE"""),3.37)</f>
        <v>3.37</v>
      </c>
      <c r="F2267" s="1">
        <f>IFERROR(__xludf.DUMMYFUNCTION("""COMPUTED_VALUE"""),291099.0)</f>
        <v>291099</v>
      </c>
    </row>
    <row r="2268">
      <c r="A2268" s="2">
        <f>IFERROR(__xludf.DUMMYFUNCTION("""COMPUTED_VALUE"""),42459.66666666667)</f>
        <v>42459.66667</v>
      </c>
      <c r="B2268" s="1">
        <f>IFERROR(__xludf.DUMMYFUNCTION("""COMPUTED_VALUE"""),3.41)</f>
        <v>3.41</v>
      </c>
      <c r="C2268" s="1">
        <f>IFERROR(__xludf.DUMMYFUNCTION("""COMPUTED_VALUE"""),3.42)</f>
        <v>3.42</v>
      </c>
      <c r="D2268" s="1">
        <f>IFERROR(__xludf.DUMMYFUNCTION("""COMPUTED_VALUE"""),3.3)</f>
        <v>3.3</v>
      </c>
      <c r="E2268" s="1">
        <f>IFERROR(__xludf.DUMMYFUNCTION("""COMPUTED_VALUE"""),3.34)</f>
        <v>3.34</v>
      </c>
      <c r="F2268" s="1">
        <f>IFERROR(__xludf.DUMMYFUNCTION("""COMPUTED_VALUE"""),211814.0)</f>
        <v>211814</v>
      </c>
    </row>
    <row r="2269">
      <c r="A2269" s="2">
        <f>IFERROR(__xludf.DUMMYFUNCTION("""COMPUTED_VALUE"""),42460.66666666667)</f>
        <v>42460.66667</v>
      </c>
      <c r="B2269" s="1">
        <f>IFERROR(__xludf.DUMMYFUNCTION("""COMPUTED_VALUE"""),3.35)</f>
        <v>3.35</v>
      </c>
      <c r="C2269" s="1">
        <f>IFERROR(__xludf.DUMMYFUNCTION("""COMPUTED_VALUE"""),3.45)</f>
        <v>3.45</v>
      </c>
      <c r="D2269" s="1">
        <f>IFERROR(__xludf.DUMMYFUNCTION("""COMPUTED_VALUE"""),3.33)</f>
        <v>3.33</v>
      </c>
      <c r="E2269" s="1">
        <f>IFERROR(__xludf.DUMMYFUNCTION("""COMPUTED_VALUE"""),3.41)</f>
        <v>3.41</v>
      </c>
      <c r="F2269" s="1">
        <f>IFERROR(__xludf.DUMMYFUNCTION("""COMPUTED_VALUE"""),281794.0)</f>
        <v>281794</v>
      </c>
    </row>
    <row r="2270">
      <c r="A2270" s="2">
        <f>IFERROR(__xludf.DUMMYFUNCTION("""COMPUTED_VALUE"""),42461.66666666667)</f>
        <v>42461.66667</v>
      </c>
      <c r="B2270" s="1">
        <f>IFERROR(__xludf.DUMMYFUNCTION("""COMPUTED_VALUE"""),3.36)</f>
        <v>3.36</v>
      </c>
      <c r="C2270" s="1">
        <f>IFERROR(__xludf.DUMMYFUNCTION("""COMPUTED_VALUE"""),3.47)</f>
        <v>3.47</v>
      </c>
      <c r="D2270" s="1">
        <f>IFERROR(__xludf.DUMMYFUNCTION("""COMPUTED_VALUE"""),3.31)</f>
        <v>3.31</v>
      </c>
      <c r="E2270" s="1">
        <f>IFERROR(__xludf.DUMMYFUNCTION("""COMPUTED_VALUE"""),3.45)</f>
        <v>3.45</v>
      </c>
      <c r="F2270" s="1">
        <f>IFERROR(__xludf.DUMMYFUNCTION("""COMPUTED_VALUE"""),309953.0)</f>
        <v>309953</v>
      </c>
    </row>
    <row r="2271">
      <c r="A2271" s="2">
        <f>IFERROR(__xludf.DUMMYFUNCTION("""COMPUTED_VALUE"""),42464.66666666667)</f>
        <v>42464.66667</v>
      </c>
      <c r="B2271" s="1">
        <f>IFERROR(__xludf.DUMMYFUNCTION("""COMPUTED_VALUE"""),3.46)</f>
        <v>3.46</v>
      </c>
      <c r="C2271" s="1">
        <f>IFERROR(__xludf.DUMMYFUNCTION("""COMPUTED_VALUE"""),3.46)</f>
        <v>3.46</v>
      </c>
      <c r="D2271" s="1">
        <f>IFERROR(__xludf.DUMMYFUNCTION("""COMPUTED_VALUE"""),3.36)</f>
        <v>3.36</v>
      </c>
      <c r="E2271" s="1">
        <f>IFERROR(__xludf.DUMMYFUNCTION("""COMPUTED_VALUE"""),3.4)</f>
        <v>3.4</v>
      </c>
      <c r="F2271" s="1">
        <f>IFERROR(__xludf.DUMMYFUNCTION("""COMPUTED_VALUE"""),300047.0)</f>
        <v>300047</v>
      </c>
    </row>
    <row r="2272">
      <c r="A2272" s="2">
        <f>IFERROR(__xludf.DUMMYFUNCTION("""COMPUTED_VALUE"""),42465.66666666667)</f>
        <v>42465.66667</v>
      </c>
      <c r="B2272" s="1">
        <f>IFERROR(__xludf.DUMMYFUNCTION("""COMPUTED_VALUE"""),3.38)</f>
        <v>3.38</v>
      </c>
      <c r="C2272" s="1">
        <f>IFERROR(__xludf.DUMMYFUNCTION("""COMPUTED_VALUE"""),3.44)</f>
        <v>3.44</v>
      </c>
      <c r="D2272" s="1">
        <f>IFERROR(__xludf.DUMMYFUNCTION("""COMPUTED_VALUE"""),3.36)</f>
        <v>3.36</v>
      </c>
      <c r="E2272" s="1">
        <f>IFERROR(__xludf.DUMMYFUNCTION("""COMPUTED_VALUE"""),3.42)</f>
        <v>3.42</v>
      </c>
      <c r="F2272" s="1">
        <f>IFERROR(__xludf.DUMMYFUNCTION("""COMPUTED_VALUE"""),242371.0)</f>
        <v>242371</v>
      </c>
    </row>
    <row r="2273">
      <c r="A2273" s="2">
        <f>IFERROR(__xludf.DUMMYFUNCTION("""COMPUTED_VALUE"""),42466.66666666667)</f>
        <v>42466.66667</v>
      </c>
      <c r="B2273" s="1">
        <f>IFERROR(__xludf.DUMMYFUNCTION("""COMPUTED_VALUE"""),3.42)</f>
        <v>3.42</v>
      </c>
      <c r="C2273" s="1">
        <f>IFERROR(__xludf.DUMMYFUNCTION("""COMPUTED_VALUE"""),3.42)</f>
        <v>3.42</v>
      </c>
      <c r="D2273" s="1">
        <f>IFERROR(__xludf.DUMMYFUNCTION("""COMPUTED_VALUE"""),3.33)</f>
        <v>3.33</v>
      </c>
      <c r="E2273" s="1">
        <f>IFERROR(__xludf.DUMMYFUNCTION("""COMPUTED_VALUE"""),3.42)</f>
        <v>3.42</v>
      </c>
      <c r="F2273" s="1">
        <f>IFERROR(__xludf.DUMMYFUNCTION("""COMPUTED_VALUE"""),264676.0)</f>
        <v>264676</v>
      </c>
    </row>
    <row r="2274">
      <c r="A2274" s="2">
        <f>IFERROR(__xludf.DUMMYFUNCTION("""COMPUTED_VALUE"""),42467.66666666667)</f>
        <v>42467.66667</v>
      </c>
      <c r="B2274" s="1">
        <f>IFERROR(__xludf.DUMMYFUNCTION("""COMPUTED_VALUE"""),3.39)</f>
        <v>3.39</v>
      </c>
      <c r="C2274" s="1">
        <f>IFERROR(__xludf.DUMMYFUNCTION("""COMPUTED_VALUE"""),3.42)</f>
        <v>3.42</v>
      </c>
      <c r="D2274" s="1">
        <f>IFERROR(__xludf.DUMMYFUNCTION("""COMPUTED_VALUE"""),3.35)</f>
        <v>3.35</v>
      </c>
      <c r="E2274" s="1">
        <f>IFERROR(__xludf.DUMMYFUNCTION("""COMPUTED_VALUE"""),3.37)</f>
        <v>3.37</v>
      </c>
      <c r="F2274" s="1">
        <f>IFERROR(__xludf.DUMMYFUNCTION("""COMPUTED_VALUE"""),317095.0)</f>
        <v>317095</v>
      </c>
    </row>
    <row r="2275">
      <c r="A2275" s="2">
        <f>IFERROR(__xludf.DUMMYFUNCTION("""COMPUTED_VALUE"""),42468.66666666667)</f>
        <v>42468.66667</v>
      </c>
      <c r="B2275" s="1">
        <f>IFERROR(__xludf.DUMMYFUNCTION("""COMPUTED_VALUE"""),3.4)</f>
        <v>3.4</v>
      </c>
      <c r="C2275" s="1">
        <f>IFERROR(__xludf.DUMMYFUNCTION("""COMPUTED_VALUE"""),3.41)</f>
        <v>3.41</v>
      </c>
      <c r="D2275" s="1">
        <f>IFERROR(__xludf.DUMMYFUNCTION("""COMPUTED_VALUE"""),3.27)</f>
        <v>3.27</v>
      </c>
      <c r="E2275" s="1">
        <f>IFERROR(__xludf.DUMMYFUNCTION("""COMPUTED_VALUE"""),3.34)</f>
        <v>3.34</v>
      </c>
      <c r="F2275" s="1">
        <f>IFERROR(__xludf.DUMMYFUNCTION("""COMPUTED_VALUE"""),207535.0)</f>
        <v>207535</v>
      </c>
    </row>
    <row r="2276">
      <c r="A2276" s="2">
        <f>IFERROR(__xludf.DUMMYFUNCTION("""COMPUTED_VALUE"""),42471.66666666667)</f>
        <v>42471.66667</v>
      </c>
      <c r="B2276" s="1">
        <f>IFERROR(__xludf.DUMMYFUNCTION("""COMPUTED_VALUE"""),3.35)</f>
        <v>3.35</v>
      </c>
      <c r="C2276" s="1">
        <f>IFERROR(__xludf.DUMMYFUNCTION("""COMPUTED_VALUE"""),3.4)</f>
        <v>3.4</v>
      </c>
      <c r="D2276" s="1">
        <f>IFERROR(__xludf.DUMMYFUNCTION("""COMPUTED_VALUE"""),3.32)</f>
        <v>3.32</v>
      </c>
      <c r="E2276" s="1">
        <f>IFERROR(__xludf.DUMMYFUNCTION("""COMPUTED_VALUE"""),3.32)</f>
        <v>3.32</v>
      </c>
      <c r="F2276" s="1">
        <f>IFERROR(__xludf.DUMMYFUNCTION("""COMPUTED_VALUE"""),198780.0)</f>
        <v>198780</v>
      </c>
    </row>
    <row r="2277">
      <c r="A2277" s="2">
        <f>IFERROR(__xludf.DUMMYFUNCTION("""COMPUTED_VALUE"""),42472.66666666667)</f>
        <v>42472.66667</v>
      </c>
      <c r="B2277" s="1">
        <f>IFERROR(__xludf.DUMMYFUNCTION("""COMPUTED_VALUE"""),3.32)</f>
        <v>3.32</v>
      </c>
      <c r="C2277" s="1">
        <f>IFERROR(__xludf.DUMMYFUNCTION("""COMPUTED_VALUE"""),3.34)</f>
        <v>3.34</v>
      </c>
      <c r="D2277" s="1">
        <f>IFERROR(__xludf.DUMMYFUNCTION("""COMPUTED_VALUE"""),3.25)</f>
        <v>3.25</v>
      </c>
      <c r="E2277" s="1">
        <f>IFERROR(__xludf.DUMMYFUNCTION("""COMPUTED_VALUE"""),3.31)</f>
        <v>3.31</v>
      </c>
      <c r="F2277" s="1">
        <f>IFERROR(__xludf.DUMMYFUNCTION("""COMPUTED_VALUE"""),218240.0)</f>
        <v>218240</v>
      </c>
    </row>
    <row r="2278">
      <c r="A2278" s="2">
        <f>IFERROR(__xludf.DUMMYFUNCTION("""COMPUTED_VALUE"""),42473.66666666667)</f>
        <v>42473.66667</v>
      </c>
      <c r="B2278" s="1">
        <f>IFERROR(__xludf.DUMMYFUNCTION("""COMPUTED_VALUE"""),3.33)</f>
        <v>3.33</v>
      </c>
      <c r="C2278" s="1">
        <f>IFERROR(__xludf.DUMMYFUNCTION("""COMPUTED_VALUE"""),3.39)</f>
        <v>3.39</v>
      </c>
      <c r="D2278" s="1">
        <f>IFERROR(__xludf.DUMMYFUNCTION("""COMPUTED_VALUE"""),3.28)</f>
        <v>3.28</v>
      </c>
      <c r="E2278" s="1">
        <f>IFERROR(__xludf.DUMMYFUNCTION("""COMPUTED_VALUE"""),3.38)</f>
        <v>3.38</v>
      </c>
      <c r="F2278" s="1">
        <f>IFERROR(__xludf.DUMMYFUNCTION("""COMPUTED_VALUE"""),277405.0)</f>
        <v>277405</v>
      </c>
    </row>
    <row r="2279">
      <c r="A2279" s="2">
        <f>IFERROR(__xludf.DUMMYFUNCTION("""COMPUTED_VALUE"""),42474.66666666667)</f>
        <v>42474.66667</v>
      </c>
      <c r="B2279" s="1">
        <f>IFERROR(__xludf.DUMMYFUNCTION("""COMPUTED_VALUE"""),3.39)</f>
        <v>3.39</v>
      </c>
      <c r="C2279" s="1">
        <f>IFERROR(__xludf.DUMMYFUNCTION("""COMPUTED_VALUE"""),3.39)</f>
        <v>3.39</v>
      </c>
      <c r="D2279" s="1">
        <f>IFERROR(__xludf.DUMMYFUNCTION("""COMPUTED_VALUE"""),3.29)</f>
        <v>3.29</v>
      </c>
      <c r="E2279" s="1">
        <f>IFERROR(__xludf.DUMMYFUNCTION("""COMPUTED_VALUE"""),3.33)</f>
        <v>3.33</v>
      </c>
      <c r="F2279" s="1">
        <f>IFERROR(__xludf.DUMMYFUNCTION("""COMPUTED_VALUE"""),312500.0)</f>
        <v>312500</v>
      </c>
    </row>
    <row r="2280">
      <c r="A2280" s="2">
        <f>IFERROR(__xludf.DUMMYFUNCTION("""COMPUTED_VALUE"""),42475.66666666667)</f>
        <v>42475.66667</v>
      </c>
      <c r="B2280" s="1">
        <f>IFERROR(__xludf.DUMMYFUNCTION("""COMPUTED_VALUE"""),2.85)</f>
        <v>2.85</v>
      </c>
      <c r="C2280" s="1">
        <f>IFERROR(__xludf.DUMMYFUNCTION("""COMPUTED_VALUE"""),2.94)</f>
        <v>2.94</v>
      </c>
      <c r="D2280" s="1">
        <f>IFERROR(__xludf.DUMMYFUNCTION("""COMPUTED_VALUE"""),2.67)</f>
        <v>2.67</v>
      </c>
      <c r="E2280" s="1">
        <f>IFERROR(__xludf.DUMMYFUNCTION("""COMPUTED_VALUE"""),2.68)</f>
        <v>2.68</v>
      </c>
      <c r="F2280" s="1">
        <f>IFERROR(__xludf.DUMMYFUNCTION("""COMPUTED_VALUE"""),3080499.0)</f>
        <v>3080499</v>
      </c>
    </row>
    <row r="2281">
      <c r="A2281" s="2">
        <f>IFERROR(__xludf.DUMMYFUNCTION("""COMPUTED_VALUE"""),42478.66666666667)</f>
        <v>42478.66667</v>
      </c>
      <c r="B2281" s="1">
        <f>IFERROR(__xludf.DUMMYFUNCTION("""COMPUTED_VALUE"""),2.67)</f>
        <v>2.67</v>
      </c>
      <c r="C2281" s="1">
        <f>IFERROR(__xludf.DUMMYFUNCTION("""COMPUTED_VALUE"""),2.74)</f>
        <v>2.74</v>
      </c>
      <c r="D2281" s="1">
        <f>IFERROR(__xludf.DUMMYFUNCTION("""COMPUTED_VALUE"""),2.61)</f>
        <v>2.61</v>
      </c>
      <c r="E2281" s="1">
        <f>IFERROR(__xludf.DUMMYFUNCTION("""COMPUTED_VALUE"""),2.71)</f>
        <v>2.71</v>
      </c>
      <c r="F2281" s="1">
        <f>IFERROR(__xludf.DUMMYFUNCTION("""COMPUTED_VALUE"""),832558.0)</f>
        <v>832558</v>
      </c>
    </row>
    <row r="2282">
      <c r="A2282" s="2">
        <f>IFERROR(__xludf.DUMMYFUNCTION("""COMPUTED_VALUE"""),42479.66666666667)</f>
        <v>42479.66667</v>
      </c>
      <c r="B2282" s="1">
        <f>IFERROR(__xludf.DUMMYFUNCTION("""COMPUTED_VALUE"""),2.73)</f>
        <v>2.73</v>
      </c>
      <c r="C2282" s="1">
        <f>IFERROR(__xludf.DUMMYFUNCTION("""COMPUTED_VALUE"""),2.83)</f>
        <v>2.83</v>
      </c>
      <c r="D2282" s="1">
        <f>IFERROR(__xludf.DUMMYFUNCTION("""COMPUTED_VALUE"""),2.72)</f>
        <v>2.72</v>
      </c>
      <c r="E2282" s="1">
        <f>IFERROR(__xludf.DUMMYFUNCTION("""COMPUTED_VALUE"""),2.79)</f>
        <v>2.79</v>
      </c>
      <c r="F2282" s="1">
        <f>IFERROR(__xludf.DUMMYFUNCTION("""COMPUTED_VALUE"""),580502.0)</f>
        <v>580502</v>
      </c>
    </row>
    <row r="2283">
      <c r="A2283" s="2">
        <f>IFERROR(__xludf.DUMMYFUNCTION("""COMPUTED_VALUE"""),42480.66666666667)</f>
        <v>42480.66667</v>
      </c>
      <c r="B2283" s="1">
        <f>IFERROR(__xludf.DUMMYFUNCTION("""COMPUTED_VALUE"""),2.78)</f>
        <v>2.78</v>
      </c>
      <c r="C2283" s="1">
        <f>IFERROR(__xludf.DUMMYFUNCTION("""COMPUTED_VALUE"""),2.87)</f>
        <v>2.87</v>
      </c>
      <c r="D2283" s="1">
        <f>IFERROR(__xludf.DUMMYFUNCTION("""COMPUTED_VALUE"""),2.77)</f>
        <v>2.77</v>
      </c>
      <c r="E2283" s="1">
        <f>IFERROR(__xludf.DUMMYFUNCTION("""COMPUTED_VALUE"""),2.8)</f>
        <v>2.8</v>
      </c>
      <c r="F2283" s="1">
        <f>IFERROR(__xludf.DUMMYFUNCTION("""COMPUTED_VALUE"""),499526.0)</f>
        <v>499526</v>
      </c>
    </row>
    <row r="2284">
      <c r="A2284" s="2">
        <f>IFERROR(__xludf.DUMMYFUNCTION("""COMPUTED_VALUE"""),42481.66666666667)</f>
        <v>42481.66667</v>
      </c>
      <c r="B2284" s="1">
        <f>IFERROR(__xludf.DUMMYFUNCTION("""COMPUTED_VALUE"""),2.79)</f>
        <v>2.79</v>
      </c>
      <c r="C2284" s="1">
        <f>IFERROR(__xludf.DUMMYFUNCTION("""COMPUTED_VALUE"""),2.81)</f>
        <v>2.81</v>
      </c>
      <c r="D2284" s="1">
        <f>IFERROR(__xludf.DUMMYFUNCTION("""COMPUTED_VALUE"""),2.75)</f>
        <v>2.75</v>
      </c>
      <c r="E2284" s="1">
        <f>IFERROR(__xludf.DUMMYFUNCTION("""COMPUTED_VALUE"""),2.77)</f>
        <v>2.77</v>
      </c>
      <c r="F2284" s="1">
        <f>IFERROR(__xludf.DUMMYFUNCTION("""COMPUTED_VALUE"""),275719.0)</f>
        <v>275719</v>
      </c>
    </row>
    <row r="2285">
      <c r="A2285" s="2">
        <f>IFERROR(__xludf.DUMMYFUNCTION("""COMPUTED_VALUE"""),42482.66666666667)</f>
        <v>42482.66667</v>
      </c>
      <c r="B2285" s="1">
        <f>IFERROR(__xludf.DUMMYFUNCTION("""COMPUTED_VALUE"""),2.78)</f>
        <v>2.78</v>
      </c>
      <c r="C2285" s="1">
        <f>IFERROR(__xludf.DUMMYFUNCTION("""COMPUTED_VALUE"""),2.86)</f>
        <v>2.86</v>
      </c>
      <c r="D2285" s="1">
        <f>IFERROR(__xludf.DUMMYFUNCTION("""COMPUTED_VALUE"""),2.78)</f>
        <v>2.78</v>
      </c>
      <c r="E2285" s="1">
        <f>IFERROR(__xludf.DUMMYFUNCTION("""COMPUTED_VALUE"""),2.85)</f>
        <v>2.85</v>
      </c>
      <c r="F2285" s="1">
        <f>IFERROR(__xludf.DUMMYFUNCTION("""COMPUTED_VALUE"""),385934.0)</f>
        <v>385934</v>
      </c>
    </row>
    <row r="2286">
      <c r="A2286" s="2">
        <f>IFERROR(__xludf.DUMMYFUNCTION("""COMPUTED_VALUE"""),42485.66666666667)</f>
        <v>42485.66667</v>
      </c>
      <c r="B2286" s="1">
        <f>IFERROR(__xludf.DUMMYFUNCTION("""COMPUTED_VALUE"""),2.84)</f>
        <v>2.84</v>
      </c>
      <c r="C2286" s="1">
        <f>IFERROR(__xludf.DUMMYFUNCTION("""COMPUTED_VALUE"""),2.88)</f>
        <v>2.88</v>
      </c>
      <c r="D2286" s="1">
        <f>IFERROR(__xludf.DUMMYFUNCTION("""COMPUTED_VALUE"""),2.8)</f>
        <v>2.8</v>
      </c>
      <c r="E2286" s="1">
        <f>IFERROR(__xludf.DUMMYFUNCTION("""COMPUTED_VALUE"""),2.84)</f>
        <v>2.84</v>
      </c>
      <c r="F2286" s="1">
        <f>IFERROR(__xludf.DUMMYFUNCTION("""COMPUTED_VALUE"""),399196.0)</f>
        <v>399196</v>
      </c>
    </row>
    <row r="2287">
      <c r="A2287" s="2">
        <f>IFERROR(__xludf.DUMMYFUNCTION("""COMPUTED_VALUE"""),42486.66666666667)</f>
        <v>42486.66667</v>
      </c>
      <c r="B2287" s="1">
        <f>IFERROR(__xludf.DUMMYFUNCTION("""COMPUTED_VALUE"""),2.86)</f>
        <v>2.86</v>
      </c>
      <c r="C2287" s="1">
        <f>IFERROR(__xludf.DUMMYFUNCTION("""COMPUTED_VALUE"""),2.9)</f>
        <v>2.9</v>
      </c>
      <c r="D2287" s="1">
        <f>IFERROR(__xludf.DUMMYFUNCTION("""COMPUTED_VALUE"""),2.82)</f>
        <v>2.82</v>
      </c>
      <c r="E2287" s="1">
        <f>IFERROR(__xludf.DUMMYFUNCTION("""COMPUTED_VALUE"""),2.87)</f>
        <v>2.87</v>
      </c>
      <c r="F2287" s="1">
        <f>IFERROR(__xludf.DUMMYFUNCTION("""COMPUTED_VALUE"""),315744.0)</f>
        <v>315744</v>
      </c>
    </row>
    <row r="2288">
      <c r="A2288" s="2">
        <f>IFERROR(__xludf.DUMMYFUNCTION("""COMPUTED_VALUE"""),42487.66666666667)</f>
        <v>42487.66667</v>
      </c>
      <c r="B2288" s="1">
        <f>IFERROR(__xludf.DUMMYFUNCTION("""COMPUTED_VALUE"""),2.88)</f>
        <v>2.88</v>
      </c>
      <c r="C2288" s="1">
        <f>IFERROR(__xludf.DUMMYFUNCTION("""COMPUTED_VALUE"""),2.9)</f>
        <v>2.9</v>
      </c>
      <c r="D2288" s="1">
        <f>IFERROR(__xludf.DUMMYFUNCTION("""COMPUTED_VALUE"""),2.81)</f>
        <v>2.81</v>
      </c>
      <c r="E2288" s="1">
        <f>IFERROR(__xludf.DUMMYFUNCTION("""COMPUTED_VALUE"""),2.87)</f>
        <v>2.87</v>
      </c>
      <c r="F2288" s="1">
        <f>IFERROR(__xludf.DUMMYFUNCTION("""COMPUTED_VALUE"""),361831.0)</f>
        <v>361831</v>
      </c>
    </row>
    <row r="2289">
      <c r="A2289" s="2">
        <f>IFERROR(__xludf.DUMMYFUNCTION("""COMPUTED_VALUE"""),42488.66666666667)</f>
        <v>42488.66667</v>
      </c>
      <c r="B2289" s="1">
        <f>IFERROR(__xludf.DUMMYFUNCTION("""COMPUTED_VALUE"""),2.85)</f>
        <v>2.85</v>
      </c>
      <c r="C2289" s="1">
        <f>IFERROR(__xludf.DUMMYFUNCTION("""COMPUTED_VALUE"""),2.9)</f>
        <v>2.9</v>
      </c>
      <c r="D2289" s="1">
        <f>IFERROR(__xludf.DUMMYFUNCTION("""COMPUTED_VALUE"""),2.82)</f>
        <v>2.82</v>
      </c>
      <c r="E2289" s="1">
        <f>IFERROR(__xludf.DUMMYFUNCTION("""COMPUTED_VALUE"""),2.83)</f>
        <v>2.83</v>
      </c>
      <c r="F2289" s="1">
        <f>IFERROR(__xludf.DUMMYFUNCTION("""COMPUTED_VALUE"""),559581.0)</f>
        <v>559581</v>
      </c>
    </row>
    <row r="2290">
      <c r="A2290" s="2">
        <f>IFERROR(__xludf.DUMMYFUNCTION("""COMPUTED_VALUE"""),42489.66666666667)</f>
        <v>42489.66667</v>
      </c>
      <c r="B2290" s="1">
        <f>IFERROR(__xludf.DUMMYFUNCTION("""COMPUTED_VALUE"""),2.77)</f>
        <v>2.77</v>
      </c>
      <c r="C2290" s="1">
        <f>IFERROR(__xludf.DUMMYFUNCTION("""COMPUTED_VALUE"""),2.77)</f>
        <v>2.77</v>
      </c>
      <c r="D2290" s="1">
        <f>IFERROR(__xludf.DUMMYFUNCTION("""COMPUTED_VALUE"""),2.65)</f>
        <v>2.65</v>
      </c>
      <c r="E2290" s="1">
        <f>IFERROR(__xludf.DUMMYFUNCTION("""COMPUTED_VALUE"""),2.69)</f>
        <v>2.69</v>
      </c>
      <c r="F2290" s="1">
        <f>IFERROR(__xludf.DUMMYFUNCTION("""COMPUTED_VALUE"""),983751.0)</f>
        <v>983751</v>
      </c>
    </row>
    <row r="2291">
      <c r="A2291" s="2">
        <f>IFERROR(__xludf.DUMMYFUNCTION("""COMPUTED_VALUE"""),42492.66666666667)</f>
        <v>42492.66667</v>
      </c>
      <c r="B2291" s="1">
        <f>IFERROR(__xludf.DUMMYFUNCTION("""COMPUTED_VALUE"""),2.69)</f>
        <v>2.69</v>
      </c>
      <c r="C2291" s="1">
        <f>IFERROR(__xludf.DUMMYFUNCTION("""COMPUTED_VALUE"""),2.72)</f>
        <v>2.72</v>
      </c>
      <c r="D2291" s="1">
        <f>IFERROR(__xludf.DUMMYFUNCTION("""COMPUTED_VALUE"""),2.66)</f>
        <v>2.66</v>
      </c>
      <c r="E2291" s="1">
        <f>IFERROR(__xludf.DUMMYFUNCTION("""COMPUTED_VALUE"""),2.72)</f>
        <v>2.72</v>
      </c>
      <c r="F2291" s="1">
        <f>IFERROR(__xludf.DUMMYFUNCTION("""COMPUTED_VALUE"""),696802.0)</f>
        <v>696802</v>
      </c>
    </row>
    <row r="2292">
      <c r="A2292" s="2">
        <f>IFERROR(__xludf.DUMMYFUNCTION("""COMPUTED_VALUE"""),42493.66666666667)</f>
        <v>42493.66667</v>
      </c>
      <c r="B2292" s="1">
        <f>IFERROR(__xludf.DUMMYFUNCTION("""COMPUTED_VALUE"""),2.69)</f>
        <v>2.69</v>
      </c>
      <c r="C2292" s="1">
        <f>IFERROR(__xludf.DUMMYFUNCTION("""COMPUTED_VALUE"""),2.72)</f>
        <v>2.72</v>
      </c>
      <c r="D2292" s="1">
        <f>IFERROR(__xludf.DUMMYFUNCTION("""COMPUTED_VALUE"""),2.64)</f>
        <v>2.64</v>
      </c>
      <c r="E2292" s="1">
        <f>IFERROR(__xludf.DUMMYFUNCTION("""COMPUTED_VALUE"""),2.67)</f>
        <v>2.67</v>
      </c>
      <c r="F2292" s="1">
        <f>IFERROR(__xludf.DUMMYFUNCTION("""COMPUTED_VALUE"""),468768.0)</f>
        <v>468768</v>
      </c>
    </row>
    <row r="2293">
      <c r="A2293" s="2">
        <f>IFERROR(__xludf.DUMMYFUNCTION("""COMPUTED_VALUE"""),42494.66666666667)</f>
        <v>42494.66667</v>
      </c>
      <c r="B2293" s="1">
        <f>IFERROR(__xludf.DUMMYFUNCTION("""COMPUTED_VALUE"""),2.63)</f>
        <v>2.63</v>
      </c>
      <c r="C2293" s="1">
        <f>IFERROR(__xludf.DUMMYFUNCTION("""COMPUTED_VALUE"""),2.68)</f>
        <v>2.68</v>
      </c>
      <c r="D2293" s="1">
        <f>IFERROR(__xludf.DUMMYFUNCTION("""COMPUTED_VALUE"""),2.62)</f>
        <v>2.62</v>
      </c>
      <c r="E2293" s="1">
        <f>IFERROR(__xludf.DUMMYFUNCTION("""COMPUTED_VALUE"""),2.65)</f>
        <v>2.65</v>
      </c>
      <c r="F2293" s="1">
        <f>IFERROR(__xludf.DUMMYFUNCTION("""COMPUTED_VALUE"""),487876.0)</f>
        <v>487876</v>
      </c>
    </row>
    <row r="2294">
      <c r="A2294" s="2">
        <f>IFERROR(__xludf.DUMMYFUNCTION("""COMPUTED_VALUE"""),42495.66666666667)</f>
        <v>42495.66667</v>
      </c>
      <c r="B2294" s="1">
        <f>IFERROR(__xludf.DUMMYFUNCTION("""COMPUTED_VALUE"""),2.63)</f>
        <v>2.63</v>
      </c>
      <c r="C2294" s="1">
        <f>IFERROR(__xludf.DUMMYFUNCTION("""COMPUTED_VALUE"""),2.69)</f>
        <v>2.69</v>
      </c>
      <c r="D2294" s="1">
        <f>IFERROR(__xludf.DUMMYFUNCTION("""COMPUTED_VALUE"""),2.63)</f>
        <v>2.63</v>
      </c>
      <c r="E2294" s="1">
        <f>IFERROR(__xludf.DUMMYFUNCTION("""COMPUTED_VALUE"""),2.66)</f>
        <v>2.66</v>
      </c>
      <c r="F2294" s="1">
        <f>IFERROR(__xludf.DUMMYFUNCTION("""COMPUTED_VALUE"""),415270.0)</f>
        <v>415270</v>
      </c>
    </row>
    <row r="2295">
      <c r="A2295" s="2">
        <f>IFERROR(__xludf.DUMMYFUNCTION("""COMPUTED_VALUE"""),42496.66666666667)</f>
        <v>42496.66667</v>
      </c>
      <c r="B2295" s="1">
        <f>IFERROR(__xludf.DUMMYFUNCTION("""COMPUTED_VALUE"""),2.66)</f>
        <v>2.66</v>
      </c>
      <c r="C2295" s="1">
        <f>IFERROR(__xludf.DUMMYFUNCTION("""COMPUTED_VALUE"""),2.7)</f>
        <v>2.7</v>
      </c>
      <c r="D2295" s="1">
        <f>IFERROR(__xludf.DUMMYFUNCTION("""COMPUTED_VALUE"""),2.66)</f>
        <v>2.66</v>
      </c>
      <c r="E2295" s="1">
        <f>IFERROR(__xludf.DUMMYFUNCTION("""COMPUTED_VALUE"""),2.7)</f>
        <v>2.7</v>
      </c>
      <c r="F2295" s="1">
        <f>IFERROR(__xludf.DUMMYFUNCTION("""COMPUTED_VALUE"""),393199.0)</f>
        <v>393199</v>
      </c>
    </row>
    <row r="2296">
      <c r="A2296" s="2">
        <f>IFERROR(__xludf.DUMMYFUNCTION("""COMPUTED_VALUE"""),42499.66666666667)</f>
        <v>42499.66667</v>
      </c>
      <c r="B2296" s="1">
        <f>IFERROR(__xludf.DUMMYFUNCTION("""COMPUTED_VALUE"""),2.69)</f>
        <v>2.69</v>
      </c>
      <c r="C2296" s="1">
        <f>IFERROR(__xludf.DUMMYFUNCTION("""COMPUTED_VALUE"""),2.72)</f>
        <v>2.72</v>
      </c>
      <c r="D2296" s="1">
        <f>IFERROR(__xludf.DUMMYFUNCTION("""COMPUTED_VALUE"""),2.66)</f>
        <v>2.66</v>
      </c>
      <c r="E2296" s="1">
        <f>IFERROR(__xludf.DUMMYFUNCTION("""COMPUTED_VALUE"""),2.69)</f>
        <v>2.69</v>
      </c>
      <c r="F2296" s="1">
        <f>IFERROR(__xludf.DUMMYFUNCTION("""COMPUTED_VALUE"""),347444.0)</f>
        <v>347444</v>
      </c>
    </row>
    <row r="2297">
      <c r="A2297" s="2">
        <f>IFERROR(__xludf.DUMMYFUNCTION("""COMPUTED_VALUE"""),42500.66666666667)</f>
        <v>42500.66667</v>
      </c>
      <c r="B2297" s="1">
        <f>IFERROR(__xludf.DUMMYFUNCTION("""COMPUTED_VALUE"""),2.7)</f>
        <v>2.7</v>
      </c>
      <c r="C2297" s="1">
        <f>IFERROR(__xludf.DUMMYFUNCTION("""COMPUTED_VALUE"""),2.71)</f>
        <v>2.71</v>
      </c>
      <c r="D2297" s="1">
        <f>IFERROR(__xludf.DUMMYFUNCTION("""COMPUTED_VALUE"""),2.65)</f>
        <v>2.65</v>
      </c>
      <c r="E2297" s="1">
        <f>IFERROR(__xludf.DUMMYFUNCTION("""COMPUTED_VALUE"""),2.69)</f>
        <v>2.69</v>
      </c>
      <c r="F2297" s="1">
        <f>IFERROR(__xludf.DUMMYFUNCTION("""COMPUTED_VALUE"""),344499.0)</f>
        <v>344499</v>
      </c>
    </row>
    <row r="2298">
      <c r="A2298" s="2">
        <f>IFERROR(__xludf.DUMMYFUNCTION("""COMPUTED_VALUE"""),42501.66666666667)</f>
        <v>42501.66667</v>
      </c>
      <c r="B2298" s="1">
        <f>IFERROR(__xludf.DUMMYFUNCTION("""COMPUTED_VALUE"""),2.69)</f>
        <v>2.69</v>
      </c>
      <c r="C2298" s="1">
        <f>IFERROR(__xludf.DUMMYFUNCTION("""COMPUTED_VALUE"""),2.72)</f>
        <v>2.72</v>
      </c>
      <c r="D2298" s="1">
        <f>IFERROR(__xludf.DUMMYFUNCTION("""COMPUTED_VALUE"""),2.63)</f>
        <v>2.63</v>
      </c>
      <c r="E2298" s="1">
        <f>IFERROR(__xludf.DUMMYFUNCTION("""COMPUTED_VALUE"""),2.63)</f>
        <v>2.63</v>
      </c>
      <c r="F2298" s="1">
        <f>IFERROR(__xludf.DUMMYFUNCTION("""COMPUTED_VALUE"""),320558.0)</f>
        <v>320558</v>
      </c>
    </row>
    <row r="2299">
      <c r="A2299" s="2">
        <f>IFERROR(__xludf.DUMMYFUNCTION("""COMPUTED_VALUE"""),42502.66666666667)</f>
        <v>42502.66667</v>
      </c>
      <c r="B2299" s="1">
        <f>IFERROR(__xludf.DUMMYFUNCTION("""COMPUTED_VALUE"""),2.65)</f>
        <v>2.65</v>
      </c>
      <c r="C2299" s="1">
        <f>IFERROR(__xludf.DUMMYFUNCTION("""COMPUTED_VALUE"""),2.65)</f>
        <v>2.65</v>
      </c>
      <c r="D2299" s="1">
        <f>IFERROR(__xludf.DUMMYFUNCTION("""COMPUTED_VALUE"""),2.5)</f>
        <v>2.5</v>
      </c>
      <c r="E2299" s="1">
        <f>IFERROR(__xludf.DUMMYFUNCTION("""COMPUTED_VALUE"""),2.51)</f>
        <v>2.51</v>
      </c>
      <c r="F2299" s="1">
        <f>IFERROR(__xludf.DUMMYFUNCTION("""COMPUTED_VALUE"""),898926.0)</f>
        <v>898926</v>
      </c>
    </row>
    <row r="2300">
      <c r="A2300" s="2">
        <f>IFERROR(__xludf.DUMMYFUNCTION("""COMPUTED_VALUE"""),42503.66666666667)</f>
        <v>42503.66667</v>
      </c>
      <c r="B2300" s="1">
        <f>IFERROR(__xludf.DUMMYFUNCTION("""COMPUTED_VALUE"""),2.51)</f>
        <v>2.51</v>
      </c>
      <c r="C2300" s="1">
        <f>IFERROR(__xludf.DUMMYFUNCTION("""COMPUTED_VALUE"""),2.54)</f>
        <v>2.54</v>
      </c>
      <c r="D2300" s="1">
        <f>IFERROR(__xludf.DUMMYFUNCTION("""COMPUTED_VALUE"""),2.45)</f>
        <v>2.45</v>
      </c>
      <c r="E2300" s="1">
        <f>IFERROR(__xludf.DUMMYFUNCTION("""COMPUTED_VALUE"""),2.5)</f>
        <v>2.5</v>
      </c>
      <c r="F2300" s="1">
        <f>IFERROR(__xludf.DUMMYFUNCTION("""COMPUTED_VALUE"""),856993.0)</f>
        <v>856993</v>
      </c>
    </row>
    <row r="2301">
      <c r="A2301" s="2">
        <f>IFERROR(__xludf.DUMMYFUNCTION("""COMPUTED_VALUE"""),42506.66666666667)</f>
        <v>42506.66667</v>
      </c>
      <c r="B2301" s="1">
        <f>IFERROR(__xludf.DUMMYFUNCTION("""COMPUTED_VALUE"""),2.52)</f>
        <v>2.52</v>
      </c>
      <c r="C2301" s="1">
        <f>IFERROR(__xludf.DUMMYFUNCTION("""COMPUTED_VALUE"""),2.56)</f>
        <v>2.56</v>
      </c>
      <c r="D2301" s="1">
        <f>IFERROR(__xludf.DUMMYFUNCTION("""COMPUTED_VALUE"""),2.51)</f>
        <v>2.51</v>
      </c>
      <c r="E2301" s="1">
        <f>IFERROR(__xludf.DUMMYFUNCTION("""COMPUTED_VALUE"""),2.51)</f>
        <v>2.51</v>
      </c>
      <c r="F2301" s="1">
        <f>IFERROR(__xludf.DUMMYFUNCTION("""COMPUTED_VALUE"""),443774.0)</f>
        <v>443774</v>
      </c>
    </row>
    <row r="2302">
      <c r="A2302" s="2">
        <f>IFERROR(__xludf.DUMMYFUNCTION("""COMPUTED_VALUE"""),42507.66666666667)</f>
        <v>42507.66667</v>
      </c>
      <c r="B2302" s="1">
        <f>IFERROR(__xludf.DUMMYFUNCTION("""COMPUTED_VALUE"""),2.5)</f>
        <v>2.5</v>
      </c>
      <c r="C2302" s="1">
        <f>IFERROR(__xludf.DUMMYFUNCTION("""COMPUTED_VALUE"""),2.53)</f>
        <v>2.53</v>
      </c>
      <c r="D2302" s="1">
        <f>IFERROR(__xludf.DUMMYFUNCTION("""COMPUTED_VALUE"""),2.46)</f>
        <v>2.46</v>
      </c>
      <c r="E2302" s="1">
        <f>IFERROR(__xludf.DUMMYFUNCTION("""COMPUTED_VALUE"""),2.49)</f>
        <v>2.49</v>
      </c>
      <c r="F2302" s="1">
        <f>IFERROR(__xludf.DUMMYFUNCTION("""COMPUTED_VALUE"""),563835.0)</f>
        <v>563835</v>
      </c>
    </row>
    <row r="2303">
      <c r="A2303" s="2">
        <f>IFERROR(__xludf.DUMMYFUNCTION("""COMPUTED_VALUE"""),42508.66666666667)</f>
        <v>42508.66667</v>
      </c>
      <c r="B2303" s="1">
        <f>IFERROR(__xludf.DUMMYFUNCTION("""COMPUTED_VALUE"""),2.49)</f>
        <v>2.49</v>
      </c>
      <c r="C2303" s="1">
        <f>IFERROR(__xludf.DUMMYFUNCTION("""COMPUTED_VALUE"""),2.55)</f>
        <v>2.55</v>
      </c>
      <c r="D2303" s="1">
        <f>IFERROR(__xludf.DUMMYFUNCTION("""COMPUTED_VALUE"""),2.48)</f>
        <v>2.48</v>
      </c>
      <c r="E2303" s="1">
        <f>IFERROR(__xludf.DUMMYFUNCTION("""COMPUTED_VALUE"""),2.5)</f>
        <v>2.5</v>
      </c>
      <c r="F2303" s="1">
        <f>IFERROR(__xludf.DUMMYFUNCTION("""COMPUTED_VALUE"""),310331.0)</f>
        <v>310331</v>
      </c>
    </row>
    <row r="2304">
      <c r="A2304" s="2">
        <f>IFERROR(__xludf.DUMMYFUNCTION("""COMPUTED_VALUE"""),42509.66666666667)</f>
        <v>42509.66667</v>
      </c>
      <c r="B2304" s="1">
        <f>IFERROR(__xludf.DUMMYFUNCTION("""COMPUTED_VALUE"""),2.49)</f>
        <v>2.49</v>
      </c>
      <c r="C2304" s="1">
        <f>IFERROR(__xludf.DUMMYFUNCTION("""COMPUTED_VALUE"""),2.51)</f>
        <v>2.51</v>
      </c>
      <c r="D2304" s="1">
        <f>IFERROR(__xludf.DUMMYFUNCTION("""COMPUTED_VALUE"""),2.44)</f>
        <v>2.44</v>
      </c>
      <c r="E2304" s="1">
        <f>IFERROR(__xludf.DUMMYFUNCTION("""COMPUTED_VALUE"""),2.45)</f>
        <v>2.45</v>
      </c>
      <c r="F2304" s="1">
        <f>IFERROR(__xludf.DUMMYFUNCTION("""COMPUTED_VALUE"""),214107.0)</f>
        <v>214107</v>
      </c>
    </row>
    <row r="2305">
      <c r="A2305" s="2">
        <f>IFERROR(__xludf.DUMMYFUNCTION("""COMPUTED_VALUE"""),42510.66666666667)</f>
        <v>42510.66667</v>
      </c>
      <c r="B2305" s="1">
        <f>IFERROR(__xludf.DUMMYFUNCTION("""COMPUTED_VALUE"""),2.47)</f>
        <v>2.47</v>
      </c>
      <c r="C2305" s="1">
        <f>IFERROR(__xludf.DUMMYFUNCTION("""COMPUTED_VALUE"""),2.54)</f>
        <v>2.54</v>
      </c>
      <c r="D2305" s="1">
        <f>IFERROR(__xludf.DUMMYFUNCTION("""COMPUTED_VALUE"""),2.44)</f>
        <v>2.44</v>
      </c>
      <c r="E2305" s="1">
        <f>IFERROR(__xludf.DUMMYFUNCTION("""COMPUTED_VALUE"""),2.52)</f>
        <v>2.52</v>
      </c>
      <c r="F2305" s="1">
        <f>IFERROR(__xludf.DUMMYFUNCTION("""COMPUTED_VALUE"""),206348.0)</f>
        <v>206348</v>
      </c>
    </row>
    <row r="2306">
      <c r="A2306" s="2">
        <f>IFERROR(__xludf.DUMMYFUNCTION("""COMPUTED_VALUE"""),42513.66666666667)</f>
        <v>42513.66667</v>
      </c>
      <c r="B2306" s="1">
        <f>IFERROR(__xludf.DUMMYFUNCTION("""COMPUTED_VALUE"""),2.51)</f>
        <v>2.51</v>
      </c>
      <c r="C2306" s="1">
        <f>IFERROR(__xludf.DUMMYFUNCTION("""COMPUTED_VALUE"""),2.59)</f>
        <v>2.59</v>
      </c>
      <c r="D2306" s="1">
        <f>IFERROR(__xludf.DUMMYFUNCTION("""COMPUTED_VALUE"""),2.51)</f>
        <v>2.51</v>
      </c>
      <c r="E2306" s="1">
        <f>IFERROR(__xludf.DUMMYFUNCTION("""COMPUTED_VALUE"""),2.52)</f>
        <v>2.52</v>
      </c>
      <c r="F2306" s="1">
        <f>IFERROR(__xludf.DUMMYFUNCTION("""COMPUTED_VALUE"""),338309.0)</f>
        <v>338309</v>
      </c>
    </row>
    <row r="2307">
      <c r="A2307" s="2">
        <f>IFERROR(__xludf.DUMMYFUNCTION("""COMPUTED_VALUE"""),42514.66666666667)</f>
        <v>42514.66667</v>
      </c>
      <c r="B2307" s="1">
        <f>IFERROR(__xludf.DUMMYFUNCTION("""COMPUTED_VALUE"""),2.52)</f>
        <v>2.52</v>
      </c>
      <c r="C2307" s="1">
        <f>IFERROR(__xludf.DUMMYFUNCTION("""COMPUTED_VALUE"""),2.63)</f>
        <v>2.63</v>
      </c>
      <c r="D2307" s="1">
        <f>IFERROR(__xludf.DUMMYFUNCTION("""COMPUTED_VALUE"""),2.52)</f>
        <v>2.52</v>
      </c>
      <c r="E2307" s="1">
        <f>IFERROR(__xludf.DUMMYFUNCTION("""COMPUTED_VALUE"""),2.6)</f>
        <v>2.6</v>
      </c>
      <c r="F2307" s="1">
        <f>IFERROR(__xludf.DUMMYFUNCTION("""COMPUTED_VALUE"""),494860.0)</f>
        <v>494860</v>
      </c>
    </row>
    <row r="2308">
      <c r="A2308" s="2">
        <f>IFERROR(__xludf.DUMMYFUNCTION("""COMPUTED_VALUE"""),42515.66666666667)</f>
        <v>42515.66667</v>
      </c>
      <c r="B2308" s="1">
        <f>IFERROR(__xludf.DUMMYFUNCTION("""COMPUTED_VALUE"""),2.62)</f>
        <v>2.62</v>
      </c>
      <c r="C2308" s="1">
        <f>IFERROR(__xludf.DUMMYFUNCTION("""COMPUTED_VALUE"""),2.63)</f>
        <v>2.63</v>
      </c>
      <c r="D2308" s="1">
        <f>IFERROR(__xludf.DUMMYFUNCTION("""COMPUTED_VALUE"""),2.57)</f>
        <v>2.57</v>
      </c>
      <c r="E2308" s="1">
        <f>IFERROR(__xludf.DUMMYFUNCTION("""COMPUTED_VALUE"""),2.59)</f>
        <v>2.59</v>
      </c>
      <c r="F2308" s="1">
        <f>IFERROR(__xludf.DUMMYFUNCTION("""COMPUTED_VALUE"""),430730.0)</f>
        <v>430730</v>
      </c>
    </row>
    <row r="2309">
      <c r="A2309" s="2">
        <f>IFERROR(__xludf.DUMMYFUNCTION("""COMPUTED_VALUE"""),42516.66666666667)</f>
        <v>42516.66667</v>
      </c>
      <c r="B2309" s="1">
        <f>IFERROR(__xludf.DUMMYFUNCTION("""COMPUTED_VALUE"""),2.59)</f>
        <v>2.59</v>
      </c>
      <c r="C2309" s="1">
        <f>IFERROR(__xludf.DUMMYFUNCTION("""COMPUTED_VALUE"""),2.6)</f>
        <v>2.6</v>
      </c>
      <c r="D2309" s="1">
        <f>IFERROR(__xludf.DUMMYFUNCTION("""COMPUTED_VALUE"""),2.56)</f>
        <v>2.56</v>
      </c>
      <c r="E2309" s="1">
        <f>IFERROR(__xludf.DUMMYFUNCTION("""COMPUTED_VALUE"""),2.58)</f>
        <v>2.58</v>
      </c>
      <c r="F2309" s="1">
        <f>IFERROR(__xludf.DUMMYFUNCTION("""COMPUTED_VALUE"""),294991.0)</f>
        <v>294991</v>
      </c>
    </row>
    <row r="2310">
      <c r="A2310" s="2">
        <f>IFERROR(__xludf.DUMMYFUNCTION("""COMPUTED_VALUE"""),42517.66666666667)</f>
        <v>42517.66667</v>
      </c>
      <c r="B2310" s="1">
        <f>IFERROR(__xludf.DUMMYFUNCTION("""COMPUTED_VALUE"""),2.59)</f>
        <v>2.59</v>
      </c>
      <c r="C2310" s="1">
        <f>IFERROR(__xludf.DUMMYFUNCTION("""COMPUTED_VALUE"""),2.63)</f>
        <v>2.63</v>
      </c>
      <c r="D2310" s="1">
        <f>IFERROR(__xludf.DUMMYFUNCTION("""COMPUTED_VALUE"""),2.59)</f>
        <v>2.59</v>
      </c>
      <c r="E2310" s="1">
        <f>IFERROR(__xludf.DUMMYFUNCTION("""COMPUTED_VALUE"""),2.61)</f>
        <v>2.61</v>
      </c>
      <c r="F2310" s="1">
        <f>IFERROR(__xludf.DUMMYFUNCTION("""COMPUTED_VALUE"""),287841.0)</f>
        <v>287841</v>
      </c>
    </row>
    <row r="2311">
      <c r="A2311" s="2">
        <f>IFERROR(__xludf.DUMMYFUNCTION("""COMPUTED_VALUE"""),42521.66666666667)</f>
        <v>42521.66667</v>
      </c>
      <c r="B2311" s="1">
        <f>IFERROR(__xludf.DUMMYFUNCTION("""COMPUTED_VALUE"""),2.61)</f>
        <v>2.61</v>
      </c>
      <c r="C2311" s="1">
        <f>IFERROR(__xludf.DUMMYFUNCTION("""COMPUTED_VALUE"""),2.64)</f>
        <v>2.64</v>
      </c>
      <c r="D2311" s="1">
        <f>IFERROR(__xludf.DUMMYFUNCTION("""COMPUTED_VALUE"""),2.6)</f>
        <v>2.6</v>
      </c>
      <c r="E2311" s="1">
        <f>IFERROR(__xludf.DUMMYFUNCTION("""COMPUTED_VALUE"""),2.62)</f>
        <v>2.62</v>
      </c>
      <c r="F2311" s="1">
        <f>IFERROR(__xludf.DUMMYFUNCTION("""COMPUTED_VALUE"""),387688.0)</f>
        <v>387688</v>
      </c>
    </row>
    <row r="2312">
      <c r="A2312" s="2">
        <f>IFERROR(__xludf.DUMMYFUNCTION("""COMPUTED_VALUE"""),42522.66666666667)</f>
        <v>42522.66667</v>
      </c>
      <c r="B2312" s="1">
        <f>IFERROR(__xludf.DUMMYFUNCTION("""COMPUTED_VALUE"""),2.63)</f>
        <v>2.63</v>
      </c>
      <c r="C2312" s="1">
        <f>IFERROR(__xludf.DUMMYFUNCTION("""COMPUTED_VALUE"""),2.65)</f>
        <v>2.65</v>
      </c>
      <c r="D2312" s="1">
        <f>IFERROR(__xludf.DUMMYFUNCTION("""COMPUTED_VALUE"""),2.6)</f>
        <v>2.6</v>
      </c>
      <c r="E2312" s="1">
        <f>IFERROR(__xludf.DUMMYFUNCTION("""COMPUTED_VALUE"""),2.64)</f>
        <v>2.64</v>
      </c>
      <c r="F2312" s="1">
        <f>IFERROR(__xludf.DUMMYFUNCTION("""COMPUTED_VALUE"""),291533.0)</f>
        <v>291533</v>
      </c>
    </row>
    <row r="2313">
      <c r="A2313" s="2">
        <f>IFERROR(__xludf.DUMMYFUNCTION("""COMPUTED_VALUE"""),42523.66666666667)</f>
        <v>42523.66667</v>
      </c>
      <c r="B2313" s="1">
        <f>IFERROR(__xludf.DUMMYFUNCTION("""COMPUTED_VALUE"""),2.64)</f>
        <v>2.64</v>
      </c>
      <c r="C2313" s="1">
        <f>IFERROR(__xludf.DUMMYFUNCTION("""COMPUTED_VALUE"""),2.66)</f>
        <v>2.66</v>
      </c>
      <c r="D2313" s="1">
        <f>IFERROR(__xludf.DUMMYFUNCTION("""COMPUTED_VALUE"""),2.62)</f>
        <v>2.62</v>
      </c>
      <c r="E2313" s="1">
        <f>IFERROR(__xludf.DUMMYFUNCTION("""COMPUTED_VALUE"""),2.64)</f>
        <v>2.64</v>
      </c>
      <c r="F2313" s="1">
        <f>IFERROR(__xludf.DUMMYFUNCTION("""COMPUTED_VALUE"""),211794.0)</f>
        <v>211794</v>
      </c>
    </row>
    <row r="2314">
      <c r="A2314" s="2">
        <f>IFERROR(__xludf.DUMMYFUNCTION("""COMPUTED_VALUE"""),42524.66666666667)</f>
        <v>42524.66667</v>
      </c>
      <c r="B2314" s="1">
        <f>IFERROR(__xludf.DUMMYFUNCTION("""COMPUTED_VALUE"""),2.65)</f>
        <v>2.65</v>
      </c>
      <c r="C2314" s="1">
        <f>IFERROR(__xludf.DUMMYFUNCTION("""COMPUTED_VALUE"""),2.67)</f>
        <v>2.67</v>
      </c>
      <c r="D2314" s="1">
        <f>IFERROR(__xludf.DUMMYFUNCTION("""COMPUTED_VALUE"""),2.62)</f>
        <v>2.62</v>
      </c>
      <c r="E2314" s="1">
        <f>IFERROR(__xludf.DUMMYFUNCTION("""COMPUTED_VALUE"""),2.66)</f>
        <v>2.66</v>
      </c>
      <c r="F2314" s="1">
        <f>IFERROR(__xludf.DUMMYFUNCTION("""COMPUTED_VALUE"""),230086.0)</f>
        <v>230086</v>
      </c>
    </row>
    <row r="2315">
      <c r="A2315" s="2">
        <f>IFERROR(__xludf.DUMMYFUNCTION("""COMPUTED_VALUE"""),42527.66666666667)</f>
        <v>42527.66667</v>
      </c>
      <c r="B2315" s="1">
        <f>IFERROR(__xludf.DUMMYFUNCTION("""COMPUTED_VALUE"""),2.65)</f>
        <v>2.65</v>
      </c>
      <c r="C2315" s="1">
        <f>IFERROR(__xludf.DUMMYFUNCTION("""COMPUTED_VALUE"""),2.67)</f>
        <v>2.67</v>
      </c>
      <c r="D2315" s="1">
        <f>IFERROR(__xludf.DUMMYFUNCTION("""COMPUTED_VALUE"""),2.63)</f>
        <v>2.63</v>
      </c>
      <c r="E2315" s="1">
        <f>IFERROR(__xludf.DUMMYFUNCTION("""COMPUTED_VALUE"""),2.65)</f>
        <v>2.65</v>
      </c>
      <c r="F2315" s="1">
        <f>IFERROR(__xludf.DUMMYFUNCTION("""COMPUTED_VALUE"""),319682.0)</f>
        <v>319682</v>
      </c>
    </row>
    <row r="2316">
      <c r="A2316" s="2">
        <f>IFERROR(__xludf.DUMMYFUNCTION("""COMPUTED_VALUE"""),42528.66666666667)</f>
        <v>42528.66667</v>
      </c>
      <c r="B2316" s="1">
        <f>IFERROR(__xludf.DUMMYFUNCTION("""COMPUTED_VALUE"""),2.65)</f>
        <v>2.65</v>
      </c>
      <c r="C2316" s="1">
        <f>IFERROR(__xludf.DUMMYFUNCTION("""COMPUTED_VALUE"""),2.67)</f>
        <v>2.67</v>
      </c>
      <c r="D2316" s="1">
        <f>IFERROR(__xludf.DUMMYFUNCTION("""COMPUTED_VALUE"""),2.58)</f>
        <v>2.58</v>
      </c>
      <c r="E2316" s="1">
        <f>IFERROR(__xludf.DUMMYFUNCTION("""COMPUTED_VALUE"""),2.58)</f>
        <v>2.58</v>
      </c>
      <c r="F2316" s="1">
        <f>IFERROR(__xludf.DUMMYFUNCTION("""COMPUTED_VALUE"""),673718.0)</f>
        <v>673718</v>
      </c>
    </row>
    <row r="2317">
      <c r="A2317" s="2">
        <f>IFERROR(__xludf.DUMMYFUNCTION("""COMPUTED_VALUE"""),42529.66666666667)</f>
        <v>42529.66667</v>
      </c>
      <c r="B2317" s="1">
        <f>IFERROR(__xludf.DUMMYFUNCTION("""COMPUTED_VALUE"""),2.59)</f>
        <v>2.59</v>
      </c>
      <c r="C2317" s="1">
        <f>IFERROR(__xludf.DUMMYFUNCTION("""COMPUTED_VALUE"""),2.6)</f>
        <v>2.6</v>
      </c>
      <c r="D2317" s="1">
        <f>IFERROR(__xludf.DUMMYFUNCTION("""COMPUTED_VALUE"""),2.55)</f>
        <v>2.55</v>
      </c>
      <c r="E2317" s="1">
        <f>IFERROR(__xludf.DUMMYFUNCTION("""COMPUTED_VALUE"""),2.58)</f>
        <v>2.58</v>
      </c>
      <c r="F2317" s="1">
        <f>IFERROR(__xludf.DUMMYFUNCTION("""COMPUTED_VALUE"""),648213.0)</f>
        <v>648213</v>
      </c>
    </row>
    <row r="2318">
      <c r="A2318" s="2">
        <f>IFERROR(__xludf.DUMMYFUNCTION("""COMPUTED_VALUE"""),42530.66666666667)</f>
        <v>42530.66667</v>
      </c>
      <c r="B2318" s="1">
        <f>IFERROR(__xludf.DUMMYFUNCTION("""COMPUTED_VALUE"""),2.58)</f>
        <v>2.58</v>
      </c>
      <c r="C2318" s="1">
        <f>IFERROR(__xludf.DUMMYFUNCTION("""COMPUTED_VALUE"""),2.6)</f>
        <v>2.6</v>
      </c>
      <c r="D2318" s="1">
        <f>IFERROR(__xludf.DUMMYFUNCTION("""COMPUTED_VALUE"""),2.56)</f>
        <v>2.56</v>
      </c>
      <c r="E2318" s="1">
        <f>IFERROR(__xludf.DUMMYFUNCTION("""COMPUTED_VALUE"""),2.59)</f>
        <v>2.59</v>
      </c>
      <c r="F2318" s="1">
        <f>IFERROR(__xludf.DUMMYFUNCTION("""COMPUTED_VALUE"""),508876.0)</f>
        <v>508876</v>
      </c>
    </row>
    <row r="2319">
      <c r="A2319" s="2">
        <f>IFERROR(__xludf.DUMMYFUNCTION("""COMPUTED_VALUE"""),42531.66666666667)</f>
        <v>42531.66667</v>
      </c>
      <c r="B2319" s="1">
        <f>IFERROR(__xludf.DUMMYFUNCTION("""COMPUTED_VALUE"""),2.57)</f>
        <v>2.57</v>
      </c>
      <c r="C2319" s="1">
        <f>IFERROR(__xludf.DUMMYFUNCTION("""COMPUTED_VALUE"""),2.6)</f>
        <v>2.6</v>
      </c>
      <c r="D2319" s="1">
        <f>IFERROR(__xludf.DUMMYFUNCTION("""COMPUTED_VALUE"""),2.54)</f>
        <v>2.54</v>
      </c>
      <c r="E2319" s="1">
        <f>IFERROR(__xludf.DUMMYFUNCTION("""COMPUTED_VALUE"""),2.58)</f>
        <v>2.58</v>
      </c>
      <c r="F2319" s="1">
        <f>IFERROR(__xludf.DUMMYFUNCTION("""COMPUTED_VALUE"""),431475.0)</f>
        <v>431475</v>
      </c>
    </row>
    <row r="2320">
      <c r="A2320" s="2">
        <f>IFERROR(__xludf.DUMMYFUNCTION("""COMPUTED_VALUE"""),42534.66666666667)</f>
        <v>42534.66667</v>
      </c>
      <c r="B2320" s="1">
        <f>IFERROR(__xludf.DUMMYFUNCTION("""COMPUTED_VALUE"""),2.55)</f>
        <v>2.55</v>
      </c>
      <c r="C2320" s="1">
        <f>IFERROR(__xludf.DUMMYFUNCTION("""COMPUTED_VALUE"""),2.57)</f>
        <v>2.57</v>
      </c>
      <c r="D2320" s="1">
        <f>IFERROR(__xludf.DUMMYFUNCTION("""COMPUTED_VALUE"""),2.48)</f>
        <v>2.48</v>
      </c>
      <c r="E2320" s="1">
        <f>IFERROR(__xludf.DUMMYFUNCTION("""COMPUTED_VALUE"""),2.48)</f>
        <v>2.48</v>
      </c>
      <c r="F2320" s="1">
        <f>IFERROR(__xludf.DUMMYFUNCTION("""COMPUTED_VALUE"""),529871.0)</f>
        <v>529871</v>
      </c>
    </row>
    <row r="2321">
      <c r="A2321" s="2">
        <f>IFERROR(__xludf.DUMMYFUNCTION("""COMPUTED_VALUE"""),42535.66666666667)</f>
        <v>42535.66667</v>
      </c>
      <c r="B2321" s="1">
        <f>IFERROR(__xludf.DUMMYFUNCTION("""COMPUTED_VALUE"""),2.48)</f>
        <v>2.48</v>
      </c>
      <c r="C2321" s="1">
        <f>IFERROR(__xludf.DUMMYFUNCTION("""COMPUTED_VALUE"""),2.64)</f>
        <v>2.64</v>
      </c>
      <c r="D2321" s="1">
        <f>IFERROR(__xludf.DUMMYFUNCTION("""COMPUTED_VALUE"""),2.48)</f>
        <v>2.48</v>
      </c>
      <c r="E2321" s="1">
        <f>IFERROR(__xludf.DUMMYFUNCTION("""COMPUTED_VALUE"""),2.63)</f>
        <v>2.63</v>
      </c>
      <c r="F2321" s="1">
        <f>IFERROR(__xludf.DUMMYFUNCTION("""COMPUTED_VALUE"""),756155.0)</f>
        <v>756155</v>
      </c>
    </row>
    <row r="2322">
      <c r="A2322" s="2">
        <f>IFERROR(__xludf.DUMMYFUNCTION("""COMPUTED_VALUE"""),42536.66666666667)</f>
        <v>42536.66667</v>
      </c>
      <c r="B2322" s="1">
        <f>IFERROR(__xludf.DUMMYFUNCTION("""COMPUTED_VALUE"""),2.64)</f>
        <v>2.64</v>
      </c>
      <c r="C2322" s="1">
        <f>IFERROR(__xludf.DUMMYFUNCTION("""COMPUTED_VALUE"""),2.65)</f>
        <v>2.65</v>
      </c>
      <c r="D2322" s="1">
        <f>IFERROR(__xludf.DUMMYFUNCTION("""COMPUTED_VALUE"""),2.61)</f>
        <v>2.61</v>
      </c>
      <c r="E2322" s="1">
        <f>IFERROR(__xludf.DUMMYFUNCTION("""COMPUTED_VALUE"""),2.63)</f>
        <v>2.63</v>
      </c>
      <c r="F2322" s="1">
        <f>IFERROR(__xludf.DUMMYFUNCTION("""COMPUTED_VALUE"""),318084.0)</f>
        <v>318084</v>
      </c>
    </row>
    <row r="2323">
      <c r="A2323" s="2">
        <f>IFERROR(__xludf.DUMMYFUNCTION("""COMPUTED_VALUE"""),42537.66666666667)</f>
        <v>42537.66667</v>
      </c>
      <c r="B2323" s="1">
        <f>IFERROR(__xludf.DUMMYFUNCTION("""COMPUTED_VALUE"""),2.61)</f>
        <v>2.61</v>
      </c>
      <c r="C2323" s="1">
        <f>IFERROR(__xludf.DUMMYFUNCTION("""COMPUTED_VALUE"""),2.64)</f>
        <v>2.64</v>
      </c>
      <c r="D2323" s="1">
        <f>IFERROR(__xludf.DUMMYFUNCTION("""COMPUTED_VALUE"""),2.57)</f>
        <v>2.57</v>
      </c>
      <c r="E2323" s="1">
        <f>IFERROR(__xludf.DUMMYFUNCTION("""COMPUTED_VALUE"""),2.63)</f>
        <v>2.63</v>
      </c>
      <c r="F2323" s="1">
        <f>IFERROR(__xludf.DUMMYFUNCTION("""COMPUTED_VALUE"""),223159.0)</f>
        <v>223159</v>
      </c>
    </row>
    <row r="2324">
      <c r="A2324" s="2">
        <f>IFERROR(__xludf.DUMMYFUNCTION("""COMPUTED_VALUE"""),42538.66666666667)</f>
        <v>42538.66667</v>
      </c>
      <c r="B2324" s="1">
        <f>IFERROR(__xludf.DUMMYFUNCTION("""COMPUTED_VALUE"""),2.62)</f>
        <v>2.62</v>
      </c>
      <c r="C2324" s="1">
        <f>IFERROR(__xludf.DUMMYFUNCTION("""COMPUTED_VALUE"""),2.64)</f>
        <v>2.64</v>
      </c>
      <c r="D2324" s="1">
        <f>IFERROR(__xludf.DUMMYFUNCTION("""COMPUTED_VALUE"""),2.59)</f>
        <v>2.59</v>
      </c>
      <c r="E2324" s="1">
        <f>IFERROR(__xludf.DUMMYFUNCTION("""COMPUTED_VALUE"""),2.61)</f>
        <v>2.61</v>
      </c>
      <c r="F2324" s="1">
        <f>IFERROR(__xludf.DUMMYFUNCTION("""COMPUTED_VALUE"""),460834.0)</f>
        <v>460834</v>
      </c>
    </row>
    <row r="2325">
      <c r="A2325" s="2">
        <f>IFERROR(__xludf.DUMMYFUNCTION("""COMPUTED_VALUE"""),42541.66666666667)</f>
        <v>42541.66667</v>
      </c>
      <c r="B2325" s="1">
        <f>IFERROR(__xludf.DUMMYFUNCTION("""COMPUTED_VALUE"""),2.66)</f>
        <v>2.66</v>
      </c>
      <c r="C2325" s="1">
        <f>IFERROR(__xludf.DUMMYFUNCTION("""COMPUTED_VALUE"""),2.69)</f>
        <v>2.69</v>
      </c>
      <c r="D2325" s="1">
        <f>IFERROR(__xludf.DUMMYFUNCTION("""COMPUTED_VALUE"""),2.66)</f>
        <v>2.66</v>
      </c>
      <c r="E2325" s="1">
        <f>IFERROR(__xludf.DUMMYFUNCTION("""COMPUTED_VALUE"""),2.68)</f>
        <v>2.68</v>
      </c>
      <c r="F2325" s="1">
        <f>IFERROR(__xludf.DUMMYFUNCTION("""COMPUTED_VALUE"""),313552.0)</f>
        <v>313552</v>
      </c>
    </row>
    <row r="2326">
      <c r="A2326" s="2">
        <f>IFERROR(__xludf.DUMMYFUNCTION("""COMPUTED_VALUE"""),42542.66666666667)</f>
        <v>42542.66667</v>
      </c>
      <c r="B2326" s="1">
        <f>IFERROR(__xludf.DUMMYFUNCTION("""COMPUTED_VALUE"""),2.69)</f>
        <v>2.69</v>
      </c>
      <c r="C2326" s="1">
        <f>IFERROR(__xludf.DUMMYFUNCTION("""COMPUTED_VALUE"""),2.7)</f>
        <v>2.7</v>
      </c>
      <c r="D2326" s="1">
        <f>IFERROR(__xludf.DUMMYFUNCTION("""COMPUTED_VALUE"""),2.66)</f>
        <v>2.66</v>
      </c>
      <c r="E2326" s="1">
        <f>IFERROR(__xludf.DUMMYFUNCTION("""COMPUTED_VALUE"""),2.7)</f>
        <v>2.7</v>
      </c>
      <c r="F2326" s="1">
        <f>IFERROR(__xludf.DUMMYFUNCTION("""COMPUTED_VALUE"""),348789.0)</f>
        <v>348789</v>
      </c>
    </row>
    <row r="2327">
      <c r="A2327" s="2">
        <f>IFERROR(__xludf.DUMMYFUNCTION("""COMPUTED_VALUE"""),42543.66666666667)</f>
        <v>42543.66667</v>
      </c>
      <c r="B2327" s="1">
        <f>IFERROR(__xludf.DUMMYFUNCTION("""COMPUTED_VALUE"""),2.7)</f>
        <v>2.7</v>
      </c>
      <c r="C2327" s="1">
        <f>IFERROR(__xludf.DUMMYFUNCTION("""COMPUTED_VALUE"""),2.71)</f>
        <v>2.71</v>
      </c>
      <c r="D2327" s="1">
        <f>IFERROR(__xludf.DUMMYFUNCTION("""COMPUTED_VALUE"""),2.64)</f>
        <v>2.64</v>
      </c>
      <c r="E2327" s="1">
        <f>IFERROR(__xludf.DUMMYFUNCTION("""COMPUTED_VALUE"""),2.64)</f>
        <v>2.64</v>
      </c>
      <c r="F2327" s="1">
        <f>IFERROR(__xludf.DUMMYFUNCTION("""COMPUTED_VALUE"""),237297.0)</f>
        <v>237297</v>
      </c>
    </row>
    <row r="2328">
      <c r="A2328" s="2">
        <f>IFERROR(__xludf.DUMMYFUNCTION("""COMPUTED_VALUE"""),42544.66666666667)</f>
        <v>42544.66667</v>
      </c>
      <c r="B2328" s="1">
        <f>IFERROR(__xludf.DUMMYFUNCTION("""COMPUTED_VALUE"""),2.68)</f>
        <v>2.68</v>
      </c>
      <c r="C2328" s="1">
        <f>IFERROR(__xludf.DUMMYFUNCTION("""COMPUTED_VALUE"""),2.7)</f>
        <v>2.7</v>
      </c>
      <c r="D2328" s="1">
        <f>IFERROR(__xludf.DUMMYFUNCTION("""COMPUTED_VALUE"""),2.67)</f>
        <v>2.67</v>
      </c>
      <c r="E2328" s="1">
        <f>IFERROR(__xludf.DUMMYFUNCTION("""COMPUTED_VALUE"""),2.68)</f>
        <v>2.68</v>
      </c>
      <c r="F2328" s="1">
        <f>IFERROR(__xludf.DUMMYFUNCTION("""COMPUTED_VALUE"""),267538.0)</f>
        <v>267538</v>
      </c>
    </row>
    <row r="2329">
      <c r="A2329" s="2">
        <f>IFERROR(__xludf.DUMMYFUNCTION("""COMPUTED_VALUE"""),42545.66666666667)</f>
        <v>42545.66667</v>
      </c>
      <c r="B2329" s="1">
        <f>IFERROR(__xludf.DUMMYFUNCTION("""COMPUTED_VALUE"""),2.56)</f>
        <v>2.56</v>
      </c>
      <c r="C2329" s="1">
        <f>IFERROR(__xludf.DUMMYFUNCTION("""COMPUTED_VALUE"""),2.6)</f>
        <v>2.6</v>
      </c>
      <c r="D2329" s="1">
        <f>IFERROR(__xludf.DUMMYFUNCTION("""COMPUTED_VALUE"""),2.52)</f>
        <v>2.52</v>
      </c>
      <c r="E2329" s="1">
        <f>IFERROR(__xludf.DUMMYFUNCTION("""COMPUTED_VALUE"""),2.52)</f>
        <v>2.52</v>
      </c>
      <c r="F2329" s="1">
        <f>IFERROR(__xludf.DUMMYFUNCTION("""COMPUTED_VALUE"""),1158315.0)</f>
        <v>1158315</v>
      </c>
    </row>
    <row r="2330">
      <c r="A2330" s="2">
        <f>IFERROR(__xludf.DUMMYFUNCTION("""COMPUTED_VALUE"""),42548.66666666667)</f>
        <v>42548.66667</v>
      </c>
      <c r="B2330" s="1">
        <f>IFERROR(__xludf.DUMMYFUNCTION("""COMPUTED_VALUE"""),2.49)</f>
        <v>2.49</v>
      </c>
      <c r="C2330" s="1">
        <f>IFERROR(__xludf.DUMMYFUNCTION("""COMPUTED_VALUE"""),2.52)</f>
        <v>2.52</v>
      </c>
      <c r="D2330" s="1">
        <f>IFERROR(__xludf.DUMMYFUNCTION("""COMPUTED_VALUE"""),2.36)</f>
        <v>2.36</v>
      </c>
      <c r="E2330" s="1">
        <f>IFERROR(__xludf.DUMMYFUNCTION("""COMPUTED_VALUE"""),2.38)</f>
        <v>2.38</v>
      </c>
      <c r="F2330" s="1">
        <f>IFERROR(__xludf.DUMMYFUNCTION("""COMPUTED_VALUE"""),391872.0)</f>
        <v>391872</v>
      </c>
    </row>
    <row r="2331">
      <c r="A2331" s="2">
        <f>IFERROR(__xludf.DUMMYFUNCTION("""COMPUTED_VALUE"""),42549.66666666667)</f>
        <v>42549.66667</v>
      </c>
      <c r="B2331" s="1">
        <f>IFERROR(__xludf.DUMMYFUNCTION("""COMPUTED_VALUE"""),2.39)</f>
        <v>2.39</v>
      </c>
      <c r="C2331" s="1">
        <f>IFERROR(__xludf.DUMMYFUNCTION("""COMPUTED_VALUE"""),2.44)</f>
        <v>2.44</v>
      </c>
      <c r="D2331" s="1">
        <f>IFERROR(__xludf.DUMMYFUNCTION("""COMPUTED_VALUE"""),2.34)</f>
        <v>2.34</v>
      </c>
      <c r="E2331" s="1">
        <f>IFERROR(__xludf.DUMMYFUNCTION("""COMPUTED_VALUE"""),2.4)</f>
        <v>2.4</v>
      </c>
      <c r="F2331" s="1">
        <f>IFERROR(__xludf.DUMMYFUNCTION("""COMPUTED_VALUE"""),472068.0)</f>
        <v>472068</v>
      </c>
    </row>
    <row r="2332">
      <c r="A2332" s="2">
        <f>IFERROR(__xludf.DUMMYFUNCTION("""COMPUTED_VALUE"""),42550.66666666667)</f>
        <v>42550.66667</v>
      </c>
      <c r="B2332" s="1">
        <f>IFERROR(__xludf.DUMMYFUNCTION("""COMPUTED_VALUE"""),2.43)</f>
        <v>2.43</v>
      </c>
      <c r="C2332" s="1">
        <f>IFERROR(__xludf.DUMMYFUNCTION("""COMPUTED_VALUE"""),2.46)</f>
        <v>2.46</v>
      </c>
      <c r="D2332" s="1">
        <f>IFERROR(__xludf.DUMMYFUNCTION("""COMPUTED_VALUE"""),2.4)</f>
        <v>2.4</v>
      </c>
      <c r="E2332" s="1">
        <f>IFERROR(__xludf.DUMMYFUNCTION("""COMPUTED_VALUE"""),2.44)</f>
        <v>2.44</v>
      </c>
      <c r="F2332" s="1">
        <f>IFERROR(__xludf.DUMMYFUNCTION("""COMPUTED_VALUE"""),258598.0)</f>
        <v>258598</v>
      </c>
    </row>
    <row r="2333">
      <c r="A2333" s="2">
        <f>IFERROR(__xludf.DUMMYFUNCTION("""COMPUTED_VALUE"""),42551.66666666667)</f>
        <v>42551.66667</v>
      </c>
      <c r="B2333" s="1">
        <f>IFERROR(__xludf.DUMMYFUNCTION("""COMPUTED_VALUE"""),2.43)</f>
        <v>2.43</v>
      </c>
      <c r="C2333" s="1">
        <f>IFERROR(__xludf.DUMMYFUNCTION("""COMPUTED_VALUE"""),2.49)</f>
        <v>2.49</v>
      </c>
      <c r="D2333" s="1">
        <f>IFERROR(__xludf.DUMMYFUNCTION("""COMPUTED_VALUE"""),2.43)</f>
        <v>2.43</v>
      </c>
      <c r="E2333" s="1">
        <f>IFERROR(__xludf.DUMMYFUNCTION("""COMPUTED_VALUE"""),2.49)</f>
        <v>2.49</v>
      </c>
      <c r="F2333" s="1">
        <f>IFERROR(__xludf.DUMMYFUNCTION("""COMPUTED_VALUE"""),341741.0)</f>
        <v>341741</v>
      </c>
    </row>
    <row r="2334">
      <c r="A2334" s="2">
        <f>IFERROR(__xludf.DUMMYFUNCTION("""COMPUTED_VALUE"""),42552.66666666667)</f>
        <v>42552.66667</v>
      </c>
      <c r="B2334" s="1">
        <f>IFERROR(__xludf.DUMMYFUNCTION("""COMPUTED_VALUE"""),2.48)</f>
        <v>2.48</v>
      </c>
      <c r="C2334" s="1">
        <f>IFERROR(__xludf.DUMMYFUNCTION("""COMPUTED_VALUE"""),2.5)</f>
        <v>2.5</v>
      </c>
      <c r="D2334" s="1">
        <f>IFERROR(__xludf.DUMMYFUNCTION("""COMPUTED_VALUE"""),2.43)</f>
        <v>2.43</v>
      </c>
      <c r="E2334" s="1">
        <f>IFERROR(__xludf.DUMMYFUNCTION("""COMPUTED_VALUE"""),2.46)</f>
        <v>2.46</v>
      </c>
      <c r="F2334" s="1">
        <f>IFERROR(__xludf.DUMMYFUNCTION("""COMPUTED_VALUE"""),230807.0)</f>
        <v>230807</v>
      </c>
    </row>
    <row r="2335">
      <c r="A2335" s="2">
        <f>IFERROR(__xludf.DUMMYFUNCTION("""COMPUTED_VALUE"""),42556.66666666667)</f>
        <v>42556.66667</v>
      </c>
      <c r="B2335" s="1">
        <f>IFERROR(__xludf.DUMMYFUNCTION("""COMPUTED_VALUE"""),2.45)</f>
        <v>2.45</v>
      </c>
      <c r="C2335" s="1">
        <f>IFERROR(__xludf.DUMMYFUNCTION("""COMPUTED_VALUE"""),2.46)</f>
        <v>2.46</v>
      </c>
      <c r="D2335" s="1">
        <f>IFERROR(__xludf.DUMMYFUNCTION("""COMPUTED_VALUE"""),2.37)</f>
        <v>2.37</v>
      </c>
      <c r="E2335" s="1">
        <f>IFERROR(__xludf.DUMMYFUNCTION("""COMPUTED_VALUE"""),2.38)</f>
        <v>2.38</v>
      </c>
      <c r="F2335" s="1">
        <f>IFERROR(__xludf.DUMMYFUNCTION("""COMPUTED_VALUE"""),240165.0)</f>
        <v>240165</v>
      </c>
    </row>
    <row r="2336">
      <c r="A2336" s="2">
        <f>IFERROR(__xludf.DUMMYFUNCTION("""COMPUTED_VALUE"""),42557.66666666667)</f>
        <v>42557.66667</v>
      </c>
      <c r="B2336" s="1">
        <f>IFERROR(__xludf.DUMMYFUNCTION("""COMPUTED_VALUE"""),2.38)</f>
        <v>2.38</v>
      </c>
      <c r="C2336" s="1">
        <f>IFERROR(__xludf.DUMMYFUNCTION("""COMPUTED_VALUE"""),2.42)</f>
        <v>2.42</v>
      </c>
      <c r="D2336" s="1">
        <f>IFERROR(__xludf.DUMMYFUNCTION("""COMPUTED_VALUE"""),2.32)</f>
        <v>2.32</v>
      </c>
      <c r="E2336" s="1">
        <f>IFERROR(__xludf.DUMMYFUNCTION("""COMPUTED_VALUE"""),2.42)</f>
        <v>2.42</v>
      </c>
      <c r="F2336" s="1">
        <f>IFERROR(__xludf.DUMMYFUNCTION("""COMPUTED_VALUE"""),379438.0)</f>
        <v>379438</v>
      </c>
    </row>
    <row r="2337">
      <c r="A2337" s="2">
        <f>IFERROR(__xludf.DUMMYFUNCTION("""COMPUTED_VALUE"""),42558.66666666667)</f>
        <v>42558.66667</v>
      </c>
      <c r="B2337" s="1">
        <f>IFERROR(__xludf.DUMMYFUNCTION("""COMPUTED_VALUE"""),2.44)</f>
        <v>2.44</v>
      </c>
      <c r="C2337" s="1">
        <f>IFERROR(__xludf.DUMMYFUNCTION("""COMPUTED_VALUE"""),2.47)</f>
        <v>2.47</v>
      </c>
      <c r="D2337" s="1">
        <f>IFERROR(__xludf.DUMMYFUNCTION("""COMPUTED_VALUE"""),2.41)</f>
        <v>2.41</v>
      </c>
      <c r="E2337" s="1">
        <f>IFERROR(__xludf.DUMMYFUNCTION("""COMPUTED_VALUE"""),2.44)</f>
        <v>2.44</v>
      </c>
      <c r="F2337" s="1">
        <f>IFERROR(__xludf.DUMMYFUNCTION("""COMPUTED_VALUE"""),242377.0)</f>
        <v>242377</v>
      </c>
    </row>
    <row r="2338">
      <c r="A2338" s="2">
        <f>IFERROR(__xludf.DUMMYFUNCTION("""COMPUTED_VALUE"""),42559.66666666667)</f>
        <v>42559.66667</v>
      </c>
      <c r="B2338" s="1">
        <f>IFERROR(__xludf.DUMMYFUNCTION("""COMPUTED_VALUE"""),2.47)</f>
        <v>2.47</v>
      </c>
      <c r="C2338" s="1">
        <f>IFERROR(__xludf.DUMMYFUNCTION("""COMPUTED_VALUE"""),2.54)</f>
        <v>2.54</v>
      </c>
      <c r="D2338" s="1">
        <f>IFERROR(__xludf.DUMMYFUNCTION("""COMPUTED_VALUE"""),2.46)</f>
        <v>2.46</v>
      </c>
      <c r="E2338" s="1">
        <f>IFERROR(__xludf.DUMMYFUNCTION("""COMPUTED_VALUE"""),2.53)</f>
        <v>2.53</v>
      </c>
      <c r="F2338" s="1">
        <f>IFERROR(__xludf.DUMMYFUNCTION("""COMPUTED_VALUE"""),356959.0)</f>
        <v>356959</v>
      </c>
    </row>
    <row r="2339">
      <c r="A2339" s="2">
        <f>IFERROR(__xludf.DUMMYFUNCTION("""COMPUTED_VALUE"""),42562.66666666667)</f>
        <v>42562.66667</v>
      </c>
      <c r="B2339" s="1">
        <f>IFERROR(__xludf.DUMMYFUNCTION("""COMPUTED_VALUE"""),2.54)</f>
        <v>2.54</v>
      </c>
      <c r="C2339" s="1">
        <f>IFERROR(__xludf.DUMMYFUNCTION("""COMPUTED_VALUE"""),2.57)</f>
        <v>2.57</v>
      </c>
      <c r="D2339" s="1">
        <f>IFERROR(__xludf.DUMMYFUNCTION("""COMPUTED_VALUE"""),2.52)</f>
        <v>2.52</v>
      </c>
      <c r="E2339" s="1">
        <f>IFERROR(__xludf.DUMMYFUNCTION("""COMPUTED_VALUE"""),2.52)</f>
        <v>2.52</v>
      </c>
      <c r="F2339" s="1">
        <f>IFERROR(__xludf.DUMMYFUNCTION("""COMPUTED_VALUE"""),191422.0)</f>
        <v>191422</v>
      </c>
    </row>
    <row r="2340">
      <c r="A2340" s="2">
        <f>IFERROR(__xludf.DUMMYFUNCTION("""COMPUTED_VALUE"""),42563.66666666667)</f>
        <v>42563.66667</v>
      </c>
      <c r="B2340" s="1">
        <f>IFERROR(__xludf.DUMMYFUNCTION("""COMPUTED_VALUE"""),2.56)</f>
        <v>2.56</v>
      </c>
      <c r="C2340" s="1">
        <f>IFERROR(__xludf.DUMMYFUNCTION("""COMPUTED_VALUE"""),2.63)</f>
        <v>2.63</v>
      </c>
      <c r="D2340" s="1">
        <f>IFERROR(__xludf.DUMMYFUNCTION("""COMPUTED_VALUE"""),2.55)</f>
        <v>2.55</v>
      </c>
      <c r="E2340" s="1">
        <f>IFERROR(__xludf.DUMMYFUNCTION("""COMPUTED_VALUE"""),2.6)</f>
        <v>2.6</v>
      </c>
      <c r="F2340" s="1">
        <f>IFERROR(__xludf.DUMMYFUNCTION("""COMPUTED_VALUE"""),360503.0)</f>
        <v>360503</v>
      </c>
    </row>
    <row r="2341">
      <c r="A2341" s="2">
        <f>IFERROR(__xludf.DUMMYFUNCTION("""COMPUTED_VALUE"""),42564.66666666667)</f>
        <v>42564.66667</v>
      </c>
      <c r="B2341" s="1">
        <f>IFERROR(__xludf.DUMMYFUNCTION("""COMPUTED_VALUE"""),2.62)</f>
        <v>2.62</v>
      </c>
      <c r="C2341" s="1">
        <f>IFERROR(__xludf.DUMMYFUNCTION("""COMPUTED_VALUE"""),2.62)</f>
        <v>2.62</v>
      </c>
      <c r="D2341" s="1">
        <f>IFERROR(__xludf.DUMMYFUNCTION("""COMPUTED_VALUE"""),2.57)</f>
        <v>2.57</v>
      </c>
      <c r="E2341" s="1">
        <f>IFERROR(__xludf.DUMMYFUNCTION("""COMPUTED_VALUE"""),2.61)</f>
        <v>2.61</v>
      </c>
      <c r="F2341" s="1">
        <f>IFERROR(__xludf.DUMMYFUNCTION("""COMPUTED_VALUE"""),246056.0)</f>
        <v>246056</v>
      </c>
    </row>
    <row r="2342">
      <c r="A2342" s="2">
        <f>IFERROR(__xludf.DUMMYFUNCTION("""COMPUTED_VALUE"""),42565.66666666667)</f>
        <v>42565.66667</v>
      </c>
      <c r="B2342" s="1">
        <f>IFERROR(__xludf.DUMMYFUNCTION("""COMPUTED_VALUE"""),2.62)</f>
        <v>2.62</v>
      </c>
      <c r="C2342" s="1">
        <f>IFERROR(__xludf.DUMMYFUNCTION("""COMPUTED_VALUE"""),2.64)</f>
        <v>2.64</v>
      </c>
      <c r="D2342" s="1">
        <f>IFERROR(__xludf.DUMMYFUNCTION("""COMPUTED_VALUE"""),2.59)</f>
        <v>2.59</v>
      </c>
      <c r="E2342" s="1">
        <f>IFERROR(__xludf.DUMMYFUNCTION("""COMPUTED_VALUE"""),2.62)</f>
        <v>2.62</v>
      </c>
      <c r="F2342" s="1">
        <f>IFERROR(__xludf.DUMMYFUNCTION("""COMPUTED_VALUE"""),332083.0)</f>
        <v>332083</v>
      </c>
    </row>
    <row r="2343">
      <c r="A2343" s="2">
        <f>IFERROR(__xludf.DUMMYFUNCTION("""COMPUTED_VALUE"""),42566.66666666667)</f>
        <v>42566.66667</v>
      </c>
      <c r="B2343" s="1">
        <f>IFERROR(__xludf.DUMMYFUNCTION("""COMPUTED_VALUE"""),2.63)</f>
        <v>2.63</v>
      </c>
      <c r="C2343" s="1">
        <f>IFERROR(__xludf.DUMMYFUNCTION("""COMPUTED_VALUE"""),2.63)</f>
        <v>2.63</v>
      </c>
      <c r="D2343" s="1">
        <f>IFERROR(__xludf.DUMMYFUNCTION("""COMPUTED_VALUE"""),2.58)</f>
        <v>2.58</v>
      </c>
      <c r="E2343" s="1">
        <f>IFERROR(__xludf.DUMMYFUNCTION("""COMPUTED_VALUE"""),2.6)</f>
        <v>2.6</v>
      </c>
      <c r="F2343" s="1">
        <f>IFERROR(__xludf.DUMMYFUNCTION("""COMPUTED_VALUE"""),163038.0)</f>
        <v>163038</v>
      </c>
    </row>
    <row r="2344">
      <c r="A2344" s="2">
        <f>IFERROR(__xludf.DUMMYFUNCTION("""COMPUTED_VALUE"""),42569.66666666667)</f>
        <v>42569.66667</v>
      </c>
      <c r="B2344" s="1">
        <f>IFERROR(__xludf.DUMMYFUNCTION("""COMPUTED_VALUE"""),2.62)</f>
        <v>2.62</v>
      </c>
      <c r="C2344" s="1">
        <f>IFERROR(__xludf.DUMMYFUNCTION("""COMPUTED_VALUE"""),2.66)</f>
        <v>2.66</v>
      </c>
      <c r="D2344" s="1">
        <f>IFERROR(__xludf.DUMMYFUNCTION("""COMPUTED_VALUE"""),2.6)</f>
        <v>2.6</v>
      </c>
      <c r="E2344" s="1">
        <f>IFERROR(__xludf.DUMMYFUNCTION("""COMPUTED_VALUE"""),2.63)</f>
        <v>2.63</v>
      </c>
      <c r="F2344" s="1">
        <f>IFERROR(__xludf.DUMMYFUNCTION("""COMPUTED_VALUE"""),157258.0)</f>
        <v>157258</v>
      </c>
    </row>
    <row r="2345">
      <c r="A2345" s="2">
        <f>IFERROR(__xludf.DUMMYFUNCTION("""COMPUTED_VALUE"""),42570.66666666667)</f>
        <v>42570.66667</v>
      </c>
      <c r="B2345" s="1">
        <f>IFERROR(__xludf.DUMMYFUNCTION("""COMPUTED_VALUE"""),2.05)</f>
        <v>2.05</v>
      </c>
      <c r="C2345" s="1">
        <f>IFERROR(__xludf.DUMMYFUNCTION("""COMPUTED_VALUE"""),2.06)</f>
        <v>2.06</v>
      </c>
      <c r="D2345" s="1">
        <f>IFERROR(__xludf.DUMMYFUNCTION("""COMPUTED_VALUE"""),1.86)</f>
        <v>1.86</v>
      </c>
      <c r="E2345" s="1">
        <f>IFERROR(__xludf.DUMMYFUNCTION("""COMPUTED_VALUE"""),1.9)</f>
        <v>1.9</v>
      </c>
      <c r="F2345" s="1">
        <f>IFERROR(__xludf.DUMMYFUNCTION("""COMPUTED_VALUE"""),8027180.0)</f>
        <v>8027180</v>
      </c>
    </row>
    <row r="2346">
      <c r="A2346" s="2">
        <f>IFERROR(__xludf.DUMMYFUNCTION("""COMPUTED_VALUE"""),42571.66666666667)</f>
        <v>42571.66667</v>
      </c>
      <c r="B2346" s="1">
        <f>IFERROR(__xludf.DUMMYFUNCTION("""COMPUTED_VALUE"""),1.91)</f>
        <v>1.91</v>
      </c>
      <c r="C2346" s="1">
        <f>IFERROR(__xludf.DUMMYFUNCTION("""COMPUTED_VALUE"""),1.96)</f>
        <v>1.96</v>
      </c>
      <c r="D2346" s="1">
        <f>IFERROR(__xludf.DUMMYFUNCTION("""COMPUTED_VALUE"""),1.9)</f>
        <v>1.9</v>
      </c>
      <c r="E2346" s="1">
        <f>IFERROR(__xludf.DUMMYFUNCTION("""COMPUTED_VALUE"""),1.96)</f>
        <v>1.96</v>
      </c>
      <c r="F2346" s="1">
        <f>IFERROR(__xludf.DUMMYFUNCTION("""COMPUTED_VALUE"""),2201829.0)</f>
        <v>2201829</v>
      </c>
    </row>
    <row r="2347">
      <c r="A2347" s="2">
        <f>IFERROR(__xludf.DUMMYFUNCTION("""COMPUTED_VALUE"""),42572.66666666667)</f>
        <v>42572.66667</v>
      </c>
      <c r="B2347" s="1">
        <f>IFERROR(__xludf.DUMMYFUNCTION("""COMPUTED_VALUE"""),1.96)</f>
        <v>1.96</v>
      </c>
      <c r="C2347" s="1">
        <f>IFERROR(__xludf.DUMMYFUNCTION("""COMPUTED_VALUE"""),2.0)</f>
        <v>2</v>
      </c>
      <c r="D2347" s="1">
        <f>IFERROR(__xludf.DUMMYFUNCTION("""COMPUTED_VALUE"""),1.96)</f>
        <v>1.96</v>
      </c>
      <c r="E2347" s="1">
        <f>IFERROR(__xludf.DUMMYFUNCTION("""COMPUTED_VALUE"""),2.0)</f>
        <v>2</v>
      </c>
      <c r="F2347" s="1">
        <f>IFERROR(__xludf.DUMMYFUNCTION("""COMPUTED_VALUE"""),946676.0)</f>
        <v>946676</v>
      </c>
    </row>
    <row r="2348">
      <c r="A2348" s="2">
        <f>IFERROR(__xludf.DUMMYFUNCTION("""COMPUTED_VALUE"""),42573.66666666667)</f>
        <v>42573.66667</v>
      </c>
      <c r="B2348" s="1">
        <f>IFERROR(__xludf.DUMMYFUNCTION("""COMPUTED_VALUE"""),2.0)</f>
        <v>2</v>
      </c>
      <c r="C2348" s="1">
        <f>IFERROR(__xludf.DUMMYFUNCTION("""COMPUTED_VALUE"""),2.04)</f>
        <v>2.04</v>
      </c>
      <c r="D2348" s="1">
        <f>IFERROR(__xludf.DUMMYFUNCTION("""COMPUTED_VALUE"""),2.0)</f>
        <v>2</v>
      </c>
      <c r="E2348" s="1">
        <f>IFERROR(__xludf.DUMMYFUNCTION("""COMPUTED_VALUE"""),2.01)</f>
        <v>2.01</v>
      </c>
      <c r="F2348" s="1">
        <f>IFERROR(__xludf.DUMMYFUNCTION("""COMPUTED_VALUE"""),882232.0)</f>
        <v>882232</v>
      </c>
    </row>
    <row r="2349">
      <c r="A2349" s="2">
        <f>IFERROR(__xludf.DUMMYFUNCTION("""COMPUTED_VALUE"""),42576.66666666667)</f>
        <v>42576.66667</v>
      </c>
      <c r="B2349" s="1">
        <f>IFERROR(__xludf.DUMMYFUNCTION("""COMPUTED_VALUE"""),2.01)</f>
        <v>2.01</v>
      </c>
      <c r="C2349" s="1">
        <f>IFERROR(__xludf.DUMMYFUNCTION("""COMPUTED_VALUE"""),2.08)</f>
        <v>2.08</v>
      </c>
      <c r="D2349" s="1">
        <f>IFERROR(__xludf.DUMMYFUNCTION("""COMPUTED_VALUE"""),2.01)</f>
        <v>2.01</v>
      </c>
      <c r="E2349" s="1">
        <f>IFERROR(__xludf.DUMMYFUNCTION("""COMPUTED_VALUE"""),2.03)</f>
        <v>2.03</v>
      </c>
      <c r="F2349" s="1">
        <f>IFERROR(__xludf.DUMMYFUNCTION("""COMPUTED_VALUE"""),619166.0)</f>
        <v>619166</v>
      </c>
    </row>
    <row r="2350">
      <c r="A2350" s="2">
        <f>IFERROR(__xludf.DUMMYFUNCTION("""COMPUTED_VALUE"""),42577.66666666667)</f>
        <v>42577.66667</v>
      </c>
      <c r="B2350" s="1">
        <f>IFERROR(__xludf.DUMMYFUNCTION("""COMPUTED_VALUE"""),2.03)</f>
        <v>2.03</v>
      </c>
      <c r="C2350" s="1">
        <f>IFERROR(__xludf.DUMMYFUNCTION("""COMPUTED_VALUE"""),2.11)</f>
        <v>2.11</v>
      </c>
      <c r="D2350" s="1">
        <f>IFERROR(__xludf.DUMMYFUNCTION("""COMPUTED_VALUE"""),2.03)</f>
        <v>2.03</v>
      </c>
      <c r="E2350" s="1">
        <f>IFERROR(__xludf.DUMMYFUNCTION("""COMPUTED_VALUE"""),2.1)</f>
        <v>2.1</v>
      </c>
      <c r="F2350" s="1">
        <f>IFERROR(__xludf.DUMMYFUNCTION("""COMPUTED_VALUE"""),586070.0)</f>
        <v>586070</v>
      </c>
    </row>
    <row r="2351">
      <c r="A2351" s="2">
        <f>IFERROR(__xludf.DUMMYFUNCTION("""COMPUTED_VALUE"""),42578.66666666667)</f>
        <v>42578.66667</v>
      </c>
      <c r="B2351" s="1">
        <f>IFERROR(__xludf.DUMMYFUNCTION("""COMPUTED_VALUE"""),2.11)</f>
        <v>2.11</v>
      </c>
      <c r="C2351" s="1">
        <f>IFERROR(__xludf.DUMMYFUNCTION("""COMPUTED_VALUE"""),2.13)</f>
        <v>2.13</v>
      </c>
      <c r="D2351" s="1">
        <f>IFERROR(__xludf.DUMMYFUNCTION("""COMPUTED_VALUE"""),2.1)</f>
        <v>2.1</v>
      </c>
      <c r="E2351" s="1">
        <f>IFERROR(__xludf.DUMMYFUNCTION("""COMPUTED_VALUE"""),2.13)</f>
        <v>2.13</v>
      </c>
      <c r="F2351" s="1">
        <f>IFERROR(__xludf.DUMMYFUNCTION("""COMPUTED_VALUE"""),533118.0)</f>
        <v>533118</v>
      </c>
    </row>
    <row r="2352">
      <c r="A2352" s="2">
        <f>IFERROR(__xludf.DUMMYFUNCTION("""COMPUTED_VALUE"""),42579.66666666667)</f>
        <v>42579.66667</v>
      </c>
      <c r="B2352" s="1">
        <f>IFERROR(__xludf.DUMMYFUNCTION("""COMPUTED_VALUE"""),2.13)</f>
        <v>2.13</v>
      </c>
      <c r="C2352" s="1">
        <f>IFERROR(__xludf.DUMMYFUNCTION("""COMPUTED_VALUE"""),2.15)</f>
        <v>2.15</v>
      </c>
      <c r="D2352" s="1">
        <f>IFERROR(__xludf.DUMMYFUNCTION("""COMPUTED_VALUE"""),2.11)</f>
        <v>2.11</v>
      </c>
      <c r="E2352" s="1">
        <f>IFERROR(__xludf.DUMMYFUNCTION("""COMPUTED_VALUE"""),2.14)</f>
        <v>2.14</v>
      </c>
      <c r="F2352" s="1">
        <f>IFERROR(__xludf.DUMMYFUNCTION("""COMPUTED_VALUE"""),333661.0)</f>
        <v>333661</v>
      </c>
    </row>
    <row r="2353">
      <c r="A2353" s="2">
        <f>IFERROR(__xludf.DUMMYFUNCTION("""COMPUTED_VALUE"""),42580.66666666667)</f>
        <v>42580.66667</v>
      </c>
      <c r="B2353" s="1">
        <f>IFERROR(__xludf.DUMMYFUNCTION("""COMPUTED_VALUE"""),2.14)</f>
        <v>2.14</v>
      </c>
      <c r="C2353" s="1">
        <f>IFERROR(__xludf.DUMMYFUNCTION("""COMPUTED_VALUE"""),2.16)</f>
        <v>2.16</v>
      </c>
      <c r="D2353" s="1">
        <f>IFERROR(__xludf.DUMMYFUNCTION("""COMPUTED_VALUE"""),2.12)</f>
        <v>2.12</v>
      </c>
      <c r="E2353" s="1">
        <f>IFERROR(__xludf.DUMMYFUNCTION("""COMPUTED_VALUE"""),2.15)</f>
        <v>2.15</v>
      </c>
      <c r="F2353" s="1">
        <f>IFERROR(__xludf.DUMMYFUNCTION("""COMPUTED_VALUE"""),590734.0)</f>
        <v>590734</v>
      </c>
    </row>
    <row r="2354">
      <c r="A2354" s="2">
        <f>IFERROR(__xludf.DUMMYFUNCTION("""COMPUTED_VALUE"""),42583.66666666667)</f>
        <v>42583.66667</v>
      </c>
      <c r="B2354" s="1">
        <f>IFERROR(__xludf.DUMMYFUNCTION("""COMPUTED_VALUE"""),2.15)</f>
        <v>2.15</v>
      </c>
      <c r="C2354" s="1">
        <f>IFERROR(__xludf.DUMMYFUNCTION("""COMPUTED_VALUE"""),2.17)</f>
        <v>2.17</v>
      </c>
      <c r="D2354" s="1">
        <f>IFERROR(__xludf.DUMMYFUNCTION("""COMPUTED_VALUE"""),2.14)</f>
        <v>2.14</v>
      </c>
      <c r="E2354" s="1">
        <f>IFERROR(__xludf.DUMMYFUNCTION("""COMPUTED_VALUE"""),2.16)</f>
        <v>2.16</v>
      </c>
      <c r="F2354" s="1">
        <f>IFERROR(__xludf.DUMMYFUNCTION("""COMPUTED_VALUE"""),350952.0)</f>
        <v>350952</v>
      </c>
    </row>
    <row r="2355">
      <c r="A2355" s="2">
        <f>IFERROR(__xludf.DUMMYFUNCTION("""COMPUTED_VALUE"""),42584.66666666667)</f>
        <v>42584.66667</v>
      </c>
      <c r="B2355" s="1">
        <f>IFERROR(__xludf.DUMMYFUNCTION("""COMPUTED_VALUE"""),2.16)</f>
        <v>2.16</v>
      </c>
      <c r="C2355" s="1">
        <f>IFERROR(__xludf.DUMMYFUNCTION("""COMPUTED_VALUE"""),2.17)</f>
        <v>2.17</v>
      </c>
      <c r="D2355" s="1">
        <f>IFERROR(__xludf.DUMMYFUNCTION("""COMPUTED_VALUE"""),2.1)</f>
        <v>2.1</v>
      </c>
      <c r="E2355" s="1">
        <f>IFERROR(__xludf.DUMMYFUNCTION("""COMPUTED_VALUE"""),2.11)</f>
        <v>2.11</v>
      </c>
      <c r="F2355" s="1">
        <f>IFERROR(__xludf.DUMMYFUNCTION("""COMPUTED_VALUE"""),378988.0)</f>
        <v>378988</v>
      </c>
    </row>
    <row r="2356">
      <c r="A2356" s="2">
        <f>IFERROR(__xludf.DUMMYFUNCTION("""COMPUTED_VALUE"""),42585.66666666667)</f>
        <v>42585.66667</v>
      </c>
      <c r="B2356" s="1">
        <f>IFERROR(__xludf.DUMMYFUNCTION("""COMPUTED_VALUE"""),2.1)</f>
        <v>2.1</v>
      </c>
      <c r="C2356" s="1">
        <f>IFERROR(__xludf.DUMMYFUNCTION("""COMPUTED_VALUE"""),2.1)</f>
        <v>2.1</v>
      </c>
      <c r="D2356" s="1">
        <f>IFERROR(__xludf.DUMMYFUNCTION("""COMPUTED_VALUE"""),2.05)</f>
        <v>2.05</v>
      </c>
      <c r="E2356" s="1">
        <f>IFERROR(__xludf.DUMMYFUNCTION("""COMPUTED_VALUE"""),2.05)</f>
        <v>2.05</v>
      </c>
      <c r="F2356" s="1">
        <f>IFERROR(__xludf.DUMMYFUNCTION("""COMPUTED_VALUE"""),413193.0)</f>
        <v>413193</v>
      </c>
    </row>
    <row r="2357">
      <c r="A2357" s="2">
        <f>IFERROR(__xludf.DUMMYFUNCTION("""COMPUTED_VALUE"""),42586.66666666667)</f>
        <v>42586.66667</v>
      </c>
      <c r="B2357" s="1">
        <f>IFERROR(__xludf.DUMMYFUNCTION("""COMPUTED_VALUE"""),2.06)</f>
        <v>2.06</v>
      </c>
      <c r="C2357" s="1">
        <f>IFERROR(__xludf.DUMMYFUNCTION("""COMPUTED_VALUE"""),2.09)</f>
        <v>2.09</v>
      </c>
      <c r="D2357" s="1">
        <f>IFERROR(__xludf.DUMMYFUNCTION("""COMPUTED_VALUE"""),2.04)</f>
        <v>2.04</v>
      </c>
      <c r="E2357" s="1">
        <f>IFERROR(__xludf.DUMMYFUNCTION("""COMPUTED_VALUE"""),2.04)</f>
        <v>2.04</v>
      </c>
      <c r="F2357" s="1">
        <f>IFERROR(__xludf.DUMMYFUNCTION("""COMPUTED_VALUE"""),434997.0)</f>
        <v>434997</v>
      </c>
    </row>
    <row r="2358">
      <c r="A2358" s="2">
        <f>IFERROR(__xludf.DUMMYFUNCTION("""COMPUTED_VALUE"""),42587.66666666667)</f>
        <v>42587.66667</v>
      </c>
      <c r="B2358" s="1">
        <f>IFERROR(__xludf.DUMMYFUNCTION("""COMPUTED_VALUE"""),2.0)</f>
        <v>2</v>
      </c>
      <c r="C2358" s="1">
        <f>IFERROR(__xludf.DUMMYFUNCTION("""COMPUTED_VALUE"""),2.16)</f>
        <v>2.16</v>
      </c>
      <c r="D2358" s="1">
        <f>IFERROR(__xludf.DUMMYFUNCTION("""COMPUTED_VALUE"""),1.93)</f>
        <v>1.93</v>
      </c>
      <c r="E2358" s="1">
        <f>IFERROR(__xludf.DUMMYFUNCTION("""COMPUTED_VALUE"""),2.15)</f>
        <v>2.15</v>
      </c>
      <c r="F2358" s="1">
        <f>IFERROR(__xludf.DUMMYFUNCTION("""COMPUTED_VALUE"""),1237339.0)</f>
        <v>1237339</v>
      </c>
    </row>
    <row r="2359">
      <c r="A2359" s="2">
        <f>IFERROR(__xludf.DUMMYFUNCTION("""COMPUTED_VALUE"""),42590.66666666667)</f>
        <v>42590.66667</v>
      </c>
      <c r="B2359" s="1">
        <f>IFERROR(__xludf.DUMMYFUNCTION("""COMPUTED_VALUE"""),2.15)</f>
        <v>2.15</v>
      </c>
      <c r="C2359" s="1">
        <f>IFERROR(__xludf.DUMMYFUNCTION("""COMPUTED_VALUE"""),2.17)</f>
        <v>2.17</v>
      </c>
      <c r="D2359" s="1">
        <f>IFERROR(__xludf.DUMMYFUNCTION("""COMPUTED_VALUE"""),2.11)</f>
        <v>2.11</v>
      </c>
      <c r="E2359" s="1">
        <f>IFERROR(__xludf.DUMMYFUNCTION("""COMPUTED_VALUE"""),2.16)</f>
        <v>2.16</v>
      </c>
      <c r="F2359" s="1">
        <f>IFERROR(__xludf.DUMMYFUNCTION("""COMPUTED_VALUE"""),429486.0)</f>
        <v>429486</v>
      </c>
    </row>
    <row r="2360">
      <c r="A2360" s="2">
        <f>IFERROR(__xludf.DUMMYFUNCTION("""COMPUTED_VALUE"""),42591.66666666667)</f>
        <v>42591.66667</v>
      </c>
      <c r="B2360" s="1">
        <f>IFERROR(__xludf.DUMMYFUNCTION("""COMPUTED_VALUE"""),2.15)</f>
        <v>2.15</v>
      </c>
      <c r="C2360" s="1">
        <f>IFERROR(__xludf.DUMMYFUNCTION("""COMPUTED_VALUE"""),2.19)</f>
        <v>2.19</v>
      </c>
      <c r="D2360" s="1">
        <f>IFERROR(__xludf.DUMMYFUNCTION("""COMPUTED_VALUE"""),2.12)</f>
        <v>2.12</v>
      </c>
      <c r="E2360" s="1">
        <f>IFERROR(__xludf.DUMMYFUNCTION("""COMPUTED_VALUE"""),2.15)</f>
        <v>2.15</v>
      </c>
      <c r="F2360" s="1">
        <f>IFERROR(__xludf.DUMMYFUNCTION("""COMPUTED_VALUE"""),418800.0)</f>
        <v>418800</v>
      </c>
    </row>
    <row r="2361">
      <c r="A2361" s="2">
        <f>IFERROR(__xludf.DUMMYFUNCTION("""COMPUTED_VALUE"""),42592.66666666667)</f>
        <v>42592.66667</v>
      </c>
      <c r="B2361" s="1">
        <f>IFERROR(__xludf.DUMMYFUNCTION("""COMPUTED_VALUE"""),2.15)</f>
        <v>2.15</v>
      </c>
      <c r="C2361" s="1">
        <f>IFERROR(__xludf.DUMMYFUNCTION("""COMPUTED_VALUE"""),2.16)</f>
        <v>2.16</v>
      </c>
      <c r="D2361" s="1">
        <f>IFERROR(__xludf.DUMMYFUNCTION("""COMPUTED_VALUE"""),2.11)</f>
        <v>2.11</v>
      </c>
      <c r="E2361" s="1">
        <f>IFERROR(__xludf.DUMMYFUNCTION("""COMPUTED_VALUE"""),2.13)</f>
        <v>2.13</v>
      </c>
      <c r="F2361" s="1">
        <f>IFERROR(__xludf.DUMMYFUNCTION("""COMPUTED_VALUE"""),345358.0)</f>
        <v>345358</v>
      </c>
    </row>
    <row r="2362">
      <c r="A2362" s="2">
        <f>IFERROR(__xludf.DUMMYFUNCTION("""COMPUTED_VALUE"""),42593.66666666667)</f>
        <v>42593.66667</v>
      </c>
      <c r="B2362" s="1">
        <f>IFERROR(__xludf.DUMMYFUNCTION("""COMPUTED_VALUE"""),2.15)</f>
        <v>2.15</v>
      </c>
      <c r="C2362" s="1">
        <f>IFERROR(__xludf.DUMMYFUNCTION("""COMPUTED_VALUE"""),2.17)</f>
        <v>2.17</v>
      </c>
      <c r="D2362" s="1">
        <f>IFERROR(__xludf.DUMMYFUNCTION("""COMPUTED_VALUE"""),2.13)</f>
        <v>2.13</v>
      </c>
      <c r="E2362" s="1">
        <f>IFERROR(__xludf.DUMMYFUNCTION("""COMPUTED_VALUE"""),2.16)</f>
        <v>2.16</v>
      </c>
      <c r="F2362" s="1">
        <f>IFERROR(__xludf.DUMMYFUNCTION("""COMPUTED_VALUE"""),258669.0)</f>
        <v>258669</v>
      </c>
    </row>
    <row r="2363">
      <c r="A2363" s="2">
        <f>IFERROR(__xludf.DUMMYFUNCTION("""COMPUTED_VALUE"""),42594.66666666667)</f>
        <v>42594.66667</v>
      </c>
      <c r="B2363" s="1">
        <f>IFERROR(__xludf.DUMMYFUNCTION("""COMPUTED_VALUE"""),2.16)</f>
        <v>2.16</v>
      </c>
      <c r="C2363" s="1">
        <f>IFERROR(__xludf.DUMMYFUNCTION("""COMPUTED_VALUE"""),2.18)</f>
        <v>2.18</v>
      </c>
      <c r="D2363" s="1">
        <f>IFERROR(__xludf.DUMMYFUNCTION("""COMPUTED_VALUE"""),2.16)</f>
        <v>2.16</v>
      </c>
      <c r="E2363" s="1">
        <f>IFERROR(__xludf.DUMMYFUNCTION("""COMPUTED_VALUE"""),2.17)</f>
        <v>2.17</v>
      </c>
      <c r="F2363" s="1">
        <f>IFERROR(__xludf.DUMMYFUNCTION("""COMPUTED_VALUE"""),179186.0)</f>
        <v>179186</v>
      </c>
    </row>
    <row r="2364">
      <c r="A2364" s="2">
        <f>IFERROR(__xludf.DUMMYFUNCTION("""COMPUTED_VALUE"""),42597.66666666667)</f>
        <v>42597.66667</v>
      </c>
      <c r="B2364" s="1">
        <f>IFERROR(__xludf.DUMMYFUNCTION("""COMPUTED_VALUE"""),2.17)</f>
        <v>2.17</v>
      </c>
      <c r="C2364" s="1">
        <f>IFERROR(__xludf.DUMMYFUNCTION("""COMPUTED_VALUE"""),2.19)</f>
        <v>2.19</v>
      </c>
      <c r="D2364" s="1">
        <f>IFERROR(__xludf.DUMMYFUNCTION("""COMPUTED_VALUE"""),2.16)</f>
        <v>2.16</v>
      </c>
      <c r="E2364" s="1">
        <f>IFERROR(__xludf.DUMMYFUNCTION("""COMPUTED_VALUE"""),2.17)</f>
        <v>2.17</v>
      </c>
      <c r="F2364" s="1">
        <f>IFERROR(__xludf.DUMMYFUNCTION("""COMPUTED_VALUE"""),394232.0)</f>
        <v>394232</v>
      </c>
    </row>
    <row r="2365">
      <c r="A2365" s="2">
        <f>IFERROR(__xludf.DUMMYFUNCTION("""COMPUTED_VALUE"""),42598.66666666667)</f>
        <v>42598.66667</v>
      </c>
      <c r="B2365" s="1">
        <f>IFERROR(__xludf.DUMMYFUNCTION("""COMPUTED_VALUE"""),2.16)</f>
        <v>2.16</v>
      </c>
      <c r="C2365" s="1">
        <f>IFERROR(__xludf.DUMMYFUNCTION("""COMPUTED_VALUE"""),2.19)</f>
        <v>2.19</v>
      </c>
      <c r="D2365" s="1">
        <f>IFERROR(__xludf.DUMMYFUNCTION("""COMPUTED_VALUE"""),2.13)</f>
        <v>2.13</v>
      </c>
      <c r="E2365" s="1">
        <f>IFERROR(__xludf.DUMMYFUNCTION("""COMPUTED_VALUE"""),2.16)</f>
        <v>2.16</v>
      </c>
      <c r="F2365" s="1">
        <f>IFERROR(__xludf.DUMMYFUNCTION("""COMPUTED_VALUE"""),268056.0)</f>
        <v>268056</v>
      </c>
    </row>
    <row r="2366">
      <c r="A2366" s="2">
        <f>IFERROR(__xludf.DUMMYFUNCTION("""COMPUTED_VALUE"""),42599.66666666667)</f>
        <v>42599.66667</v>
      </c>
      <c r="B2366" s="1">
        <f>IFERROR(__xludf.DUMMYFUNCTION("""COMPUTED_VALUE"""),2.17)</f>
        <v>2.17</v>
      </c>
      <c r="C2366" s="1">
        <f>IFERROR(__xludf.DUMMYFUNCTION("""COMPUTED_VALUE"""),2.18)</f>
        <v>2.18</v>
      </c>
      <c r="D2366" s="1">
        <f>IFERROR(__xludf.DUMMYFUNCTION("""COMPUTED_VALUE"""),2.13)</f>
        <v>2.13</v>
      </c>
      <c r="E2366" s="1">
        <f>IFERROR(__xludf.DUMMYFUNCTION("""COMPUTED_VALUE"""),2.14)</f>
        <v>2.14</v>
      </c>
      <c r="F2366" s="1">
        <f>IFERROR(__xludf.DUMMYFUNCTION("""COMPUTED_VALUE"""),210680.0)</f>
        <v>210680</v>
      </c>
    </row>
    <row r="2367">
      <c r="A2367" s="2">
        <f>IFERROR(__xludf.DUMMYFUNCTION("""COMPUTED_VALUE"""),42600.66666666667)</f>
        <v>42600.66667</v>
      </c>
      <c r="B2367" s="1">
        <f>IFERROR(__xludf.DUMMYFUNCTION("""COMPUTED_VALUE"""),2.15)</f>
        <v>2.15</v>
      </c>
      <c r="C2367" s="1">
        <f>IFERROR(__xludf.DUMMYFUNCTION("""COMPUTED_VALUE"""),2.16)</f>
        <v>2.16</v>
      </c>
      <c r="D2367" s="1">
        <f>IFERROR(__xludf.DUMMYFUNCTION("""COMPUTED_VALUE"""),2.14)</f>
        <v>2.14</v>
      </c>
      <c r="E2367" s="1">
        <f>IFERROR(__xludf.DUMMYFUNCTION("""COMPUTED_VALUE"""),2.16)</f>
        <v>2.16</v>
      </c>
      <c r="F2367" s="1">
        <f>IFERROR(__xludf.DUMMYFUNCTION("""COMPUTED_VALUE"""),319530.0)</f>
        <v>319530</v>
      </c>
    </row>
    <row r="2368">
      <c r="A2368" s="2">
        <f>IFERROR(__xludf.DUMMYFUNCTION("""COMPUTED_VALUE"""),42601.66666666667)</f>
        <v>42601.66667</v>
      </c>
      <c r="B2368" s="1">
        <f>IFERROR(__xludf.DUMMYFUNCTION("""COMPUTED_VALUE"""),2.15)</f>
        <v>2.15</v>
      </c>
      <c r="C2368" s="1">
        <f>IFERROR(__xludf.DUMMYFUNCTION("""COMPUTED_VALUE"""),2.18)</f>
        <v>2.18</v>
      </c>
      <c r="D2368" s="1">
        <f>IFERROR(__xludf.DUMMYFUNCTION("""COMPUTED_VALUE"""),2.14)</f>
        <v>2.14</v>
      </c>
      <c r="E2368" s="1">
        <f>IFERROR(__xludf.DUMMYFUNCTION("""COMPUTED_VALUE"""),2.15)</f>
        <v>2.15</v>
      </c>
      <c r="F2368" s="1">
        <f>IFERROR(__xludf.DUMMYFUNCTION("""COMPUTED_VALUE"""),258301.0)</f>
        <v>258301</v>
      </c>
    </row>
    <row r="2369">
      <c r="A2369" s="2">
        <f>IFERROR(__xludf.DUMMYFUNCTION("""COMPUTED_VALUE"""),42604.66666666667)</f>
        <v>42604.66667</v>
      </c>
      <c r="B2369" s="1">
        <f>IFERROR(__xludf.DUMMYFUNCTION("""COMPUTED_VALUE"""),2.13)</f>
        <v>2.13</v>
      </c>
      <c r="C2369" s="1">
        <f>IFERROR(__xludf.DUMMYFUNCTION("""COMPUTED_VALUE"""),2.16)</f>
        <v>2.16</v>
      </c>
      <c r="D2369" s="1">
        <f>IFERROR(__xludf.DUMMYFUNCTION("""COMPUTED_VALUE"""),2.11)</f>
        <v>2.11</v>
      </c>
      <c r="E2369" s="1">
        <f>IFERROR(__xludf.DUMMYFUNCTION("""COMPUTED_VALUE"""),2.13)</f>
        <v>2.13</v>
      </c>
      <c r="F2369" s="1">
        <f>IFERROR(__xludf.DUMMYFUNCTION("""COMPUTED_VALUE"""),273177.0)</f>
        <v>273177</v>
      </c>
    </row>
    <row r="2370">
      <c r="A2370" s="2">
        <f>IFERROR(__xludf.DUMMYFUNCTION("""COMPUTED_VALUE"""),42605.66666666667)</f>
        <v>42605.66667</v>
      </c>
      <c r="B2370" s="1">
        <f>IFERROR(__xludf.DUMMYFUNCTION("""COMPUTED_VALUE"""),2.13)</f>
        <v>2.13</v>
      </c>
      <c r="C2370" s="1">
        <f>IFERROR(__xludf.DUMMYFUNCTION("""COMPUTED_VALUE"""),2.17)</f>
        <v>2.17</v>
      </c>
      <c r="D2370" s="1">
        <f>IFERROR(__xludf.DUMMYFUNCTION("""COMPUTED_VALUE"""),2.13)</f>
        <v>2.13</v>
      </c>
      <c r="E2370" s="1">
        <f>IFERROR(__xludf.DUMMYFUNCTION("""COMPUTED_VALUE"""),2.16)</f>
        <v>2.16</v>
      </c>
      <c r="F2370" s="1">
        <f>IFERROR(__xludf.DUMMYFUNCTION("""COMPUTED_VALUE"""),314337.0)</f>
        <v>314337</v>
      </c>
    </row>
    <row r="2371">
      <c r="A2371" s="2">
        <f>IFERROR(__xludf.DUMMYFUNCTION("""COMPUTED_VALUE"""),42606.66666666667)</f>
        <v>42606.66667</v>
      </c>
      <c r="B2371" s="1">
        <f>IFERROR(__xludf.DUMMYFUNCTION("""COMPUTED_VALUE"""),2.16)</f>
        <v>2.16</v>
      </c>
      <c r="C2371" s="1">
        <f>IFERROR(__xludf.DUMMYFUNCTION("""COMPUTED_VALUE"""),2.2)</f>
        <v>2.2</v>
      </c>
      <c r="D2371" s="1">
        <f>IFERROR(__xludf.DUMMYFUNCTION("""COMPUTED_VALUE"""),2.15)</f>
        <v>2.15</v>
      </c>
      <c r="E2371" s="1">
        <f>IFERROR(__xludf.DUMMYFUNCTION("""COMPUTED_VALUE"""),2.17)</f>
        <v>2.17</v>
      </c>
      <c r="F2371" s="1">
        <f>IFERROR(__xludf.DUMMYFUNCTION("""COMPUTED_VALUE"""),437918.0)</f>
        <v>437918</v>
      </c>
    </row>
    <row r="2372">
      <c r="A2372" s="2">
        <f>IFERROR(__xludf.DUMMYFUNCTION("""COMPUTED_VALUE"""),42607.66666666667)</f>
        <v>42607.66667</v>
      </c>
      <c r="B2372" s="1">
        <f>IFERROR(__xludf.DUMMYFUNCTION("""COMPUTED_VALUE"""),2.16)</f>
        <v>2.16</v>
      </c>
      <c r="C2372" s="1">
        <f>IFERROR(__xludf.DUMMYFUNCTION("""COMPUTED_VALUE"""),2.19)</f>
        <v>2.19</v>
      </c>
      <c r="D2372" s="1">
        <f>IFERROR(__xludf.DUMMYFUNCTION("""COMPUTED_VALUE"""),2.14)</f>
        <v>2.14</v>
      </c>
      <c r="E2372" s="1">
        <f>IFERROR(__xludf.DUMMYFUNCTION("""COMPUTED_VALUE"""),2.18)</f>
        <v>2.18</v>
      </c>
      <c r="F2372" s="1">
        <f>IFERROR(__xludf.DUMMYFUNCTION("""COMPUTED_VALUE"""),231840.0)</f>
        <v>231840</v>
      </c>
    </row>
    <row r="2373">
      <c r="A2373" s="2">
        <f>IFERROR(__xludf.DUMMYFUNCTION("""COMPUTED_VALUE"""),42608.66666666667)</f>
        <v>42608.66667</v>
      </c>
      <c r="B2373" s="1">
        <f>IFERROR(__xludf.DUMMYFUNCTION("""COMPUTED_VALUE"""),2.17)</f>
        <v>2.17</v>
      </c>
      <c r="C2373" s="1">
        <f>IFERROR(__xludf.DUMMYFUNCTION("""COMPUTED_VALUE"""),2.19)</f>
        <v>2.19</v>
      </c>
      <c r="D2373" s="1">
        <f>IFERROR(__xludf.DUMMYFUNCTION("""COMPUTED_VALUE"""),2.13)</f>
        <v>2.13</v>
      </c>
      <c r="E2373" s="1">
        <f>IFERROR(__xludf.DUMMYFUNCTION("""COMPUTED_VALUE"""),2.14)</f>
        <v>2.14</v>
      </c>
      <c r="F2373" s="1">
        <f>IFERROR(__xludf.DUMMYFUNCTION("""COMPUTED_VALUE"""),287326.0)</f>
        <v>287326</v>
      </c>
    </row>
    <row r="2374">
      <c r="A2374" s="2">
        <f>IFERROR(__xludf.DUMMYFUNCTION("""COMPUTED_VALUE"""),42611.66666666667)</f>
        <v>42611.66667</v>
      </c>
      <c r="B2374" s="1">
        <f>IFERROR(__xludf.DUMMYFUNCTION("""COMPUTED_VALUE"""),2.12)</f>
        <v>2.12</v>
      </c>
      <c r="C2374" s="1">
        <f>IFERROR(__xludf.DUMMYFUNCTION("""COMPUTED_VALUE"""),2.19)</f>
        <v>2.19</v>
      </c>
      <c r="D2374" s="1">
        <f>IFERROR(__xludf.DUMMYFUNCTION("""COMPUTED_VALUE"""),2.1)</f>
        <v>2.1</v>
      </c>
      <c r="E2374" s="1">
        <f>IFERROR(__xludf.DUMMYFUNCTION("""COMPUTED_VALUE"""),2.17)</f>
        <v>2.17</v>
      </c>
      <c r="F2374" s="1">
        <f>IFERROR(__xludf.DUMMYFUNCTION("""COMPUTED_VALUE"""),408900.0)</f>
        <v>408900</v>
      </c>
    </row>
    <row r="2375">
      <c r="A2375" s="2">
        <f>IFERROR(__xludf.DUMMYFUNCTION("""COMPUTED_VALUE"""),42612.66666666667)</f>
        <v>42612.66667</v>
      </c>
      <c r="B2375" s="1">
        <f>IFERROR(__xludf.DUMMYFUNCTION("""COMPUTED_VALUE"""),2.18)</f>
        <v>2.18</v>
      </c>
      <c r="C2375" s="1">
        <f>IFERROR(__xludf.DUMMYFUNCTION("""COMPUTED_VALUE"""),2.23)</f>
        <v>2.23</v>
      </c>
      <c r="D2375" s="1">
        <f>IFERROR(__xludf.DUMMYFUNCTION("""COMPUTED_VALUE"""),2.18)</f>
        <v>2.18</v>
      </c>
      <c r="E2375" s="1">
        <f>IFERROR(__xludf.DUMMYFUNCTION("""COMPUTED_VALUE"""),2.21)</f>
        <v>2.21</v>
      </c>
      <c r="F2375" s="1">
        <f>IFERROR(__xludf.DUMMYFUNCTION("""COMPUTED_VALUE"""),414464.0)</f>
        <v>414464</v>
      </c>
    </row>
    <row r="2376">
      <c r="A2376" s="2">
        <f>IFERROR(__xludf.DUMMYFUNCTION("""COMPUTED_VALUE"""),42613.66666666667)</f>
        <v>42613.66667</v>
      </c>
      <c r="B2376" s="1">
        <f>IFERROR(__xludf.DUMMYFUNCTION("""COMPUTED_VALUE"""),2.2)</f>
        <v>2.2</v>
      </c>
      <c r="C2376" s="1">
        <f>IFERROR(__xludf.DUMMYFUNCTION("""COMPUTED_VALUE"""),2.2)</f>
        <v>2.2</v>
      </c>
      <c r="D2376" s="1">
        <f>IFERROR(__xludf.DUMMYFUNCTION("""COMPUTED_VALUE"""),2.15)</f>
        <v>2.15</v>
      </c>
      <c r="E2376" s="1">
        <f>IFERROR(__xludf.DUMMYFUNCTION("""COMPUTED_VALUE"""),2.16)</f>
        <v>2.16</v>
      </c>
      <c r="F2376" s="1">
        <f>IFERROR(__xludf.DUMMYFUNCTION("""COMPUTED_VALUE"""),414571.0)</f>
        <v>414571</v>
      </c>
    </row>
    <row r="2377">
      <c r="A2377" s="2">
        <f>IFERROR(__xludf.DUMMYFUNCTION("""COMPUTED_VALUE"""),42614.66666666667)</f>
        <v>42614.66667</v>
      </c>
      <c r="B2377" s="1">
        <f>IFERROR(__xludf.DUMMYFUNCTION("""COMPUTED_VALUE"""),2.17)</f>
        <v>2.17</v>
      </c>
      <c r="C2377" s="1">
        <f>IFERROR(__xludf.DUMMYFUNCTION("""COMPUTED_VALUE"""),2.23)</f>
        <v>2.23</v>
      </c>
      <c r="D2377" s="1">
        <f>IFERROR(__xludf.DUMMYFUNCTION("""COMPUTED_VALUE"""),2.16)</f>
        <v>2.16</v>
      </c>
      <c r="E2377" s="1">
        <f>IFERROR(__xludf.DUMMYFUNCTION("""COMPUTED_VALUE"""),2.21)</f>
        <v>2.21</v>
      </c>
      <c r="F2377" s="1">
        <f>IFERROR(__xludf.DUMMYFUNCTION("""COMPUTED_VALUE"""),351636.0)</f>
        <v>351636</v>
      </c>
    </row>
    <row r="2378">
      <c r="A2378" s="2">
        <f>IFERROR(__xludf.DUMMYFUNCTION("""COMPUTED_VALUE"""),42615.66666666667)</f>
        <v>42615.66667</v>
      </c>
      <c r="B2378" s="1">
        <f>IFERROR(__xludf.DUMMYFUNCTION("""COMPUTED_VALUE"""),2.22)</f>
        <v>2.22</v>
      </c>
      <c r="C2378" s="1">
        <f>IFERROR(__xludf.DUMMYFUNCTION("""COMPUTED_VALUE"""),2.23)</f>
        <v>2.23</v>
      </c>
      <c r="D2378" s="1">
        <f>IFERROR(__xludf.DUMMYFUNCTION("""COMPUTED_VALUE"""),2.18)</f>
        <v>2.18</v>
      </c>
      <c r="E2378" s="1">
        <f>IFERROR(__xludf.DUMMYFUNCTION("""COMPUTED_VALUE"""),2.22)</f>
        <v>2.22</v>
      </c>
      <c r="F2378" s="1">
        <f>IFERROR(__xludf.DUMMYFUNCTION("""COMPUTED_VALUE"""),465561.0)</f>
        <v>465561</v>
      </c>
    </row>
    <row r="2379">
      <c r="A2379" s="2">
        <f>IFERROR(__xludf.DUMMYFUNCTION("""COMPUTED_VALUE"""),42619.66666666667)</f>
        <v>42619.66667</v>
      </c>
      <c r="B2379" s="1">
        <f>IFERROR(__xludf.DUMMYFUNCTION("""COMPUTED_VALUE"""),2.25)</f>
        <v>2.25</v>
      </c>
      <c r="C2379" s="1">
        <f>IFERROR(__xludf.DUMMYFUNCTION("""COMPUTED_VALUE"""),2.25)</f>
        <v>2.25</v>
      </c>
      <c r="D2379" s="1">
        <f>IFERROR(__xludf.DUMMYFUNCTION("""COMPUTED_VALUE"""),2.18)</f>
        <v>2.18</v>
      </c>
      <c r="E2379" s="1">
        <f>IFERROR(__xludf.DUMMYFUNCTION("""COMPUTED_VALUE"""),2.2)</f>
        <v>2.2</v>
      </c>
      <c r="F2379" s="1">
        <f>IFERROR(__xludf.DUMMYFUNCTION("""COMPUTED_VALUE"""),301267.0)</f>
        <v>301267</v>
      </c>
    </row>
    <row r="2380">
      <c r="A2380" s="2">
        <f>IFERROR(__xludf.DUMMYFUNCTION("""COMPUTED_VALUE"""),42620.66666666667)</f>
        <v>42620.66667</v>
      </c>
      <c r="B2380" s="1">
        <f>IFERROR(__xludf.DUMMYFUNCTION("""COMPUTED_VALUE"""),2.2)</f>
        <v>2.2</v>
      </c>
      <c r="C2380" s="1">
        <f>IFERROR(__xludf.DUMMYFUNCTION("""COMPUTED_VALUE"""),2.23)</f>
        <v>2.23</v>
      </c>
      <c r="D2380" s="1">
        <f>IFERROR(__xludf.DUMMYFUNCTION("""COMPUTED_VALUE"""),2.19)</f>
        <v>2.19</v>
      </c>
      <c r="E2380" s="1">
        <f>IFERROR(__xludf.DUMMYFUNCTION("""COMPUTED_VALUE"""),2.19)</f>
        <v>2.19</v>
      </c>
      <c r="F2380" s="1">
        <f>IFERROR(__xludf.DUMMYFUNCTION("""COMPUTED_VALUE"""),283919.0)</f>
        <v>283919</v>
      </c>
    </row>
    <row r="2381">
      <c r="A2381" s="2">
        <f>IFERROR(__xludf.DUMMYFUNCTION("""COMPUTED_VALUE"""),42621.66666666667)</f>
        <v>42621.66667</v>
      </c>
      <c r="B2381" s="1">
        <f>IFERROR(__xludf.DUMMYFUNCTION("""COMPUTED_VALUE"""),2.18)</f>
        <v>2.18</v>
      </c>
      <c r="C2381" s="1">
        <f>IFERROR(__xludf.DUMMYFUNCTION("""COMPUTED_VALUE"""),2.2)</f>
        <v>2.2</v>
      </c>
      <c r="D2381" s="1">
        <f>IFERROR(__xludf.DUMMYFUNCTION("""COMPUTED_VALUE"""),2.13)</f>
        <v>2.13</v>
      </c>
      <c r="E2381" s="1">
        <f>IFERROR(__xludf.DUMMYFUNCTION("""COMPUTED_VALUE"""),2.15)</f>
        <v>2.15</v>
      </c>
      <c r="F2381" s="1">
        <f>IFERROR(__xludf.DUMMYFUNCTION("""COMPUTED_VALUE"""),460281.0)</f>
        <v>460281</v>
      </c>
    </row>
    <row r="2382">
      <c r="A2382" s="2">
        <f>IFERROR(__xludf.DUMMYFUNCTION("""COMPUTED_VALUE"""),42622.66666666667)</f>
        <v>42622.66667</v>
      </c>
      <c r="B2382" s="1">
        <f>IFERROR(__xludf.DUMMYFUNCTION("""COMPUTED_VALUE"""),2.13)</f>
        <v>2.13</v>
      </c>
      <c r="C2382" s="1">
        <f>IFERROR(__xludf.DUMMYFUNCTION("""COMPUTED_VALUE"""),2.15)</f>
        <v>2.15</v>
      </c>
      <c r="D2382" s="1">
        <f>IFERROR(__xludf.DUMMYFUNCTION("""COMPUTED_VALUE"""),2.09)</f>
        <v>2.09</v>
      </c>
      <c r="E2382" s="1">
        <f>IFERROR(__xludf.DUMMYFUNCTION("""COMPUTED_VALUE"""),2.11)</f>
        <v>2.11</v>
      </c>
      <c r="F2382" s="1">
        <f>IFERROR(__xludf.DUMMYFUNCTION("""COMPUTED_VALUE"""),390212.0)</f>
        <v>390212</v>
      </c>
    </row>
    <row r="2383">
      <c r="A2383" s="2">
        <f>IFERROR(__xludf.DUMMYFUNCTION("""COMPUTED_VALUE"""),42625.66666666667)</f>
        <v>42625.66667</v>
      </c>
      <c r="B2383" s="1">
        <f>IFERROR(__xludf.DUMMYFUNCTION("""COMPUTED_VALUE"""),2.09)</f>
        <v>2.09</v>
      </c>
      <c r="C2383" s="1">
        <f>IFERROR(__xludf.DUMMYFUNCTION("""COMPUTED_VALUE"""),2.14)</f>
        <v>2.14</v>
      </c>
      <c r="D2383" s="1">
        <f>IFERROR(__xludf.DUMMYFUNCTION("""COMPUTED_VALUE"""),2.08)</f>
        <v>2.08</v>
      </c>
      <c r="E2383" s="1">
        <f>IFERROR(__xludf.DUMMYFUNCTION("""COMPUTED_VALUE"""),2.14)</f>
        <v>2.14</v>
      </c>
      <c r="F2383" s="1">
        <f>IFERROR(__xludf.DUMMYFUNCTION("""COMPUTED_VALUE"""),327920.0)</f>
        <v>327920</v>
      </c>
    </row>
    <row r="2384">
      <c r="A2384" s="2">
        <f>IFERROR(__xludf.DUMMYFUNCTION("""COMPUTED_VALUE"""),42626.66666666667)</f>
        <v>42626.66667</v>
      </c>
      <c r="B2384" s="1">
        <f>IFERROR(__xludf.DUMMYFUNCTION("""COMPUTED_VALUE"""),2.13)</f>
        <v>2.13</v>
      </c>
      <c r="C2384" s="1">
        <f>IFERROR(__xludf.DUMMYFUNCTION("""COMPUTED_VALUE"""),2.15)</f>
        <v>2.15</v>
      </c>
      <c r="D2384" s="1">
        <f>IFERROR(__xludf.DUMMYFUNCTION("""COMPUTED_VALUE"""),2.12)</f>
        <v>2.12</v>
      </c>
      <c r="E2384" s="1">
        <f>IFERROR(__xludf.DUMMYFUNCTION("""COMPUTED_VALUE"""),2.14)</f>
        <v>2.14</v>
      </c>
      <c r="F2384" s="1">
        <f>IFERROR(__xludf.DUMMYFUNCTION("""COMPUTED_VALUE"""),255107.0)</f>
        <v>255107</v>
      </c>
    </row>
    <row r="2385">
      <c r="A2385" s="2">
        <f>IFERROR(__xludf.DUMMYFUNCTION("""COMPUTED_VALUE"""),42627.66666666667)</f>
        <v>42627.66667</v>
      </c>
      <c r="B2385" s="1">
        <f>IFERROR(__xludf.DUMMYFUNCTION("""COMPUTED_VALUE"""),2.13)</f>
        <v>2.13</v>
      </c>
      <c r="C2385" s="1">
        <f>IFERROR(__xludf.DUMMYFUNCTION("""COMPUTED_VALUE"""),2.16)</f>
        <v>2.16</v>
      </c>
      <c r="D2385" s="1">
        <f>IFERROR(__xludf.DUMMYFUNCTION("""COMPUTED_VALUE"""),2.1)</f>
        <v>2.1</v>
      </c>
      <c r="E2385" s="1">
        <f>IFERROR(__xludf.DUMMYFUNCTION("""COMPUTED_VALUE"""),2.15)</f>
        <v>2.15</v>
      </c>
      <c r="F2385" s="1">
        <f>IFERROR(__xludf.DUMMYFUNCTION("""COMPUTED_VALUE"""),207165.0)</f>
        <v>207165</v>
      </c>
    </row>
    <row r="2386">
      <c r="A2386" s="2">
        <f>IFERROR(__xludf.DUMMYFUNCTION("""COMPUTED_VALUE"""),42628.66666666667)</f>
        <v>42628.66667</v>
      </c>
      <c r="B2386" s="1">
        <f>IFERROR(__xludf.DUMMYFUNCTION("""COMPUTED_VALUE"""),2.15)</f>
        <v>2.15</v>
      </c>
      <c r="C2386" s="1">
        <f>IFERROR(__xludf.DUMMYFUNCTION("""COMPUTED_VALUE"""),2.21)</f>
        <v>2.21</v>
      </c>
      <c r="D2386" s="1">
        <f>IFERROR(__xludf.DUMMYFUNCTION("""COMPUTED_VALUE"""),2.15)</f>
        <v>2.15</v>
      </c>
      <c r="E2386" s="1">
        <f>IFERROR(__xludf.DUMMYFUNCTION("""COMPUTED_VALUE"""),2.19)</f>
        <v>2.19</v>
      </c>
      <c r="F2386" s="1">
        <f>IFERROR(__xludf.DUMMYFUNCTION("""COMPUTED_VALUE"""),266600.0)</f>
        <v>266600</v>
      </c>
    </row>
    <row r="2387">
      <c r="A2387" s="2">
        <f>IFERROR(__xludf.DUMMYFUNCTION("""COMPUTED_VALUE"""),42629.66666666667)</f>
        <v>42629.66667</v>
      </c>
      <c r="B2387" s="1">
        <f>IFERROR(__xludf.DUMMYFUNCTION("""COMPUTED_VALUE"""),2.19)</f>
        <v>2.19</v>
      </c>
      <c r="C2387" s="1">
        <f>IFERROR(__xludf.DUMMYFUNCTION("""COMPUTED_VALUE"""),2.2)</f>
        <v>2.2</v>
      </c>
      <c r="D2387" s="1">
        <f>IFERROR(__xludf.DUMMYFUNCTION("""COMPUTED_VALUE"""),2.12)</f>
        <v>2.12</v>
      </c>
      <c r="E2387" s="1">
        <f>IFERROR(__xludf.DUMMYFUNCTION("""COMPUTED_VALUE"""),2.14)</f>
        <v>2.14</v>
      </c>
      <c r="F2387" s="1">
        <f>IFERROR(__xludf.DUMMYFUNCTION("""COMPUTED_VALUE"""),485599.0)</f>
        <v>485599</v>
      </c>
    </row>
    <row r="2388">
      <c r="A2388" s="2">
        <f>IFERROR(__xludf.DUMMYFUNCTION("""COMPUTED_VALUE"""),42632.66666666667)</f>
        <v>42632.66667</v>
      </c>
      <c r="B2388" s="1">
        <f>IFERROR(__xludf.DUMMYFUNCTION("""COMPUTED_VALUE"""),2.14)</f>
        <v>2.14</v>
      </c>
      <c r="C2388" s="1">
        <f>IFERROR(__xludf.DUMMYFUNCTION("""COMPUTED_VALUE"""),2.19)</f>
        <v>2.19</v>
      </c>
      <c r="D2388" s="1">
        <f>IFERROR(__xludf.DUMMYFUNCTION("""COMPUTED_VALUE"""),2.14)</f>
        <v>2.14</v>
      </c>
      <c r="E2388" s="1">
        <f>IFERROR(__xludf.DUMMYFUNCTION("""COMPUTED_VALUE"""),2.17)</f>
        <v>2.17</v>
      </c>
      <c r="F2388" s="1">
        <f>IFERROR(__xludf.DUMMYFUNCTION("""COMPUTED_VALUE"""),358718.0)</f>
        <v>358718</v>
      </c>
    </row>
    <row r="2389">
      <c r="A2389" s="2">
        <f>IFERROR(__xludf.DUMMYFUNCTION("""COMPUTED_VALUE"""),42633.66666666667)</f>
        <v>42633.66667</v>
      </c>
      <c r="B2389" s="1">
        <f>IFERROR(__xludf.DUMMYFUNCTION("""COMPUTED_VALUE"""),2.19)</f>
        <v>2.19</v>
      </c>
      <c r="C2389" s="1">
        <f>IFERROR(__xludf.DUMMYFUNCTION("""COMPUTED_VALUE"""),2.24)</f>
        <v>2.24</v>
      </c>
      <c r="D2389" s="1">
        <f>IFERROR(__xludf.DUMMYFUNCTION("""COMPUTED_VALUE"""),2.18)</f>
        <v>2.18</v>
      </c>
      <c r="E2389" s="1">
        <f>IFERROR(__xludf.DUMMYFUNCTION("""COMPUTED_VALUE"""),2.21)</f>
        <v>2.21</v>
      </c>
      <c r="F2389" s="1">
        <f>IFERROR(__xludf.DUMMYFUNCTION("""COMPUTED_VALUE"""),240003.0)</f>
        <v>240003</v>
      </c>
    </row>
    <row r="2390">
      <c r="A2390" s="2">
        <f>IFERROR(__xludf.DUMMYFUNCTION("""COMPUTED_VALUE"""),42634.66666666667)</f>
        <v>42634.66667</v>
      </c>
      <c r="B2390" s="1">
        <f>IFERROR(__xludf.DUMMYFUNCTION("""COMPUTED_VALUE"""),2.23)</f>
        <v>2.23</v>
      </c>
      <c r="C2390" s="1">
        <f>IFERROR(__xludf.DUMMYFUNCTION("""COMPUTED_VALUE"""),2.28)</f>
        <v>2.28</v>
      </c>
      <c r="D2390" s="1">
        <f>IFERROR(__xludf.DUMMYFUNCTION("""COMPUTED_VALUE"""),2.23)</f>
        <v>2.23</v>
      </c>
      <c r="E2390" s="1">
        <f>IFERROR(__xludf.DUMMYFUNCTION("""COMPUTED_VALUE"""),2.27)</f>
        <v>2.27</v>
      </c>
      <c r="F2390" s="1">
        <f>IFERROR(__xludf.DUMMYFUNCTION("""COMPUTED_VALUE"""),346982.0)</f>
        <v>346982</v>
      </c>
    </row>
    <row r="2391">
      <c r="A2391" s="2">
        <f>IFERROR(__xludf.DUMMYFUNCTION("""COMPUTED_VALUE"""),42635.66666666667)</f>
        <v>42635.66667</v>
      </c>
      <c r="B2391" s="1">
        <f>IFERROR(__xludf.DUMMYFUNCTION("""COMPUTED_VALUE"""),2.27)</f>
        <v>2.27</v>
      </c>
      <c r="C2391" s="1">
        <f>IFERROR(__xludf.DUMMYFUNCTION("""COMPUTED_VALUE"""),2.32)</f>
        <v>2.32</v>
      </c>
      <c r="D2391" s="1">
        <f>IFERROR(__xludf.DUMMYFUNCTION("""COMPUTED_VALUE"""),2.26)</f>
        <v>2.26</v>
      </c>
      <c r="E2391" s="1">
        <f>IFERROR(__xludf.DUMMYFUNCTION("""COMPUTED_VALUE"""),2.28)</f>
        <v>2.28</v>
      </c>
      <c r="F2391" s="1">
        <f>IFERROR(__xludf.DUMMYFUNCTION("""COMPUTED_VALUE"""),398928.0)</f>
        <v>398928</v>
      </c>
    </row>
    <row r="2392">
      <c r="A2392" s="2">
        <f>IFERROR(__xludf.DUMMYFUNCTION("""COMPUTED_VALUE"""),42636.66666666667)</f>
        <v>42636.66667</v>
      </c>
      <c r="B2392" s="1">
        <f>IFERROR(__xludf.DUMMYFUNCTION("""COMPUTED_VALUE"""),2.31)</f>
        <v>2.31</v>
      </c>
      <c r="C2392" s="1">
        <f>IFERROR(__xludf.DUMMYFUNCTION("""COMPUTED_VALUE"""),2.38)</f>
        <v>2.38</v>
      </c>
      <c r="D2392" s="1">
        <f>IFERROR(__xludf.DUMMYFUNCTION("""COMPUTED_VALUE"""),2.29)</f>
        <v>2.29</v>
      </c>
      <c r="E2392" s="1">
        <f>IFERROR(__xludf.DUMMYFUNCTION("""COMPUTED_VALUE"""),2.35)</f>
        <v>2.35</v>
      </c>
      <c r="F2392" s="1">
        <f>IFERROR(__xludf.DUMMYFUNCTION("""COMPUTED_VALUE"""),544403.0)</f>
        <v>544403</v>
      </c>
    </row>
    <row r="2393">
      <c r="A2393" s="2">
        <f>IFERROR(__xludf.DUMMYFUNCTION("""COMPUTED_VALUE"""),42639.66666666667)</f>
        <v>42639.66667</v>
      </c>
      <c r="B2393" s="1">
        <f>IFERROR(__xludf.DUMMYFUNCTION("""COMPUTED_VALUE"""),2.33)</f>
        <v>2.33</v>
      </c>
      <c r="C2393" s="1">
        <f>IFERROR(__xludf.DUMMYFUNCTION("""COMPUTED_VALUE"""),2.36)</f>
        <v>2.36</v>
      </c>
      <c r="D2393" s="1">
        <f>IFERROR(__xludf.DUMMYFUNCTION("""COMPUTED_VALUE"""),2.32)</f>
        <v>2.32</v>
      </c>
      <c r="E2393" s="1">
        <f>IFERROR(__xludf.DUMMYFUNCTION("""COMPUTED_VALUE"""),2.34)</f>
        <v>2.34</v>
      </c>
      <c r="F2393" s="1">
        <f>IFERROR(__xludf.DUMMYFUNCTION("""COMPUTED_VALUE"""),273533.0)</f>
        <v>273533</v>
      </c>
    </row>
    <row r="2394">
      <c r="A2394" s="2">
        <f>IFERROR(__xludf.DUMMYFUNCTION("""COMPUTED_VALUE"""),42640.66666666667)</f>
        <v>42640.66667</v>
      </c>
      <c r="B2394" s="1">
        <f>IFERROR(__xludf.DUMMYFUNCTION("""COMPUTED_VALUE"""),2.34)</f>
        <v>2.34</v>
      </c>
      <c r="C2394" s="1">
        <f>IFERROR(__xludf.DUMMYFUNCTION("""COMPUTED_VALUE"""),2.37)</f>
        <v>2.37</v>
      </c>
      <c r="D2394" s="1">
        <f>IFERROR(__xludf.DUMMYFUNCTION("""COMPUTED_VALUE"""),2.32)</f>
        <v>2.32</v>
      </c>
      <c r="E2394" s="1">
        <f>IFERROR(__xludf.DUMMYFUNCTION("""COMPUTED_VALUE"""),2.35)</f>
        <v>2.35</v>
      </c>
      <c r="F2394" s="1">
        <f>IFERROR(__xludf.DUMMYFUNCTION("""COMPUTED_VALUE"""),302069.0)</f>
        <v>302069</v>
      </c>
    </row>
    <row r="2395">
      <c r="A2395" s="2">
        <f>IFERROR(__xludf.DUMMYFUNCTION("""COMPUTED_VALUE"""),42641.66666666667)</f>
        <v>42641.66667</v>
      </c>
      <c r="B2395" s="1">
        <f>IFERROR(__xludf.DUMMYFUNCTION("""COMPUTED_VALUE"""),2.36)</f>
        <v>2.36</v>
      </c>
      <c r="C2395" s="1">
        <f>IFERROR(__xludf.DUMMYFUNCTION("""COMPUTED_VALUE"""),2.36)</f>
        <v>2.36</v>
      </c>
      <c r="D2395" s="1">
        <f>IFERROR(__xludf.DUMMYFUNCTION("""COMPUTED_VALUE"""),2.33)</f>
        <v>2.33</v>
      </c>
      <c r="E2395" s="1">
        <f>IFERROR(__xludf.DUMMYFUNCTION("""COMPUTED_VALUE"""),2.36)</f>
        <v>2.36</v>
      </c>
      <c r="F2395" s="1">
        <f>IFERROR(__xludf.DUMMYFUNCTION("""COMPUTED_VALUE"""),327285.0)</f>
        <v>327285</v>
      </c>
    </row>
    <row r="2396">
      <c r="A2396" s="2">
        <f>IFERROR(__xludf.DUMMYFUNCTION("""COMPUTED_VALUE"""),42642.66666666667)</f>
        <v>42642.66667</v>
      </c>
      <c r="B2396" s="1">
        <f>IFERROR(__xludf.DUMMYFUNCTION("""COMPUTED_VALUE"""),2.36)</f>
        <v>2.36</v>
      </c>
      <c r="C2396" s="1">
        <f>IFERROR(__xludf.DUMMYFUNCTION("""COMPUTED_VALUE"""),2.37)</f>
        <v>2.37</v>
      </c>
      <c r="D2396" s="1">
        <f>IFERROR(__xludf.DUMMYFUNCTION("""COMPUTED_VALUE"""),2.31)</f>
        <v>2.31</v>
      </c>
      <c r="E2396" s="1">
        <f>IFERROR(__xludf.DUMMYFUNCTION("""COMPUTED_VALUE"""),2.32)</f>
        <v>2.32</v>
      </c>
      <c r="F2396" s="1">
        <f>IFERROR(__xludf.DUMMYFUNCTION("""COMPUTED_VALUE"""),293612.0)</f>
        <v>293612</v>
      </c>
    </row>
    <row r="2397">
      <c r="A2397" s="2">
        <f>IFERROR(__xludf.DUMMYFUNCTION("""COMPUTED_VALUE"""),42643.66666666667)</f>
        <v>42643.66667</v>
      </c>
      <c r="B2397" s="1">
        <f>IFERROR(__xludf.DUMMYFUNCTION("""COMPUTED_VALUE"""),2.33)</f>
        <v>2.33</v>
      </c>
      <c r="C2397" s="1">
        <f>IFERROR(__xludf.DUMMYFUNCTION("""COMPUTED_VALUE"""),2.35)</f>
        <v>2.35</v>
      </c>
      <c r="D2397" s="1">
        <f>IFERROR(__xludf.DUMMYFUNCTION("""COMPUTED_VALUE"""),2.32)</f>
        <v>2.32</v>
      </c>
      <c r="E2397" s="1">
        <f>IFERROR(__xludf.DUMMYFUNCTION("""COMPUTED_VALUE"""),2.34)</f>
        <v>2.34</v>
      </c>
      <c r="F2397" s="1">
        <f>IFERROR(__xludf.DUMMYFUNCTION("""COMPUTED_VALUE"""),288839.0)</f>
        <v>288839</v>
      </c>
    </row>
    <row r="2398">
      <c r="A2398" s="2">
        <f>IFERROR(__xludf.DUMMYFUNCTION("""COMPUTED_VALUE"""),42646.66666666667)</f>
        <v>42646.66667</v>
      </c>
      <c r="B2398" s="1">
        <f>IFERROR(__xludf.DUMMYFUNCTION("""COMPUTED_VALUE"""),2.34)</f>
        <v>2.34</v>
      </c>
      <c r="C2398" s="1">
        <f>IFERROR(__xludf.DUMMYFUNCTION("""COMPUTED_VALUE"""),2.35)</f>
        <v>2.35</v>
      </c>
      <c r="D2398" s="1">
        <f>IFERROR(__xludf.DUMMYFUNCTION("""COMPUTED_VALUE"""),2.3)</f>
        <v>2.3</v>
      </c>
      <c r="E2398" s="1">
        <f>IFERROR(__xludf.DUMMYFUNCTION("""COMPUTED_VALUE"""),2.35)</f>
        <v>2.35</v>
      </c>
      <c r="F2398" s="1">
        <f>IFERROR(__xludf.DUMMYFUNCTION("""COMPUTED_VALUE"""),337853.0)</f>
        <v>337853</v>
      </c>
    </row>
    <row r="2399">
      <c r="A2399" s="2">
        <f>IFERROR(__xludf.DUMMYFUNCTION("""COMPUTED_VALUE"""),42647.66666666667)</f>
        <v>42647.66667</v>
      </c>
      <c r="B2399" s="1">
        <f>IFERROR(__xludf.DUMMYFUNCTION("""COMPUTED_VALUE"""),2.34)</f>
        <v>2.34</v>
      </c>
      <c r="C2399" s="1">
        <f>IFERROR(__xludf.DUMMYFUNCTION("""COMPUTED_VALUE"""),2.37)</f>
        <v>2.37</v>
      </c>
      <c r="D2399" s="1">
        <f>IFERROR(__xludf.DUMMYFUNCTION("""COMPUTED_VALUE"""),2.28)</f>
        <v>2.28</v>
      </c>
      <c r="E2399" s="1">
        <f>IFERROR(__xludf.DUMMYFUNCTION("""COMPUTED_VALUE"""),2.3)</f>
        <v>2.3</v>
      </c>
      <c r="F2399" s="1">
        <f>IFERROR(__xludf.DUMMYFUNCTION("""COMPUTED_VALUE"""),402423.0)</f>
        <v>402423</v>
      </c>
    </row>
    <row r="2400">
      <c r="A2400" s="2">
        <f>IFERROR(__xludf.DUMMYFUNCTION("""COMPUTED_VALUE"""),42648.66666666667)</f>
        <v>42648.66667</v>
      </c>
      <c r="B2400" s="1">
        <f>IFERROR(__xludf.DUMMYFUNCTION("""COMPUTED_VALUE"""),2.3)</f>
        <v>2.3</v>
      </c>
      <c r="C2400" s="1">
        <f>IFERROR(__xludf.DUMMYFUNCTION("""COMPUTED_VALUE"""),2.33)</f>
        <v>2.33</v>
      </c>
      <c r="D2400" s="1">
        <f>IFERROR(__xludf.DUMMYFUNCTION("""COMPUTED_VALUE"""),2.3)</f>
        <v>2.3</v>
      </c>
      <c r="E2400" s="1">
        <f>IFERROR(__xludf.DUMMYFUNCTION("""COMPUTED_VALUE"""),2.32)</f>
        <v>2.32</v>
      </c>
      <c r="F2400" s="1">
        <f>IFERROR(__xludf.DUMMYFUNCTION("""COMPUTED_VALUE"""),323060.0)</f>
        <v>323060</v>
      </c>
    </row>
    <row r="2401">
      <c r="A2401" s="2">
        <f>IFERROR(__xludf.DUMMYFUNCTION("""COMPUTED_VALUE"""),42649.66666666667)</f>
        <v>42649.66667</v>
      </c>
      <c r="B2401" s="1">
        <f>IFERROR(__xludf.DUMMYFUNCTION("""COMPUTED_VALUE"""),2.31)</f>
        <v>2.31</v>
      </c>
      <c r="C2401" s="1">
        <f>IFERROR(__xludf.DUMMYFUNCTION("""COMPUTED_VALUE"""),2.31)</f>
        <v>2.31</v>
      </c>
      <c r="D2401" s="1">
        <f>IFERROR(__xludf.DUMMYFUNCTION("""COMPUTED_VALUE"""),2.26)</f>
        <v>2.26</v>
      </c>
      <c r="E2401" s="1">
        <f>IFERROR(__xludf.DUMMYFUNCTION("""COMPUTED_VALUE"""),2.3)</f>
        <v>2.3</v>
      </c>
      <c r="F2401" s="1">
        <f>IFERROR(__xludf.DUMMYFUNCTION("""COMPUTED_VALUE"""),230043.0)</f>
        <v>230043</v>
      </c>
    </row>
    <row r="2402">
      <c r="A2402" s="2">
        <f>IFERROR(__xludf.DUMMYFUNCTION("""COMPUTED_VALUE"""),42650.66666666667)</f>
        <v>42650.66667</v>
      </c>
      <c r="B2402" s="1">
        <f>IFERROR(__xludf.DUMMYFUNCTION("""COMPUTED_VALUE"""),2.3)</f>
        <v>2.3</v>
      </c>
      <c r="C2402" s="1">
        <f>IFERROR(__xludf.DUMMYFUNCTION("""COMPUTED_VALUE"""),2.3)</f>
        <v>2.3</v>
      </c>
      <c r="D2402" s="1">
        <f>IFERROR(__xludf.DUMMYFUNCTION("""COMPUTED_VALUE"""),2.24)</f>
        <v>2.24</v>
      </c>
      <c r="E2402" s="1">
        <f>IFERROR(__xludf.DUMMYFUNCTION("""COMPUTED_VALUE"""),2.25)</f>
        <v>2.25</v>
      </c>
      <c r="F2402" s="1">
        <f>IFERROR(__xludf.DUMMYFUNCTION("""COMPUTED_VALUE"""),229831.0)</f>
        <v>229831</v>
      </c>
    </row>
    <row r="2403">
      <c r="A2403" s="2">
        <f>IFERROR(__xludf.DUMMYFUNCTION("""COMPUTED_VALUE"""),42653.66666666667)</f>
        <v>42653.66667</v>
      </c>
      <c r="B2403" s="1">
        <f>IFERROR(__xludf.DUMMYFUNCTION("""COMPUTED_VALUE"""),2.27)</f>
        <v>2.27</v>
      </c>
      <c r="C2403" s="1">
        <f>IFERROR(__xludf.DUMMYFUNCTION("""COMPUTED_VALUE"""),2.3)</f>
        <v>2.3</v>
      </c>
      <c r="D2403" s="1">
        <f>IFERROR(__xludf.DUMMYFUNCTION("""COMPUTED_VALUE"""),2.26)</f>
        <v>2.26</v>
      </c>
      <c r="E2403" s="1">
        <f>IFERROR(__xludf.DUMMYFUNCTION("""COMPUTED_VALUE"""),2.27)</f>
        <v>2.27</v>
      </c>
      <c r="F2403" s="1">
        <f>IFERROR(__xludf.DUMMYFUNCTION("""COMPUTED_VALUE"""),196876.0)</f>
        <v>196876</v>
      </c>
    </row>
    <row r="2404">
      <c r="A2404" s="2">
        <f>IFERROR(__xludf.DUMMYFUNCTION("""COMPUTED_VALUE"""),42654.66666666667)</f>
        <v>42654.66667</v>
      </c>
      <c r="B2404" s="1">
        <f>IFERROR(__xludf.DUMMYFUNCTION("""COMPUTED_VALUE"""),2.27)</f>
        <v>2.27</v>
      </c>
      <c r="C2404" s="1">
        <f>IFERROR(__xludf.DUMMYFUNCTION("""COMPUTED_VALUE"""),2.27)</f>
        <v>2.27</v>
      </c>
      <c r="D2404" s="1">
        <f>IFERROR(__xludf.DUMMYFUNCTION("""COMPUTED_VALUE"""),2.2)</f>
        <v>2.2</v>
      </c>
      <c r="E2404" s="1">
        <f>IFERROR(__xludf.DUMMYFUNCTION("""COMPUTED_VALUE"""),2.22)</f>
        <v>2.22</v>
      </c>
      <c r="F2404" s="1">
        <f>IFERROR(__xludf.DUMMYFUNCTION("""COMPUTED_VALUE"""),435719.0)</f>
        <v>435719</v>
      </c>
    </row>
    <row r="2405">
      <c r="A2405" s="2">
        <f>IFERROR(__xludf.DUMMYFUNCTION("""COMPUTED_VALUE"""),42655.66666666667)</f>
        <v>42655.66667</v>
      </c>
      <c r="B2405" s="1">
        <f>IFERROR(__xludf.DUMMYFUNCTION("""COMPUTED_VALUE"""),2.23)</f>
        <v>2.23</v>
      </c>
      <c r="C2405" s="1">
        <f>IFERROR(__xludf.DUMMYFUNCTION("""COMPUTED_VALUE"""),2.24)</f>
        <v>2.24</v>
      </c>
      <c r="D2405" s="1">
        <f>IFERROR(__xludf.DUMMYFUNCTION("""COMPUTED_VALUE"""),2.19)</f>
        <v>2.19</v>
      </c>
      <c r="E2405" s="1">
        <f>IFERROR(__xludf.DUMMYFUNCTION("""COMPUTED_VALUE"""),2.22)</f>
        <v>2.22</v>
      </c>
      <c r="F2405" s="1">
        <f>IFERROR(__xludf.DUMMYFUNCTION("""COMPUTED_VALUE"""),321390.0)</f>
        <v>321390</v>
      </c>
    </row>
    <row r="2406">
      <c r="A2406" s="2">
        <f>IFERROR(__xludf.DUMMYFUNCTION("""COMPUTED_VALUE"""),42656.66666666667)</f>
        <v>42656.66667</v>
      </c>
      <c r="B2406" s="1">
        <f>IFERROR(__xludf.DUMMYFUNCTION("""COMPUTED_VALUE"""),2.2)</f>
        <v>2.2</v>
      </c>
      <c r="C2406" s="1">
        <f>IFERROR(__xludf.DUMMYFUNCTION("""COMPUTED_VALUE"""),2.2)</f>
        <v>2.2</v>
      </c>
      <c r="D2406" s="1">
        <f>IFERROR(__xludf.DUMMYFUNCTION("""COMPUTED_VALUE"""),2.13)</f>
        <v>2.13</v>
      </c>
      <c r="E2406" s="1">
        <f>IFERROR(__xludf.DUMMYFUNCTION("""COMPUTED_VALUE"""),2.15)</f>
        <v>2.15</v>
      </c>
      <c r="F2406" s="1">
        <f>IFERROR(__xludf.DUMMYFUNCTION("""COMPUTED_VALUE"""),333244.0)</f>
        <v>333244</v>
      </c>
    </row>
    <row r="2407">
      <c r="A2407" s="2">
        <f>IFERROR(__xludf.DUMMYFUNCTION("""COMPUTED_VALUE"""),42657.66666666667)</f>
        <v>42657.66667</v>
      </c>
      <c r="B2407" s="1">
        <f>IFERROR(__xludf.DUMMYFUNCTION("""COMPUTED_VALUE"""),2.16)</f>
        <v>2.16</v>
      </c>
      <c r="C2407" s="1">
        <f>IFERROR(__xludf.DUMMYFUNCTION("""COMPUTED_VALUE"""),2.18)</f>
        <v>2.18</v>
      </c>
      <c r="D2407" s="1">
        <f>IFERROR(__xludf.DUMMYFUNCTION("""COMPUTED_VALUE"""),2.14)</f>
        <v>2.14</v>
      </c>
      <c r="E2407" s="1">
        <f>IFERROR(__xludf.DUMMYFUNCTION("""COMPUTED_VALUE"""),2.14)</f>
        <v>2.14</v>
      </c>
      <c r="F2407" s="1">
        <f>IFERROR(__xludf.DUMMYFUNCTION("""COMPUTED_VALUE"""),159988.0)</f>
        <v>159988</v>
      </c>
    </row>
    <row r="2408">
      <c r="A2408" s="2">
        <f>IFERROR(__xludf.DUMMYFUNCTION("""COMPUTED_VALUE"""),42660.66666666667)</f>
        <v>42660.66667</v>
      </c>
      <c r="B2408" s="1">
        <f>IFERROR(__xludf.DUMMYFUNCTION("""COMPUTED_VALUE"""),2.14)</f>
        <v>2.14</v>
      </c>
      <c r="C2408" s="1">
        <f>IFERROR(__xludf.DUMMYFUNCTION("""COMPUTED_VALUE"""),2.19)</f>
        <v>2.19</v>
      </c>
      <c r="D2408" s="1">
        <f>IFERROR(__xludf.DUMMYFUNCTION("""COMPUTED_VALUE"""),2.13)</f>
        <v>2.13</v>
      </c>
      <c r="E2408" s="1">
        <f>IFERROR(__xludf.DUMMYFUNCTION("""COMPUTED_VALUE"""),2.17)</f>
        <v>2.17</v>
      </c>
      <c r="F2408" s="1">
        <f>IFERROR(__xludf.DUMMYFUNCTION("""COMPUTED_VALUE"""),175678.0)</f>
        <v>175678</v>
      </c>
    </row>
    <row r="2409">
      <c r="A2409" s="2">
        <f>IFERROR(__xludf.DUMMYFUNCTION("""COMPUTED_VALUE"""),42661.66666666667)</f>
        <v>42661.66667</v>
      </c>
      <c r="B2409" s="1">
        <f>IFERROR(__xludf.DUMMYFUNCTION("""COMPUTED_VALUE"""),2.19)</f>
        <v>2.19</v>
      </c>
      <c r="C2409" s="1">
        <f>IFERROR(__xludf.DUMMYFUNCTION("""COMPUTED_VALUE"""),2.2)</f>
        <v>2.2</v>
      </c>
      <c r="D2409" s="1">
        <f>IFERROR(__xludf.DUMMYFUNCTION("""COMPUTED_VALUE"""),2.15)</f>
        <v>2.15</v>
      </c>
      <c r="E2409" s="1">
        <f>IFERROR(__xludf.DUMMYFUNCTION("""COMPUTED_VALUE"""),2.19)</f>
        <v>2.19</v>
      </c>
      <c r="F2409" s="1">
        <f>IFERROR(__xludf.DUMMYFUNCTION("""COMPUTED_VALUE"""),356395.0)</f>
        <v>356395</v>
      </c>
    </row>
    <row r="2410">
      <c r="A2410" s="2">
        <f>IFERROR(__xludf.DUMMYFUNCTION("""COMPUTED_VALUE"""),42662.66666666667)</f>
        <v>42662.66667</v>
      </c>
      <c r="B2410" s="1">
        <f>IFERROR(__xludf.DUMMYFUNCTION("""COMPUTED_VALUE"""),2.17)</f>
        <v>2.17</v>
      </c>
      <c r="C2410" s="1">
        <f>IFERROR(__xludf.DUMMYFUNCTION("""COMPUTED_VALUE"""),2.22)</f>
        <v>2.22</v>
      </c>
      <c r="D2410" s="1">
        <f>IFERROR(__xludf.DUMMYFUNCTION("""COMPUTED_VALUE"""),2.17)</f>
        <v>2.17</v>
      </c>
      <c r="E2410" s="1">
        <f>IFERROR(__xludf.DUMMYFUNCTION("""COMPUTED_VALUE"""),2.2)</f>
        <v>2.2</v>
      </c>
      <c r="F2410" s="1">
        <f>IFERROR(__xludf.DUMMYFUNCTION("""COMPUTED_VALUE"""),253829.0)</f>
        <v>253829</v>
      </c>
    </row>
    <row r="2411">
      <c r="A2411" s="2">
        <f>IFERROR(__xludf.DUMMYFUNCTION("""COMPUTED_VALUE"""),42663.66666666667)</f>
        <v>42663.66667</v>
      </c>
      <c r="B2411" s="1">
        <f>IFERROR(__xludf.DUMMYFUNCTION("""COMPUTED_VALUE"""),2.19)</f>
        <v>2.19</v>
      </c>
      <c r="C2411" s="1">
        <f>IFERROR(__xludf.DUMMYFUNCTION("""COMPUTED_VALUE"""),2.21)</f>
        <v>2.21</v>
      </c>
      <c r="D2411" s="1">
        <f>IFERROR(__xludf.DUMMYFUNCTION("""COMPUTED_VALUE"""),2.17)</f>
        <v>2.17</v>
      </c>
      <c r="E2411" s="1">
        <f>IFERROR(__xludf.DUMMYFUNCTION("""COMPUTED_VALUE"""),2.19)</f>
        <v>2.19</v>
      </c>
      <c r="F2411" s="1">
        <f>IFERROR(__xludf.DUMMYFUNCTION("""COMPUTED_VALUE"""),147478.0)</f>
        <v>147478</v>
      </c>
    </row>
    <row r="2412">
      <c r="A2412" s="2">
        <f>IFERROR(__xludf.DUMMYFUNCTION("""COMPUTED_VALUE"""),42664.66666666667)</f>
        <v>42664.66667</v>
      </c>
      <c r="B2412" s="1">
        <f>IFERROR(__xludf.DUMMYFUNCTION("""COMPUTED_VALUE"""),2.17)</f>
        <v>2.17</v>
      </c>
      <c r="C2412" s="1">
        <f>IFERROR(__xludf.DUMMYFUNCTION("""COMPUTED_VALUE"""),2.17)</f>
        <v>2.17</v>
      </c>
      <c r="D2412" s="1">
        <f>IFERROR(__xludf.DUMMYFUNCTION("""COMPUTED_VALUE"""),2.14)</f>
        <v>2.14</v>
      </c>
      <c r="E2412" s="1">
        <f>IFERROR(__xludf.DUMMYFUNCTION("""COMPUTED_VALUE"""),2.15)</f>
        <v>2.15</v>
      </c>
      <c r="F2412" s="1">
        <f>IFERROR(__xludf.DUMMYFUNCTION("""COMPUTED_VALUE"""),229485.0)</f>
        <v>229485</v>
      </c>
    </row>
    <row r="2413">
      <c r="A2413" s="2">
        <f>IFERROR(__xludf.DUMMYFUNCTION("""COMPUTED_VALUE"""),42667.66666666667)</f>
        <v>42667.66667</v>
      </c>
      <c r="B2413" s="1">
        <f>IFERROR(__xludf.DUMMYFUNCTION("""COMPUTED_VALUE"""),2.15)</f>
        <v>2.15</v>
      </c>
      <c r="C2413" s="1">
        <f>IFERROR(__xludf.DUMMYFUNCTION("""COMPUTED_VALUE"""),2.18)</f>
        <v>2.18</v>
      </c>
      <c r="D2413" s="1">
        <f>IFERROR(__xludf.DUMMYFUNCTION("""COMPUTED_VALUE"""),2.13)</f>
        <v>2.13</v>
      </c>
      <c r="E2413" s="1">
        <f>IFERROR(__xludf.DUMMYFUNCTION("""COMPUTED_VALUE"""),2.17)</f>
        <v>2.17</v>
      </c>
      <c r="F2413" s="1">
        <f>IFERROR(__xludf.DUMMYFUNCTION("""COMPUTED_VALUE"""),424124.0)</f>
        <v>424124</v>
      </c>
    </row>
    <row r="2414">
      <c r="A2414" s="2">
        <f>IFERROR(__xludf.DUMMYFUNCTION("""COMPUTED_VALUE"""),42668.66666666667)</f>
        <v>42668.66667</v>
      </c>
      <c r="B2414" s="1">
        <f>IFERROR(__xludf.DUMMYFUNCTION("""COMPUTED_VALUE"""),2.17)</f>
        <v>2.17</v>
      </c>
      <c r="C2414" s="1">
        <f>IFERROR(__xludf.DUMMYFUNCTION("""COMPUTED_VALUE"""),2.2)</f>
        <v>2.2</v>
      </c>
      <c r="D2414" s="1">
        <f>IFERROR(__xludf.DUMMYFUNCTION("""COMPUTED_VALUE"""),2.15)</f>
        <v>2.15</v>
      </c>
      <c r="E2414" s="1">
        <f>IFERROR(__xludf.DUMMYFUNCTION("""COMPUTED_VALUE"""),2.19)</f>
        <v>2.19</v>
      </c>
      <c r="F2414" s="1">
        <f>IFERROR(__xludf.DUMMYFUNCTION("""COMPUTED_VALUE"""),302896.0)</f>
        <v>302896</v>
      </c>
    </row>
    <row r="2415">
      <c r="A2415" s="2">
        <f>IFERROR(__xludf.DUMMYFUNCTION("""COMPUTED_VALUE"""),42669.66666666667)</f>
        <v>42669.66667</v>
      </c>
      <c r="B2415" s="1">
        <f>IFERROR(__xludf.DUMMYFUNCTION("""COMPUTED_VALUE"""),2.19)</f>
        <v>2.19</v>
      </c>
      <c r="C2415" s="1">
        <f>IFERROR(__xludf.DUMMYFUNCTION("""COMPUTED_VALUE"""),2.25)</f>
        <v>2.25</v>
      </c>
      <c r="D2415" s="1">
        <f>IFERROR(__xludf.DUMMYFUNCTION("""COMPUTED_VALUE"""),2.17)</f>
        <v>2.17</v>
      </c>
      <c r="E2415" s="1">
        <f>IFERROR(__xludf.DUMMYFUNCTION("""COMPUTED_VALUE"""),2.22)</f>
        <v>2.22</v>
      </c>
      <c r="F2415" s="1">
        <f>IFERROR(__xludf.DUMMYFUNCTION("""COMPUTED_VALUE"""),209277.0)</f>
        <v>209277</v>
      </c>
    </row>
    <row r="2416">
      <c r="A2416" s="2">
        <f>IFERROR(__xludf.DUMMYFUNCTION("""COMPUTED_VALUE"""),42670.66666666667)</f>
        <v>42670.66667</v>
      </c>
      <c r="B2416" s="1">
        <f>IFERROR(__xludf.DUMMYFUNCTION("""COMPUTED_VALUE"""),2.23)</f>
        <v>2.23</v>
      </c>
      <c r="C2416" s="1">
        <f>IFERROR(__xludf.DUMMYFUNCTION("""COMPUTED_VALUE"""),2.25)</f>
        <v>2.25</v>
      </c>
      <c r="D2416" s="1">
        <f>IFERROR(__xludf.DUMMYFUNCTION("""COMPUTED_VALUE"""),2.18)</f>
        <v>2.18</v>
      </c>
      <c r="E2416" s="1">
        <f>IFERROR(__xludf.DUMMYFUNCTION("""COMPUTED_VALUE"""),2.21)</f>
        <v>2.21</v>
      </c>
      <c r="F2416" s="1">
        <f>IFERROR(__xludf.DUMMYFUNCTION("""COMPUTED_VALUE"""),494054.0)</f>
        <v>494054</v>
      </c>
    </row>
    <row r="2417">
      <c r="A2417" s="2">
        <f>IFERROR(__xludf.DUMMYFUNCTION("""COMPUTED_VALUE"""),42671.66666666667)</f>
        <v>42671.66667</v>
      </c>
      <c r="B2417" s="1">
        <f>IFERROR(__xludf.DUMMYFUNCTION("""COMPUTED_VALUE"""),2.36)</f>
        <v>2.36</v>
      </c>
      <c r="C2417" s="1">
        <f>IFERROR(__xludf.DUMMYFUNCTION("""COMPUTED_VALUE"""),2.49)</f>
        <v>2.49</v>
      </c>
      <c r="D2417" s="1">
        <f>IFERROR(__xludf.DUMMYFUNCTION("""COMPUTED_VALUE"""),2.33)</f>
        <v>2.33</v>
      </c>
      <c r="E2417" s="1">
        <f>IFERROR(__xludf.DUMMYFUNCTION("""COMPUTED_VALUE"""),2.44)</f>
        <v>2.44</v>
      </c>
      <c r="F2417" s="1">
        <f>IFERROR(__xludf.DUMMYFUNCTION("""COMPUTED_VALUE"""),1323400.0)</f>
        <v>1323400</v>
      </c>
    </row>
    <row r="2418">
      <c r="A2418" s="2">
        <f>IFERROR(__xludf.DUMMYFUNCTION("""COMPUTED_VALUE"""),42674.66666666667)</f>
        <v>42674.66667</v>
      </c>
      <c r="B2418" s="1">
        <f>IFERROR(__xludf.DUMMYFUNCTION("""COMPUTED_VALUE"""),2.44)</f>
        <v>2.44</v>
      </c>
      <c r="C2418" s="1">
        <f>IFERROR(__xludf.DUMMYFUNCTION("""COMPUTED_VALUE"""),2.47)</f>
        <v>2.47</v>
      </c>
      <c r="D2418" s="1">
        <f>IFERROR(__xludf.DUMMYFUNCTION("""COMPUTED_VALUE"""),2.37)</f>
        <v>2.37</v>
      </c>
      <c r="E2418" s="1">
        <f>IFERROR(__xludf.DUMMYFUNCTION("""COMPUTED_VALUE"""),2.37)</f>
        <v>2.37</v>
      </c>
      <c r="F2418" s="1">
        <f>IFERROR(__xludf.DUMMYFUNCTION("""COMPUTED_VALUE"""),468931.0)</f>
        <v>468931</v>
      </c>
    </row>
    <row r="2419">
      <c r="A2419" s="2">
        <f>IFERROR(__xludf.DUMMYFUNCTION("""COMPUTED_VALUE"""),42675.66666666667)</f>
        <v>42675.66667</v>
      </c>
      <c r="B2419" s="1">
        <f>IFERROR(__xludf.DUMMYFUNCTION("""COMPUTED_VALUE"""),2.36)</f>
        <v>2.36</v>
      </c>
      <c r="C2419" s="1">
        <f>IFERROR(__xludf.DUMMYFUNCTION("""COMPUTED_VALUE"""),2.38)</f>
        <v>2.38</v>
      </c>
      <c r="D2419" s="1">
        <f>IFERROR(__xludf.DUMMYFUNCTION("""COMPUTED_VALUE"""),2.26)</f>
        <v>2.26</v>
      </c>
      <c r="E2419" s="1">
        <f>IFERROR(__xludf.DUMMYFUNCTION("""COMPUTED_VALUE"""),2.28)</f>
        <v>2.28</v>
      </c>
      <c r="F2419" s="1">
        <f>IFERROR(__xludf.DUMMYFUNCTION("""COMPUTED_VALUE"""),501681.0)</f>
        <v>501681</v>
      </c>
    </row>
    <row r="2420">
      <c r="A2420" s="2">
        <f>IFERROR(__xludf.DUMMYFUNCTION("""COMPUTED_VALUE"""),42676.66666666667)</f>
        <v>42676.66667</v>
      </c>
      <c r="B2420" s="1">
        <f>IFERROR(__xludf.DUMMYFUNCTION("""COMPUTED_VALUE"""),2.27)</f>
        <v>2.27</v>
      </c>
      <c r="C2420" s="1">
        <f>IFERROR(__xludf.DUMMYFUNCTION("""COMPUTED_VALUE"""),2.34)</f>
        <v>2.34</v>
      </c>
      <c r="D2420" s="1">
        <f>IFERROR(__xludf.DUMMYFUNCTION("""COMPUTED_VALUE"""),2.25)</f>
        <v>2.25</v>
      </c>
      <c r="E2420" s="1">
        <f>IFERROR(__xludf.DUMMYFUNCTION("""COMPUTED_VALUE"""),2.26)</f>
        <v>2.26</v>
      </c>
      <c r="F2420" s="1">
        <f>IFERROR(__xludf.DUMMYFUNCTION("""COMPUTED_VALUE"""),631182.0)</f>
        <v>631182</v>
      </c>
    </row>
    <row r="2421">
      <c r="A2421" s="2">
        <f>IFERROR(__xludf.DUMMYFUNCTION("""COMPUTED_VALUE"""),42677.66666666667)</f>
        <v>42677.66667</v>
      </c>
      <c r="B2421" s="1">
        <f>IFERROR(__xludf.DUMMYFUNCTION("""COMPUTED_VALUE"""),2.26)</f>
        <v>2.26</v>
      </c>
      <c r="C2421" s="1">
        <f>IFERROR(__xludf.DUMMYFUNCTION("""COMPUTED_VALUE"""),2.28)</f>
        <v>2.28</v>
      </c>
      <c r="D2421" s="1">
        <f>IFERROR(__xludf.DUMMYFUNCTION("""COMPUTED_VALUE"""),2.23)</f>
        <v>2.23</v>
      </c>
      <c r="E2421" s="1">
        <f>IFERROR(__xludf.DUMMYFUNCTION("""COMPUTED_VALUE"""),2.24)</f>
        <v>2.24</v>
      </c>
      <c r="F2421" s="1">
        <f>IFERROR(__xludf.DUMMYFUNCTION("""COMPUTED_VALUE"""),362845.0)</f>
        <v>362845</v>
      </c>
    </row>
    <row r="2422">
      <c r="A2422" s="2">
        <f>IFERROR(__xludf.DUMMYFUNCTION("""COMPUTED_VALUE"""),42678.66666666667)</f>
        <v>42678.66667</v>
      </c>
      <c r="B2422" s="1">
        <f>IFERROR(__xludf.DUMMYFUNCTION("""COMPUTED_VALUE"""),2.26)</f>
        <v>2.26</v>
      </c>
      <c r="C2422" s="1">
        <f>IFERROR(__xludf.DUMMYFUNCTION("""COMPUTED_VALUE"""),2.26)</f>
        <v>2.26</v>
      </c>
      <c r="D2422" s="1">
        <f>IFERROR(__xludf.DUMMYFUNCTION("""COMPUTED_VALUE"""),2.2)</f>
        <v>2.2</v>
      </c>
      <c r="E2422" s="1">
        <f>IFERROR(__xludf.DUMMYFUNCTION("""COMPUTED_VALUE"""),2.21)</f>
        <v>2.21</v>
      </c>
      <c r="F2422" s="1">
        <f>IFERROR(__xludf.DUMMYFUNCTION("""COMPUTED_VALUE"""),374302.0)</f>
        <v>374302</v>
      </c>
    </row>
    <row r="2423">
      <c r="A2423" s="2">
        <f>IFERROR(__xludf.DUMMYFUNCTION("""COMPUTED_VALUE"""),42681.66666666667)</f>
        <v>42681.66667</v>
      </c>
      <c r="B2423" s="1">
        <f>IFERROR(__xludf.DUMMYFUNCTION("""COMPUTED_VALUE"""),2.26)</f>
        <v>2.26</v>
      </c>
      <c r="C2423" s="1">
        <f>IFERROR(__xludf.DUMMYFUNCTION("""COMPUTED_VALUE"""),2.32)</f>
        <v>2.32</v>
      </c>
      <c r="D2423" s="1">
        <f>IFERROR(__xludf.DUMMYFUNCTION("""COMPUTED_VALUE"""),2.23)</f>
        <v>2.23</v>
      </c>
      <c r="E2423" s="1">
        <f>IFERROR(__xludf.DUMMYFUNCTION("""COMPUTED_VALUE"""),2.29)</f>
        <v>2.29</v>
      </c>
      <c r="F2423" s="1">
        <f>IFERROR(__xludf.DUMMYFUNCTION("""COMPUTED_VALUE"""),341605.0)</f>
        <v>341605</v>
      </c>
    </row>
    <row r="2424">
      <c r="A2424" s="2">
        <f>IFERROR(__xludf.DUMMYFUNCTION("""COMPUTED_VALUE"""),42682.66666666667)</f>
        <v>42682.66667</v>
      </c>
      <c r="B2424" s="1">
        <f>IFERROR(__xludf.DUMMYFUNCTION("""COMPUTED_VALUE"""),2.26)</f>
        <v>2.26</v>
      </c>
      <c r="C2424" s="1">
        <f>IFERROR(__xludf.DUMMYFUNCTION("""COMPUTED_VALUE"""),2.3)</f>
        <v>2.3</v>
      </c>
      <c r="D2424" s="1">
        <f>IFERROR(__xludf.DUMMYFUNCTION("""COMPUTED_VALUE"""),2.24)</f>
        <v>2.24</v>
      </c>
      <c r="E2424" s="1">
        <f>IFERROR(__xludf.DUMMYFUNCTION("""COMPUTED_VALUE"""),2.28)</f>
        <v>2.28</v>
      </c>
      <c r="F2424" s="1">
        <f>IFERROR(__xludf.DUMMYFUNCTION("""COMPUTED_VALUE"""),296477.0)</f>
        <v>296477</v>
      </c>
    </row>
    <row r="2425">
      <c r="A2425" s="2">
        <f>IFERROR(__xludf.DUMMYFUNCTION("""COMPUTED_VALUE"""),42683.66666666667)</f>
        <v>42683.66667</v>
      </c>
      <c r="B2425" s="1">
        <f>IFERROR(__xludf.DUMMYFUNCTION("""COMPUTED_VALUE"""),2.24)</f>
        <v>2.24</v>
      </c>
      <c r="C2425" s="1">
        <f>IFERROR(__xludf.DUMMYFUNCTION("""COMPUTED_VALUE"""),2.36)</f>
        <v>2.36</v>
      </c>
      <c r="D2425" s="1">
        <f>IFERROR(__xludf.DUMMYFUNCTION("""COMPUTED_VALUE"""),2.21)</f>
        <v>2.21</v>
      </c>
      <c r="E2425" s="1">
        <f>IFERROR(__xludf.DUMMYFUNCTION("""COMPUTED_VALUE"""),2.35)</f>
        <v>2.35</v>
      </c>
      <c r="F2425" s="1">
        <f>IFERROR(__xludf.DUMMYFUNCTION("""COMPUTED_VALUE"""),495397.0)</f>
        <v>495397</v>
      </c>
    </row>
    <row r="2426">
      <c r="A2426" s="2">
        <f>IFERROR(__xludf.DUMMYFUNCTION("""COMPUTED_VALUE"""),42684.66666666667)</f>
        <v>42684.66667</v>
      </c>
      <c r="B2426" s="1">
        <f>IFERROR(__xludf.DUMMYFUNCTION("""COMPUTED_VALUE"""),2.36)</f>
        <v>2.36</v>
      </c>
      <c r="C2426" s="1">
        <f>IFERROR(__xludf.DUMMYFUNCTION("""COMPUTED_VALUE"""),2.44)</f>
        <v>2.44</v>
      </c>
      <c r="D2426" s="1">
        <f>IFERROR(__xludf.DUMMYFUNCTION("""COMPUTED_VALUE"""),2.35)</f>
        <v>2.35</v>
      </c>
      <c r="E2426" s="1">
        <f>IFERROR(__xludf.DUMMYFUNCTION("""COMPUTED_VALUE"""),2.39)</f>
        <v>2.39</v>
      </c>
      <c r="F2426" s="1">
        <f>IFERROR(__xludf.DUMMYFUNCTION("""COMPUTED_VALUE"""),490131.0)</f>
        <v>490131</v>
      </c>
    </row>
    <row r="2427">
      <c r="A2427" s="2">
        <f>IFERROR(__xludf.DUMMYFUNCTION("""COMPUTED_VALUE"""),42685.66666666667)</f>
        <v>42685.66667</v>
      </c>
      <c r="B2427" s="1">
        <f>IFERROR(__xludf.DUMMYFUNCTION("""COMPUTED_VALUE"""),2.4)</f>
        <v>2.4</v>
      </c>
      <c r="C2427" s="1">
        <f>IFERROR(__xludf.DUMMYFUNCTION("""COMPUTED_VALUE"""),2.56)</f>
        <v>2.56</v>
      </c>
      <c r="D2427" s="1">
        <f>IFERROR(__xludf.DUMMYFUNCTION("""COMPUTED_VALUE"""),2.4)</f>
        <v>2.4</v>
      </c>
      <c r="E2427" s="1">
        <f>IFERROR(__xludf.DUMMYFUNCTION("""COMPUTED_VALUE"""),2.55)</f>
        <v>2.55</v>
      </c>
      <c r="F2427" s="1">
        <f>IFERROR(__xludf.DUMMYFUNCTION("""COMPUTED_VALUE"""),568104.0)</f>
        <v>568104</v>
      </c>
    </row>
    <row r="2428">
      <c r="A2428" s="2">
        <f>IFERROR(__xludf.DUMMYFUNCTION("""COMPUTED_VALUE"""),42688.66666666667)</f>
        <v>42688.66667</v>
      </c>
      <c r="B2428" s="1">
        <f>IFERROR(__xludf.DUMMYFUNCTION("""COMPUTED_VALUE"""),2.57)</f>
        <v>2.57</v>
      </c>
      <c r="C2428" s="1">
        <f>IFERROR(__xludf.DUMMYFUNCTION("""COMPUTED_VALUE"""),2.63)</f>
        <v>2.63</v>
      </c>
      <c r="D2428" s="1">
        <f>IFERROR(__xludf.DUMMYFUNCTION("""COMPUTED_VALUE"""),2.54)</f>
        <v>2.54</v>
      </c>
      <c r="E2428" s="1">
        <f>IFERROR(__xludf.DUMMYFUNCTION("""COMPUTED_VALUE"""),2.57)</f>
        <v>2.57</v>
      </c>
      <c r="F2428" s="1">
        <f>IFERROR(__xludf.DUMMYFUNCTION("""COMPUTED_VALUE"""),461682.0)</f>
        <v>461682</v>
      </c>
    </row>
    <row r="2429">
      <c r="A2429" s="2">
        <f>IFERROR(__xludf.DUMMYFUNCTION("""COMPUTED_VALUE"""),42689.66666666667)</f>
        <v>42689.66667</v>
      </c>
      <c r="B2429" s="1">
        <f>IFERROR(__xludf.DUMMYFUNCTION("""COMPUTED_VALUE"""),2.59)</f>
        <v>2.59</v>
      </c>
      <c r="C2429" s="1">
        <f>IFERROR(__xludf.DUMMYFUNCTION("""COMPUTED_VALUE"""),2.62)</f>
        <v>2.62</v>
      </c>
      <c r="D2429" s="1">
        <f>IFERROR(__xludf.DUMMYFUNCTION("""COMPUTED_VALUE"""),2.54)</f>
        <v>2.54</v>
      </c>
      <c r="E2429" s="1">
        <f>IFERROR(__xludf.DUMMYFUNCTION("""COMPUTED_VALUE"""),2.57)</f>
        <v>2.57</v>
      </c>
      <c r="F2429" s="1">
        <f>IFERROR(__xludf.DUMMYFUNCTION("""COMPUTED_VALUE"""),312052.0)</f>
        <v>312052</v>
      </c>
    </row>
    <row r="2430">
      <c r="A2430" s="2">
        <f>IFERROR(__xludf.DUMMYFUNCTION("""COMPUTED_VALUE"""),42690.66666666667)</f>
        <v>42690.66667</v>
      </c>
      <c r="B2430" s="1">
        <f>IFERROR(__xludf.DUMMYFUNCTION("""COMPUTED_VALUE"""),2.57)</f>
        <v>2.57</v>
      </c>
      <c r="C2430" s="1">
        <f>IFERROR(__xludf.DUMMYFUNCTION("""COMPUTED_VALUE"""),2.59)</f>
        <v>2.59</v>
      </c>
      <c r="D2430" s="1">
        <f>IFERROR(__xludf.DUMMYFUNCTION("""COMPUTED_VALUE"""),2.55)</f>
        <v>2.55</v>
      </c>
      <c r="E2430" s="1">
        <f>IFERROR(__xludf.DUMMYFUNCTION("""COMPUTED_VALUE"""),2.55)</f>
        <v>2.55</v>
      </c>
      <c r="F2430" s="1">
        <f>IFERROR(__xludf.DUMMYFUNCTION("""COMPUTED_VALUE"""),236982.0)</f>
        <v>236982</v>
      </c>
    </row>
    <row r="2431">
      <c r="A2431" s="2">
        <f>IFERROR(__xludf.DUMMYFUNCTION("""COMPUTED_VALUE"""),42691.66666666667)</f>
        <v>42691.66667</v>
      </c>
      <c r="B2431" s="1">
        <f>IFERROR(__xludf.DUMMYFUNCTION("""COMPUTED_VALUE"""),2.55)</f>
        <v>2.55</v>
      </c>
      <c r="C2431" s="1">
        <f>IFERROR(__xludf.DUMMYFUNCTION("""COMPUTED_VALUE"""),2.58)</f>
        <v>2.58</v>
      </c>
      <c r="D2431" s="1">
        <f>IFERROR(__xludf.DUMMYFUNCTION("""COMPUTED_VALUE"""),2.54)</f>
        <v>2.54</v>
      </c>
      <c r="E2431" s="1">
        <f>IFERROR(__xludf.DUMMYFUNCTION("""COMPUTED_VALUE"""),2.58)</f>
        <v>2.58</v>
      </c>
      <c r="F2431" s="1">
        <f>IFERROR(__xludf.DUMMYFUNCTION("""COMPUTED_VALUE"""),206513.0)</f>
        <v>206513</v>
      </c>
    </row>
    <row r="2432">
      <c r="A2432" s="2">
        <f>IFERROR(__xludf.DUMMYFUNCTION("""COMPUTED_VALUE"""),42692.66666666667)</f>
        <v>42692.66667</v>
      </c>
      <c r="B2432" s="1">
        <f>IFERROR(__xludf.DUMMYFUNCTION("""COMPUTED_VALUE"""),2.59)</f>
        <v>2.59</v>
      </c>
      <c r="C2432" s="1">
        <f>IFERROR(__xludf.DUMMYFUNCTION("""COMPUTED_VALUE"""),2.61)</f>
        <v>2.61</v>
      </c>
      <c r="D2432" s="1">
        <f>IFERROR(__xludf.DUMMYFUNCTION("""COMPUTED_VALUE"""),2.56)</f>
        <v>2.56</v>
      </c>
      <c r="E2432" s="1">
        <f>IFERROR(__xludf.DUMMYFUNCTION("""COMPUTED_VALUE"""),2.6)</f>
        <v>2.6</v>
      </c>
      <c r="F2432" s="1">
        <f>IFERROR(__xludf.DUMMYFUNCTION("""COMPUTED_VALUE"""),233274.0)</f>
        <v>233274</v>
      </c>
    </row>
    <row r="2433">
      <c r="A2433" s="2">
        <f>IFERROR(__xludf.DUMMYFUNCTION("""COMPUTED_VALUE"""),42695.66666666667)</f>
        <v>42695.66667</v>
      </c>
      <c r="B2433" s="1">
        <f>IFERROR(__xludf.DUMMYFUNCTION("""COMPUTED_VALUE"""),2.6)</f>
        <v>2.6</v>
      </c>
      <c r="C2433" s="1">
        <f>IFERROR(__xludf.DUMMYFUNCTION("""COMPUTED_VALUE"""),2.65)</f>
        <v>2.65</v>
      </c>
      <c r="D2433" s="1">
        <f>IFERROR(__xludf.DUMMYFUNCTION("""COMPUTED_VALUE"""),2.59)</f>
        <v>2.59</v>
      </c>
      <c r="E2433" s="1">
        <f>IFERROR(__xludf.DUMMYFUNCTION("""COMPUTED_VALUE"""),2.65)</f>
        <v>2.65</v>
      </c>
      <c r="F2433" s="1">
        <f>IFERROR(__xludf.DUMMYFUNCTION("""COMPUTED_VALUE"""),285995.0)</f>
        <v>285995</v>
      </c>
    </row>
    <row r="2434">
      <c r="A2434" s="2">
        <f>IFERROR(__xludf.DUMMYFUNCTION("""COMPUTED_VALUE"""),42696.66666666667)</f>
        <v>42696.66667</v>
      </c>
      <c r="B2434" s="1">
        <f>IFERROR(__xludf.DUMMYFUNCTION("""COMPUTED_VALUE"""),2.65)</f>
        <v>2.65</v>
      </c>
      <c r="C2434" s="1">
        <f>IFERROR(__xludf.DUMMYFUNCTION("""COMPUTED_VALUE"""),2.67)</f>
        <v>2.67</v>
      </c>
      <c r="D2434" s="1">
        <f>IFERROR(__xludf.DUMMYFUNCTION("""COMPUTED_VALUE"""),2.62)</f>
        <v>2.62</v>
      </c>
      <c r="E2434" s="1">
        <f>IFERROR(__xludf.DUMMYFUNCTION("""COMPUTED_VALUE"""),2.66)</f>
        <v>2.66</v>
      </c>
      <c r="F2434" s="1">
        <f>IFERROR(__xludf.DUMMYFUNCTION("""COMPUTED_VALUE"""),335258.0)</f>
        <v>335258</v>
      </c>
    </row>
    <row r="2435">
      <c r="A2435" s="2">
        <f>IFERROR(__xludf.DUMMYFUNCTION("""COMPUTED_VALUE"""),42697.66666666667)</f>
        <v>42697.66667</v>
      </c>
      <c r="B2435" s="1">
        <f>IFERROR(__xludf.DUMMYFUNCTION("""COMPUTED_VALUE"""),2.64)</f>
        <v>2.64</v>
      </c>
      <c r="C2435" s="1">
        <f>IFERROR(__xludf.DUMMYFUNCTION("""COMPUTED_VALUE"""),2.69)</f>
        <v>2.69</v>
      </c>
      <c r="D2435" s="1">
        <f>IFERROR(__xludf.DUMMYFUNCTION("""COMPUTED_VALUE"""),2.64)</f>
        <v>2.64</v>
      </c>
      <c r="E2435" s="1">
        <f>IFERROR(__xludf.DUMMYFUNCTION("""COMPUTED_VALUE"""),2.68)</f>
        <v>2.68</v>
      </c>
      <c r="F2435" s="1">
        <f>IFERROR(__xludf.DUMMYFUNCTION("""COMPUTED_VALUE"""),241648.0)</f>
        <v>241648</v>
      </c>
    </row>
    <row r="2436">
      <c r="A2436" s="2">
        <f>IFERROR(__xludf.DUMMYFUNCTION("""COMPUTED_VALUE"""),42699.66666666667)</f>
        <v>42699.66667</v>
      </c>
      <c r="B2436" s="1">
        <f>IFERROR(__xludf.DUMMYFUNCTION("""COMPUTED_VALUE"""),2.67)</f>
        <v>2.67</v>
      </c>
      <c r="C2436" s="1">
        <f>IFERROR(__xludf.DUMMYFUNCTION("""COMPUTED_VALUE"""),2.7)</f>
        <v>2.7</v>
      </c>
      <c r="D2436" s="1">
        <f>IFERROR(__xludf.DUMMYFUNCTION("""COMPUTED_VALUE"""),2.66)</f>
        <v>2.66</v>
      </c>
      <c r="E2436" s="1">
        <f>IFERROR(__xludf.DUMMYFUNCTION("""COMPUTED_VALUE"""),2.69)</f>
        <v>2.69</v>
      </c>
      <c r="F2436" s="1">
        <f>IFERROR(__xludf.DUMMYFUNCTION("""COMPUTED_VALUE"""),87949.0)</f>
        <v>87949</v>
      </c>
    </row>
    <row r="2437">
      <c r="A2437" s="2">
        <f>IFERROR(__xludf.DUMMYFUNCTION("""COMPUTED_VALUE"""),42702.66666666667)</f>
        <v>42702.66667</v>
      </c>
      <c r="B2437" s="1">
        <f>IFERROR(__xludf.DUMMYFUNCTION("""COMPUTED_VALUE"""),2.66)</f>
        <v>2.66</v>
      </c>
      <c r="C2437" s="1">
        <f>IFERROR(__xludf.DUMMYFUNCTION("""COMPUTED_VALUE"""),2.68)</f>
        <v>2.68</v>
      </c>
      <c r="D2437" s="1">
        <f>IFERROR(__xludf.DUMMYFUNCTION("""COMPUTED_VALUE"""),2.6)</f>
        <v>2.6</v>
      </c>
      <c r="E2437" s="1">
        <f>IFERROR(__xludf.DUMMYFUNCTION("""COMPUTED_VALUE"""),2.64)</f>
        <v>2.64</v>
      </c>
      <c r="F2437" s="1">
        <f>IFERROR(__xludf.DUMMYFUNCTION("""COMPUTED_VALUE"""),343556.0)</f>
        <v>343556</v>
      </c>
    </row>
    <row r="2438">
      <c r="A2438" s="2">
        <f>IFERROR(__xludf.DUMMYFUNCTION("""COMPUTED_VALUE"""),42703.66666666667)</f>
        <v>42703.66667</v>
      </c>
      <c r="B2438" s="1">
        <f>IFERROR(__xludf.DUMMYFUNCTION("""COMPUTED_VALUE"""),2.63)</f>
        <v>2.63</v>
      </c>
      <c r="C2438" s="1">
        <f>IFERROR(__xludf.DUMMYFUNCTION("""COMPUTED_VALUE"""),2.67)</f>
        <v>2.67</v>
      </c>
      <c r="D2438" s="1">
        <f>IFERROR(__xludf.DUMMYFUNCTION("""COMPUTED_VALUE"""),2.6)</f>
        <v>2.6</v>
      </c>
      <c r="E2438" s="1">
        <f>IFERROR(__xludf.DUMMYFUNCTION("""COMPUTED_VALUE"""),2.61)</f>
        <v>2.61</v>
      </c>
      <c r="F2438" s="1">
        <f>IFERROR(__xludf.DUMMYFUNCTION("""COMPUTED_VALUE"""),241714.0)</f>
        <v>241714</v>
      </c>
    </row>
    <row r="2439">
      <c r="A2439" s="2">
        <f>IFERROR(__xludf.DUMMYFUNCTION("""COMPUTED_VALUE"""),42704.66666666667)</f>
        <v>42704.66667</v>
      </c>
      <c r="B2439" s="1">
        <f>IFERROR(__xludf.DUMMYFUNCTION("""COMPUTED_VALUE"""),2.66)</f>
        <v>2.66</v>
      </c>
      <c r="C2439" s="1">
        <f>IFERROR(__xludf.DUMMYFUNCTION("""COMPUTED_VALUE"""),2.77)</f>
        <v>2.77</v>
      </c>
      <c r="D2439" s="1">
        <f>IFERROR(__xludf.DUMMYFUNCTION("""COMPUTED_VALUE"""),2.66)</f>
        <v>2.66</v>
      </c>
      <c r="E2439" s="1">
        <f>IFERROR(__xludf.DUMMYFUNCTION("""COMPUTED_VALUE"""),2.74)</f>
        <v>2.74</v>
      </c>
      <c r="F2439" s="1">
        <f>IFERROR(__xludf.DUMMYFUNCTION("""COMPUTED_VALUE"""),505017.0)</f>
        <v>505017</v>
      </c>
    </row>
    <row r="2440">
      <c r="A2440" s="2">
        <f>IFERROR(__xludf.DUMMYFUNCTION("""COMPUTED_VALUE"""),42705.66666666667)</f>
        <v>42705.66667</v>
      </c>
      <c r="B2440" s="1">
        <f>IFERROR(__xludf.DUMMYFUNCTION("""COMPUTED_VALUE"""),2.73)</f>
        <v>2.73</v>
      </c>
      <c r="C2440" s="1">
        <f>IFERROR(__xludf.DUMMYFUNCTION("""COMPUTED_VALUE"""),2.75)</f>
        <v>2.75</v>
      </c>
      <c r="D2440" s="1">
        <f>IFERROR(__xludf.DUMMYFUNCTION("""COMPUTED_VALUE"""),2.6)</f>
        <v>2.6</v>
      </c>
      <c r="E2440" s="1">
        <f>IFERROR(__xludf.DUMMYFUNCTION("""COMPUTED_VALUE"""),2.62)</f>
        <v>2.62</v>
      </c>
      <c r="F2440" s="1">
        <f>IFERROR(__xludf.DUMMYFUNCTION("""COMPUTED_VALUE"""),316002.0)</f>
        <v>316002</v>
      </c>
    </row>
    <row r="2441">
      <c r="A2441" s="2">
        <f>IFERROR(__xludf.DUMMYFUNCTION("""COMPUTED_VALUE"""),42706.66666666667)</f>
        <v>42706.66667</v>
      </c>
      <c r="B2441" s="1">
        <f>IFERROR(__xludf.DUMMYFUNCTION("""COMPUTED_VALUE"""),2.6)</f>
        <v>2.6</v>
      </c>
      <c r="C2441" s="1">
        <f>IFERROR(__xludf.DUMMYFUNCTION("""COMPUTED_VALUE"""),2.71)</f>
        <v>2.71</v>
      </c>
      <c r="D2441" s="1">
        <f>IFERROR(__xludf.DUMMYFUNCTION("""COMPUTED_VALUE"""),2.6)</f>
        <v>2.6</v>
      </c>
      <c r="E2441" s="1">
        <f>IFERROR(__xludf.DUMMYFUNCTION("""COMPUTED_VALUE"""),2.7)</f>
        <v>2.7</v>
      </c>
      <c r="F2441" s="1">
        <f>IFERROR(__xludf.DUMMYFUNCTION("""COMPUTED_VALUE"""),292482.0)</f>
        <v>292482</v>
      </c>
    </row>
    <row r="2442">
      <c r="A2442" s="2">
        <f>IFERROR(__xludf.DUMMYFUNCTION("""COMPUTED_VALUE"""),42709.66666666667)</f>
        <v>42709.66667</v>
      </c>
      <c r="B2442" s="1">
        <f>IFERROR(__xludf.DUMMYFUNCTION("""COMPUTED_VALUE"""),2.72)</f>
        <v>2.72</v>
      </c>
      <c r="C2442" s="1">
        <f>IFERROR(__xludf.DUMMYFUNCTION("""COMPUTED_VALUE"""),2.77)</f>
        <v>2.77</v>
      </c>
      <c r="D2442" s="1">
        <f>IFERROR(__xludf.DUMMYFUNCTION("""COMPUTED_VALUE"""),2.7)</f>
        <v>2.7</v>
      </c>
      <c r="E2442" s="1">
        <f>IFERROR(__xludf.DUMMYFUNCTION("""COMPUTED_VALUE"""),2.76)</f>
        <v>2.76</v>
      </c>
      <c r="F2442" s="1">
        <f>IFERROR(__xludf.DUMMYFUNCTION("""COMPUTED_VALUE"""),375752.0)</f>
        <v>375752</v>
      </c>
    </row>
    <row r="2443">
      <c r="A2443" s="2">
        <f>IFERROR(__xludf.DUMMYFUNCTION("""COMPUTED_VALUE"""),42710.66666666667)</f>
        <v>42710.66667</v>
      </c>
      <c r="B2443" s="1">
        <f>IFERROR(__xludf.DUMMYFUNCTION("""COMPUTED_VALUE"""),2.78)</f>
        <v>2.78</v>
      </c>
      <c r="C2443" s="1">
        <f>IFERROR(__xludf.DUMMYFUNCTION("""COMPUTED_VALUE"""),2.8)</f>
        <v>2.8</v>
      </c>
      <c r="D2443" s="1">
        <f>IFERROR(__xludf.DUMMYFUNCTION("""COMPUTED_VALUE"""),2.73)</f>
        <v>2.73</v>
      </c>
      <c r="E2443" s="1">
        <f>IFERROR(__xludf.DUMMYFUNCTION("""COMPUTED_VALUE"""),2.8)</f>
        <v>2.8</v>
      </c>
      <c r="F2443" s="1">
        <f>IFERROR(__xludf.DUMMYFUNCTION("""COMPUTED_VALUE"""),286552.0)</f>
        <v>286552</v>
      </c>
    </row>
    <row r="2444">
      <c r="A2444" s="2">
        <f>IFERROR(__xludf.DUMMYFUNCTION("""COMPUTED_VALUE"""),42711.66666666667)</f>
        <v>42711.66667</v>
      </c>
      <c r="B2444" s="1">
        <f>IFERROR(__xludf.DUMMYFUNCTION("""COMPUTED_VALUE"""),2.79)</f>
        <v>2.79</v>
      </c>
      <c r="C2444" s="1">
        <f>IFERROR(__xludf.DUMMYFUNCTION("""COMPUTED_VALUE"""),2.87)</f>
        <v>2.87</v>
      </c>
      <c r="D2444" s="1">
        <f>IFERROR(__xludf.DUMMYFUNCTION("""COMPUTED_VALUE"""),2.77)</f>
        <v>2.77</v>
      </c>
      <c r="E2444" s="1">
        <f>IFERROR(__xludf.DUMMYFUNCTION("""COMPUTED_VALUE"""),2.85)</f>
        <v>2.85</v>
      </c>
      <c r="F2444" s="1">
        <f>IFERROR(__xludf.DUMMYFUNCTION("""COMPUTED_VALUE"""),338124.0)</f>
        <v>338124</v>
      </c>
    </row>
    <row r="2445">
      <c r="A2445" s="2">
        <f>IFERROR(__xludf.DUMMYFUNCTION("""COMPUTED_VALUE"""),42712.66666666667)</f>
        <v>42712.66667</v>
      </c>
      <c r="B2445" s="1">
        <f>IFERROR(__xludf.DUMMYFUNCTION("""COMPUTED_VALUE"""),2.85)</f>
        <v>2.85</v>
      </c>
      <c r="C2445" s="1">
        <f>IFERROR(__xludf.DUMMYFUNCTION("""COMPUTED_VALUE"""),2.9)</f>
        <v>2.9</v>
      </c>
      <c r="D2445" s="1">
        <f>IFERROR(__xludf.DUMMYFUNCTION("""COMPUTED_VALUE"""),2.81)</f>
        <v>2.81</v>
      </c>
      <c r="E2445" s="1">
        <f>IFERROR(__xludf.DUMMYFUNCTION("""COMPUTED_VALUE"""),2.9)</f>
        <v>2.9</v>
      </c>
      <c r="F2445" s="1">
        <f>IFERROR(__xludf.DUMMYFUNCTION("""COMPUTED_VALUE"""),336675.0)</f>
        <v>336675</v>
      </c>
    </row>
    <row r="2446">
      <c r="A2446" s="2">
        <f>IFERROR(__xludf.DUMMYFUNCTION("""COMPUTED_VALUE"""),42713.66666666667)</f>
        <v>42713.66667</v>
      </c>
      <c r="B2446" s="1">
        <f>IFERROR(__xludf.DUMMYFUNCTION("""COMPUTED_VALUE"""),2.91)</f>
        <v>2.91</v>
      </c>
      <c r="C2446" s="1">
        <f>IFERROR(__xludf.DUMMYFUNCTION("""COMPUTED_VALUE"""),2.93)</f>
        <v>2.93</v>
      </c>
      <c r="D2446" s="1">
        <f>IFERROR(__xludf.DUMMYFUNCTION("""COMPUTED_VALUE"""),2.83)</f>
        <v>2.83</v>
      </c>
      <c r="E2446" s="1">
        <f>IFERROR(__xludf.DUMMYFUNCTION("""COMPUTED_VALUE"""),2.85)</f>
        <v>2.85</v>
      </c>
      <c r="F2446" s="1">
        <f>IFERROR(__xludf.DUMMYFUNCTION("""COMPUTED_VALUE"""),286950.0)</f>
        <v>286950</v>
      </c>
    </row>
    <row r="2447">
      <c r="A2447" s="2">
        <f>IFERROR(__xludf.DUMMYFUNCTION("""COMPUTED_VALUE"""),42716.66666666667)</f>
        <v>42716.66667</v>
      </c>
      <c r="B2447" s="1">
        <f>IFERROR(__xludf.DUMMYFUNCTION("""COMPUTED_VALUE"""),2.84)</f>
        <v>2.84</v>
      </c>
      <c r="C2447" s="1">
        <f>IFERROR(__xludf.DUMMYFUNCTION("""COMPUTED_VALUE"""),2.85)</f>
        <v>2.85</v>
      </c>
      <c r="D2447" s="1">
        <f>IFERROR(__xludf.DUMMYFUNCTION("""COMPUTED_VALUE"""),2.74)</f>
        <v>2.74</v>
      </c>
      <c r="E2447" s="1">
        <f>IFERROR(__xludf.DUMMYFUNCTION("""COMPUTED_VALUE"""),2.81)</f>
        <v>2.81</v>
      </c>
      <c r="F2447" s="1">
        <f>IFERROR(__xludf.DUMMYFUNCTION("""COMPUTED_VALUE"""),226226.0)</f>
        <v>226226</v>
      </c>
    </row>
    <row r="2448">
      <c r="A2448" s="2">
        <f>IFERROR(__xludf.DUMMYFUNCTION("""COMPUTED_VALUE"""),42717.66666666667)</f>
        <v>42717.66667</v>
      </c>
      <c r="B2448" s="1">
        <f>IFERROR(__xludf.DUMMYFUNCTION("""COMPUTED_VALUE"""),2.81)</f>
        <v>2.81</v>
      </c>
      <c r="C2448" s="1">
        <f>IFERROR(__xludf.DUMMYFUNCTION("""COMPUTED_VALUE"""),2.87)</f>
        <v>2.87</v>
      </c>
      <c r="D2448" s="1">
        <f>IFERROR(__xludf.DUMMYFUNCTION("""COMPUTED_VALUE"""),2.81)</f>
        <v>2.81</v>
      </c>
      <c r="E2448" s="1">
        <f>IFERROR(__xludf.DUMMYFUNCTION("""COMPUTED_VALUE"""),2.85)</f>
        <v>2.85</v>
      </c>
      <c r="F2448" s="1">
        <f>IFERROR(__xludf.DUMMYFUNCTION("""COMPUTED_VALUE"""),442579.0)</f>
        <v>442579</v>
      </c>
    </row>
    <row r="2449">
      <c r="A2449" s="2">
        <f>IFERROR(__xludf.DUMMYFUNCTION("""COMPUTED_VALUE"""),42718.66666666667)</f>
        <v>42718.66667</v>
      </c>
      <c r="B2449" s="1">
        <f>IFERROR(__xludf.DUMMYFUNCTION("""COMPUTED_VALUE"""),2.86)</f>
        <v>2.86</v>
      </c>
      <c r="C2449" s="1">
        <f>IFERROR(__xludf.DUMMYFUNCTION("""COMPUTED_VALUE"""),2.88)</f>
        <v>2.88</v>
      </c>
      <c r="D2449" s="1">
        <f>IFERROR(__xludf.DUMMYFUNCTION("""COMPUTED_VALUE"""),2.79)</f>
        <v>2.79</v>
      </c>
      <c r="E2449" s="1">
        <f>IFERROR(__xludf.DUMMYFUNCTION("""COMPUTED_VALUE"""),2.81)</f>
        <v>2.81</v>
      </c>
      <c r="F2449" s="1">
        <f>IFERROR(__xludf.DUMMYFUNCTION("""COMPUTED_VALUE"""),239651.0)</f>
        <v>239651</v>
      </c>
    </row>
    <row r="2450">
      <c r="A2450" s="2">
        <f>IFERROR(__xludf.DUMMYFUNCTION("""COMPUTED_VALUE"""),42719.66666666667)</f>
        <v>42719.66667</v>
      </c>
      <c r="B2450" s="1">
        <f>IFERROR(__xludf.DUMMYFUNCTION("""COMPUTED_VALUE"""),2.81)</f>
        <v>2.81</v>
      </c>
      <c r="C2450" s="1">
        <f>IFERROR(__xludf.DUMMYFUNCTION("""COMPUTED_VALUE"""),2.85)</f>
        <v>2.85</v>
      </c>
      <c r="D2450" s="1">
        <f>IFERROR(__xludf.DUMMYFUNCTION("""COMPUTED_VALUE"""),2.75)</f>
        <v>2.75</v>
      </c>
      <c r="E2450" s="1">
        <f>IFERROR(__xludf.DUMMYFUNCTION("""COMPUTED_VALUE"""),2.83)</f>
        <v>2.83</v>
      </c>
      <c r="F2450" s="1">
        <f>IFERROR(__xludf.DUMMYFUNCTION("""COMPUTED_VALUE"""),241168.0)</f>
        <v>241168</v>
      </c>
    </row>
    <row r="2451">
      <c r="A2451" s="2">
        <f>IFERROR(__xludf.DUMMYFUNCTION("""COMPUTED_VALUE"""),42720.66666666667)</f>
        <v>42720.66667</v>
      </c>
      <c r="B2451" s="1">
        <f>IFERROR(__xludf.DUMMYFUNCTION("""COMPUTED_VALUE"""),2.84)</f>
        <v>2.84</v>
      </c>
      <c r="C2451" s="1">
        <f>IFERROR(__xludf.DUMMYFUNCTION("""COMPUTED_VALUE"""),2.89)</f>
        <v>2.89</v>
      </c>
      <c r="D2451" s="1">
        <f>IFERROR(__xludf.DUMMYFUNCTION("""COMPUTED_VALUE"""),2.82)</f>
        <v>2.82</v>
      </c>
      <c r="E2451" s="1">
        <f>IFERROR(__xludf.DUMMYFUNCTION("""COMPUTED_VALUE"""),2.83)</f>
        <v>2.83</v>
      </c>
      <c r="F2451" s="1">
        <f>IFERROR(__xludf.DUMMYFUNCTION("""COMPUTED_VALUE"""),517423.0)</f>
        <v>517423</v>
      </c>
    </row>
    <row r="2452">
      <c r="A2452" s="2">
        <f>IFERROR(__xludf.DUMMYFUNCTION("""COMPUTED_VALUE"""),42723.66666666667)</f>
        <v>42723.66667</v>
      </c>
      <c r="B2452" s="1">
        <f>IFERROR(__xludf.DUMMYFUNCTION("""COMPUTED_VALUE"""),2.85)</f>
        <v>2.85</v>
      </c>
      <c r="C2452" s="1">
        <f>IFERROR(__xludf.DUMMYFUNCTION("""COMPUTED_VALUE"""),2.91)</f>
        <v>2.91</v>
      </c>
      <c r="D2452" s="1">
        <f>IFERROR(__xludf.DUMMYFUNCTION("""COMPUTED_VALUE"""),2.83)</f>
        <v>2.83</v>
      </c>
      <c r="E2452" s="1">
        <f>IFERROR(__xludf.DUMMYFUNCTION("""COMPUTED_VALUE"""),2.9)</f>
        <v>2.9</v>
      </c>
      <c r="F2452" s="1">
        <f>IFERROR(__xludf.DUMMYFUNCTION("""COMPUTED_VALUE"""),264523.0)</f>
        <v>264523</v>
      </c>
    </row>
    <row r="2453">
      <c r="A2453" s="2">
        <f>IFERROR(__xludf.DUMMYFUNCTION("""COMPUTED_VALUE"""),42724.66666666667)</f>
        <v>42724.66667</v>
      </c>
      <c r="B2453" s="1">
        <f>IFERROR(__xludf.DUMMYFUNCTION("""COMPUTED_VALUE"""),2.91)</f>
        <v>2.91</v>
      </c>
      <c r="C2453" s="1">
        <f>IFERROR(__xludf.DUMMYFUNCTION("""COMPUTED_VALUE"""),2.96)</f>
        <v>2.96</v>
      </c>
      <c r="D2453" s="1">
        <f>IFERROR(__xludf.DUMMYFUNCTION("""COMPUTED_VALUE"""),2.86)</f>
        <v>2.86</v>
      </c>
      <c r="E2453" s="1">
        <f>IFERROR(__xludf.DUMMYFUNCTION("""COMPUTED_VALUE"""),2.89)</f>
        <v>2.89</v>
      </c>
      <c r="F2453" s="1">
        <f>IFERROR(__xludf.DUMMYFUNCTION("""COMPUTED_VALUE"""),213951.0)</f>
        <v>213951</v>
      </c>
    </row>
    <row r="2454">
      <c r="A2454" s="2">
        <f>IFERROR(__xludf.DUMMYFUNCTION("""COMPUTED_VALUE"""),42725.66666666667)</f>
        <v>42725.66667</v>
      </c>
      <c r="B2454" s="1">
        <f>IFERROR(__xludf.DUMMYFUNCTION("""COMPUTED_VALUE"""),2.88)</f>
        <v>2.88</v>
      </c>
      <c r="C2454" s="1">
        <f>IFERROR(__xludf.DUMMYFUNCTION("""COMPUTED_VALUE"""),2.89)</f>
        <v>2.89</v>
      </c>
      <c r="D2454" s="1">
        <f>IFERROR(__xludf.DUMMYFUNCTION("""COMPUTED_VALUE"""),2.84)</f>
        <v>2.84</v>
      </c>
      <c r="E2454" s="1">
        <f>IFERROR(__xludf.DUMMYFUNCTION("""COMPUTED_VALUE"""),2.88)</f>
        <v>2.88</v>
      </c>
      <c r="F2454" s="1">
        <f>IFERROR(__xludf.DUMMYFUNCTION("""COMPUTED_VALUE"""),176116.0)</f>
        <v>176116</v>
      </c>
    </row>
    <row r="2455">
      <c r="A2455" s="2">
        <f>IFERROR(__xludf.DUMMYFUNCTION("""COMPUTED_VALUE"""),42726.66666666667)</f>
        <v>42726.66667</v>
      </c>
      <c r="B2455" s="1">
        <f>IFERROR(__xludf.DUMMYFUNCTION("""COMPUTED_VALUE"""),2.89)</f>
        <v>2.89</v>
      </c>
      <c r="C2455" s="1">
        <f>IFERROR(__xludf.DUMMYFUNCTION("""COMPUTED_VALUE"""),2.9)</f>
        <v>2.9</v>
      </c>
      <c r="D2455" s="1">
        <f>IFERROR(__xludf.DUMMYFUNCTION("""COMPUTED_VALUE"""),2.79)</f>
        <v>2.79</v>
      </c>
      <c r="E2455" s="1">
        <f>IFERROR(__xludf.DUMMYFUNCTION("""COMPUTED_VALUE"""),2.8)</f>
        <v>2.8</v>
      </c>
      <c r="F2455" s="1">
        <f>IFERROR(__xludf.DUMMYFUNCTION("""COMPUTED_VALUE"""),288374.0)</f>
        <v>288374</v>
      </c>
    </row>
    <row r="2456">
      <c r="A2456" s="2">
        <f>IFERROR(__xludf.DUMMYFUNCTION("""COMPUTED_VALUE"""),42727.66666666667)</f>
        <v>42727.66667</v>
      </c>
      <c r="B2456" s="1">
        <f>IFERROR(__xludf.DUMMYFUNCTION("""COMPUTED_VALUE"""),2.81)</f>
        <v>2.81</v>
      </c>
      <c r="C2456" s="1">
        <f>IFERROR(__xludf.DUMMYFUNCTION("""COMPUTED_VALUE"""),2.88)</f>
        <v>2.88</v>
      </c>
      <c r="D2456" s="1">
        <f>IFERROR(__xludf.DUMMYFUNCTION("""COMPUTED_VALUE"""),2.79)</f>
        <v>2.79</v>
      </c>
      <c r="E2456" s="1">
        <f>IFERROR(__xludf.DUMMYFUNCTION("""COMPUTED_VALUE"""),2.87)</f>
        <v>2.87</v>
      </c>
      <c r="F2456" s="1">
        <f>IFERROR(__xludf.DUMMYFUNCTION("""COMPUTED_VALUE"""),248522.0)</f>
        <v>248522</v>
      </c>
    </row>
    <row r="2457">
      <c r="A2457" s="2">
        <f>IFERROR(__xludf.DUMMYFUNCTION("""COMPUTED_VALUE"""),42731.66666666667)</f>
        <v>42731.66667</v>
      </c>
      <c r="B2457" s="1">
        <f>IFERROR(__xludf.DUMMYFUNCTION("""COMPUTED_VALUE"""),2.89)</f>
        <v>2.89</v>
      </c>
      <c r="C2457" s="1">
        <f>IFERROR(__xludf.DUMMYFUNCTION("""COMPUTED_VALUE"""),2.89)</f>
        <v>2.89</v>
      </c>
      <c r="D2457" s="1">
        <f>IFERROR(__xludf.DUMMYFUNCTION("""COMPUTED_VALUE"""),2.84)</f>
        <v>2.84</v>
      </c>
      <c r="E2457" s="1">
        <f>IFERROR(__xludf.DUMMYFUNCTION("""COMPUTED_VALUE"""),2.87)</f>
        <v>2.87</v>
      </c>
      <c r="F2457" s="1">
        <f>IFERROR(__xludf.DUMMYFUNCTION("""COMPUTED_VALUE"""),218409.0)</f>
        <v>218409</v>
      </c>
    </row>
    <row r="2458">
      <c r="A2458" s="2">
        <f>IFERROR(__xludf.DUMMYFUNCTION("""COMPUTED_VALUE"""),42732.66666666667)</f>
        <v>42732.66667</v>
      </c>
      <c r="B2458" s="1">
        <f>IFERROR(__xludf.DUMMYFUNCTION("""COMPUTED_VALUE"""),2.87)</f>
        <v>2.87</v>
      </c>
      <c r="C2458" s="1">
        <f>IFERROR(__xludf.DUMMYFUNCTION("""COMPUTED_VALUE"""),2.88)</f>
        <v>2.88</v>
      </c>
      <c r="D2458" s="1">
        <f>IFERROR(__xludf.DUMMYFUNCTION("""COMPUTED_VALUE"""),2.82)</f>
        <v>2.82</v>
      </c>
      <c r="E2458" s="1">
        <f>IFERROR(__xludf.DUMMYFUNCTION("""COMPUTED_VALUE"""),2.85)</f>
        <v>2.85</v>
      </c>
      <c r="F2458" s="1">
        <f>IFERROR(__xludf.DUMMYFUNCTION("""COMPUTED_VALUE"""),240204.0)</f>
        <v>240204</v>
      </c>
    </row>
    <row r="2459">
      <c r="A2459" s="2">
        <f>IFERROR(__xludf.DUMMYFUNCTION("""COMPUTED_VALUE"""),42733.66666666667)</f>
        <v>42733.66667</v>
      </c>
      <c r="B2459" s="1">
        <f>IFERROR(__xludf.DUMMYFUNCTION("""COMPUTED_VALUE"""),2.84)</f>
        <v>2.84</v>
      </c>
      <c r="C2459" s="1">
        <f>IFERROR(__xludf.DUMMYFUNCTION("""COMPUTED_VALUE"""),2.86)</f>
        <v>2.86</v>
      </c>
      <c r="D2459" s="1">
        <f>IFERROR(__xludf.DUMMYFUNCTION("""COMPUTED_VALUE"""),2.79)</f>
        <v>2.79</v>
      </c>
      <c r="E2459" s="1">
        <f>IFERROR(__xludf.DUMMYFUNCTION("""COMPUTED_VALUE"""),2.85)</f>
        <v>2.85</v>
      </c>
      <c r="F2459" s="1">
        <f>IFERROR(__xludf.DUMMYFUNCTION("""COMPUTED_VALUE"""),235283.0)</f>
        <v>235283</v>
      </c>
    </row>
    <row r="2460">
      <c r="A2460" s="2">
        <f>IFERROR(__xludf.DUMMYFUNCTION("""COMPUTED_VALUE"""),42734.66666666667)</f>
        <v>42734.66667</v>
      </c>
      <c r="B2460" s="1">
        <f>IFERROR(__xludf.DUMMYFUNCTION("""COMPUTED_VALUE"""),2.85)</f>
        <v>2.85</v>
      </c>
      <c r="C2460" s="1">
        <f>IFERROR(__xludf.DUMMYFUNCTION("""COMPUTED_VALUE"""),2.85)</f>
        <v>2.85</v>
      </c>
      <c r="D2460" s="1">
        <f>IFERROR(__xludf.DUMMYFUNCTION("""COMPUTED_VALUE"""),2.8)</f>
        <v>2.8</v>
      </c>
      <c r="E2460" s="1">
        <f>IFERROR(__xludf.DUMMYFUNCTION("""COMPUTED_VALUE"""),2.81)</f>
        <v>2.81</v>
      </c>
      <c r="F2460" s="1">
        <f>IFERROR(__xludf.DUMMYFUNCTION("""COMPUTED_VALUE"""),253206.0)</f>
        <v>253206</v>
      </c>
    </row>
    <row r="2461">
      <c r="A2461" s="2">
        <f>IFERROR(__xludf.DUMMYFUNCTION("""COMPUTED_VALUE"""),42738.66666666667)</f>
        <v>42738.66667</v>
      </c>
      <c r="B2461" s="1">
        <f>IFERROR(__xludf.DUMMYFUNCTION("""COMPUTED_VALUE"""),2.83)</f>
        <v>2.83</v>
      </c>
      <c r="C2461" s="1">
        <f>IFERROR(__xludf.DUMMYFUNCTION("""COMPUTED_VALUE"""),2.88)</f>
        <v>2.88</v>
      </c>
      <c r="D2461" s="1">
        <f>IFERROR(__xludf.DUMMYFUNCTION("""COMPUTED_VALUE"""),2.81)</f>
        <v>2.81</v>
      </c>
      <c r="E2461" s="1">
        <f>IFERROR(__xludf.DUMMYFUNCTION("""COMPUTED_VALUE"""),2.85)</f>
        <v>2.85</v>
      </c>
      <c r="F2461" s="1">
        <f>IFERROR(__xludf.DUMMYFUNCTION("""COMPUTED_VALUE"""),180801.0)</f>
        <v>180801</v>
      </c>
    </row>
    <row r="2462">
      <c r="A2462" s="2">
        <f>IFERROR(__xludf.DUMMYFUNCTION("""COMPUTED_VALUE"""),42739.66666666667)</f>
        <v>42739.66667</v>
      </c>
      <c r="B2462" s="1">
        <f>IFERROR(__xludf.DUMMYFUNCTION("""COMPUTED_VALUE"""),2.85)</f>
        <v>2.85</v>
      </c>
      <c r="C2462" s="1">
        <f>IFERROR(__xludf.DUMMYFUNCTION("""COMPUTED_VALUE"""),2.9)</f>
        <v>2.9</v>
      </c>
      <c r="D2462" s="1">
        <f>IFERROR(__xludf.DUMMYFUNCTION("""COMPUTED_VALUE"""),2.84)</f>
        <v>2.84</v>
      </c>
      <c r="E2462" s="1">
        <f>IFERROR(__xludf.DUMMYFUNCTION("""COMPUTED_VALUE"""),2.89)</f>
        <v>2.89</v>
      </c>
      <c r="F2462" s="1">
        <f>IFERROR(__xludf.DUMMYFUNCTION("""COMPUTED_VALUE"""),253231.0)</f>
        <v>253231</v>
      </c>
    </row>
    <row r="2463">
      <c r="A2463" s="2">
        <f>IFERROR(__xludf.DUMMYFUNCTION("""COMPUTED_VALUE"""),42740.66666666667)</f>
        <v>42740.66667</v>
      </c>
      <c r="B2463" s="1">
        <f>IFERROR(__xludf.DUMMYFUNCTION("""COMPUTED_VALUE"""),2.87)</f>
        <v>2.87</v>
      </c>
      <c r="C2463" s="1">
        <f>IFERROR(__xludf.DUMMYFUNCTION("""COMPUTED_VALUE"""),2.9)</f>
        <v>2.9</v>
      </c>
      <c r="D2463" s="1">
        <f>IFERROR(__xludf.DUMMYFUNCTION("""COMPUTED_VALUE"""),2.82)</f>
        <v>2.82</v>
      </c>
      <c r="E2463" s="1">
        <f>IFERROR(__xludf.DUMMYFUNCTION("""COMPUTED_VALUE"""),2.86)</f>
        <v>2.86</v>
      </c>
      <c r="F2463" s="1">
        <f>IFERROR(__xludf.DUMMYFUNCTION("""COMPUTED_VALUE"""),119610.0)</f>
        <v>119610</v>
      </c>
    </row>
    <row r="2464">
      <c r="A2464" s="2">
        <f>IFERROR(__xludf.DUMMYFUNCTION("""COMPUTED_VALUE"""),42741.66666666667)</f>
        <v>42741.66667</v>
      </c>
      <c r="B2464" s="1">
        <f>IFERROR(__xludf.DUMMYFUNCTION("""COMPUTED_VALUE"""),2.88)</f>
        <v>2.88</v>
      </c>
      <c r="C2464" s="1">
        <f>IFERROR(__xludf.DUMMYFUNCTION("""COMPUTED_VALUE"""),2.9)</f>
        <v>2.9</v>
      </c>
      <c r="D2464" s="1">
        <f>IFERROR(__xludf.DUMMYFUNCTION("""COMPUTED_VALUE"""),2.83)</f>
        <v>2.83</v>
      </c>
      <c r="E2464" s="1">
        <f>IFERROR(__xludf.DUMMYFUNCTION("""COMPUTED_VALUE"""),2.85)</f>
        <v>2.85</v>
      </c>
      <c r="F2464" s="1">
        <f>IFERROR(__xludf.DUMMYFUNCTION("""COMPUTED_VALUE"""),142008.0)</f>
        <v>142008</v>
      </c>
    </row>
    <row r="2465">
      <c r="A2465" s="2">
        <f>IFERROR(__xludf.DUMMYFUNCTION("""COMPUTED_VALUE"""),42744.66666666667)</f>
        <v>42744.66667</v>
      </c>
      <c r="B2465" s="1">
        <f>IFERROR(__xludf.DUMMYFUNCTION("""COMPUTED_VALUE"""),2.85)</f>
        <v>2.85</v>
      </c>
      <c r="C2465" s="1">
        <f>IFERROR(__xludf.DUMMYFUNCTION("""COMPUTED_VALUE"""),2.89)</f>
        <v>2.89</v>
      </c>
      <c r="D2465" s="1">
        <f>IFERROR(__xludf.DUMMYFUNCTION("""COMPUTED_VALUE"""),2.83)</f>
        <v>2.83</v>
      </c>
      <c r="E2465" s="1">
        <f>IFERROR(__xludf.DUMMYFUNCTION("""COMPUTED_VALUE"""),2.83)</f>
        <v>2.83</v>
      </c>
      <c r="F2465" s="1">
        <f>IFERROR(__xludf.DUMMYFUNCTION("""COMPUTED_VALUE"""),135968.0)</f>
        <v>135968</v>
      </c>
    </row>
    <row r="2466">
      <c r="A2466" s="2">
        <f>IFERROR(__xludf.DUMMYFUNCTION("""COMPUTED_VALUE"""),42745.66666666667)</f>
        <v>42745.66667</v>
      </c>
      <c r="B2466" s="1">
        <f>IFERROR(__xludf.DUMMYFUNCTION("""COMPUTED_VALUE"""),2.84)</f>
        <v>2.84</v>
      </c>
      <c r="C2466" s="1">
        <f>IFERROR(__xludf.DUMMYFUNCTION("""COMPUTED_VALUE"""),2.87)</f>
        <v>2.87</v>
      </c>
      <c r="D2466" s="1">
        <f>IFERROR(__xludf.DUMMYFUNCTION("""COMPUTED_VALUE"""),2.83)</f>
        <v>2.83</v>
      </c>
      <c r="E2466" s="1">
        <f>IFERROR(__xludf.DUMMYFUNCTION("""COMPUTED_VALUE"""),2.86)</f>
        <v>2.86</v>
      </c>
      <c r="F2466" s="1">
        <f>IFERROR(__xludf.DUMMYFUNCTION("""COMPUTED_VALUE"""),210909.0)</f>
        <v>210909</v>
      </c>
    </row>
    <row r="2467">
      <c r="A2467" s="2">
        <f>IFERROR(__xludf.DUMMYFUNCTION("""COMPUTED_VALUE"""),42746.66666666667)</f>
        <v>42746.66667</v>
      </c>
      <c r="B2467" s="1">
        <f>IFERROR(__xludf.DUMMYFUNCTION("""COMPUTED_VALUE"""),2.85)</f>
        <v>2.85</v>
      </c>
      <c r="C2467" s="1">
        <f>IFERROR(__xludf.DUMMYFUNCTION("""COMPUTED_VALUE"""),2.86)</f>
        <v>2.86</v>
      </c>
      <c r="D2467" s="1">
        <f>IFERROR(__xludf.DUMMYFUNCTION("""COMPUTED_VALUE"""),2.81)</f>
        <v>2.81</v>
      </c>
      <c r="E2467" s="1">
        <f>IFERROR(__xludf.DUMMYFUNCTION("""COMPUTED_VALUE"""),2.86)</f>
        <v>2.86</v>
      </c>
      <c r="F2467" s="1">
        <f>IFERROR(__xludf.DUMMYFUNCTION("""COMPUTED_VALUE"""),213078.0)</f>
        <v>213078</v>
      </c>
    </row>
    <row r="2468">
      <c r="A2468" s="2">
        <f>IFERROR(__xludf.DUMMYFUNCTION("""COMPUTED_VALUE"""),42747.66666666667)</f>
        <v>42747.66667</v>
      </c>
      <c r="B2468" s="1">
        <f>IFERROR(__xludf.DUMMYFUNCTION("""COMPUTED_VALUE"""),2.84)</f>
        <v>2.84</v>
      </c>
      <c r="C2468" s="1">
        <f>IFERROR(__xludf.DUMMYFUNCTION("""COMPUTED_VALUE"""),2.84)</f>
        <v>2.84</v>
      </c>
      <c r="D2468" s="1">
        <f>IFERROR(__xludf.DUMMYFUNCTION("""COMPUTED_VALUE"""),2.74)</f>
        <v>2.74</v>
      </c>
      <c r="E2468" s="1">
        <f>IFERROR(__xludf.DUMMYFUNCTION("""COMPUTED_VALUE"""),2.76)</f>
        <v>2.76</v>
      </c>
      <c r="F2468" s="1">
        <f>IFERROR(__xludf.DUMMYFUNCTION("""COMPUTED_VALUE"""),393503.0)</f>
        <v>393503</v>
      </c>
    </row>
    <row r="2469">
      <c r="A2469" s="2">
        <f>IFERROR(__xludf.DUMMYFUNCTION("""COMPUTED_VALUE"""),42748.66666666667)</f>
        <v>42748.66667</v>
      </c>
      <c r="B2469" s="1">
        <f>IFERROR(__xludf.DUMMYFUNCTION("""COMPUTED_VALUE"""),2.77)</f>
        <v>2.77</v>
      </c>
      <c r="C2469" s="1">
        <f>IFERROR(__xludf.DUMMYFUNCTION("""COMPUTED_VALUE"""),2.84)</f>
        <v>2.84</v>
      </c>
      <c r="D2469" s="1">
        <f>IFERROR(__xludf.DUMMYFUNCTION("""COMPUTED_VALUE"""),2.77)</f>
        <v>2.77</v>
      </c>
      <c r="E2469" s="1">
        <f>IFERROR(__xludf.DUMMYFUNCTION("""COMPUTED_VALUE"""),2.82)</f>
        <v>2.82</v>
      </c>
      <c r="F2469" s="1">
        <f>IFERROR(__xludf.DUMMYFUNCTION("""COMPUTED_VALUE"""),538533.0)</f>
        <v>538533</v>
      </c>
    </row>
    <row r="2470">
      <c r="A2470" s="2">
        <f>IFERROR(__xludf.DUMMYFUNCTION("""COMPUTED_VALUE"""),42752.66666666667)</f>
        <v>42752.66667</v>
      </c>
      <c r="B2470" s="1">
        <f>IFERROR(__xludf.DUMMYFUNCTION("""COMPUTED_VALUE"""),2.82)</f>
        <v>2.82</v>
      </c>
      <c r="C2470" s="1">
        <f>IFERROR(__xludf.DUMMYFUNCTION("""COMPUTED_VALUE"""),2.82)</f>
        <v>2.82</v>
      </c>
      <c r="D2470" s="1">
        <f>IFERROR(__xludf.DUMMYFUNCTION("""COMPUTED_VALUE"""),2.68)</f>
        <v>2.68</v>
      </c>
      <c r="E2470" s="1">
        <f>IFERROR(__xludf.DUMMYFUNCTION("""COMPUTED_VALUE"""),2.71)</f>
        <v>2.71</v>
      </c>
      <c r="F2470" s="1">
        <f>IFERROR(__xludf.DUMMYFUNCTION("""COMPUTED_VALUE"""),442605.0)</f>
        <v>442605</v>
      </c>
    </row>
    <row r="2471">
      <c r="A2471" s="2">
        <f>IFERROR(__xludf.DUMMYFUNCTION("""COMPUTED_VALUE"""),42753.66666666667)</f>
        <v>42753.66667</v>
      </c>
      <c r="B2471" s="1">
        <f>IFERROR(__xludf.DUMMYFUNCTION("""COMPUTED_VALUE"""),2.72)</f>
        <v>2.72</v>
      </c>
      <c r="C2471" s="1">
        <f>IFERROR(__xludf.DUMMYFUNCTION("""COMPUTED_VALUE"""),2.74)</f>
        <v>2.74</v>
      </c>
      <c r="D2471" s="1">
        <f>IFERROR(__xludf.DUMMYFUNCTION("""COMPUTED_VALUE"""),2.7)</f>
        <v>2.7</v>
      </c>
      <c r="E2471" s="1">
        <f>IFERROR(__xludf.DUMMYFUNCTION("""COMPUTED_VALUE"""),2.73)</f>
        <v>2.73</v>
      </c>
      <c r="F2471" s="1">
        <f>IFERROR(__xludf.DUMMYFUNCTION("""COMPUTED_VALUE"""),271218.0)</f>
        <v>271218</v>
      </c>
    </row>
    <row r="2472">
      <c r="A2472" s="2">
        <f>IFERROR(__xludf.DUMMYFUNCTION("""COMPUTED_VALUE"""),42754.66666666667)</f>
        <v>42754.66667</v>
      </c>
      <c r="B2472" s="1">
        <f>IFERROR(__xludf.DUMMYFUNCTION("""COMPUTED_VALUE"""),2.74)</f>
        <v>2.74</v>
      </c>
      <c r="C2472" s="1">
        <f>IFERROR(__xludf.DUMMYFUNCTION("""COMPUTED_VALUE"""),2.76)</f>
        <v>2.76</v>
      </c>
      <c r="D2472" s="1">
        <f>IFERROR(__xludf.DUMMYFUNCTION("""COMPUTED_VALUE"""),2.69)</f>
        <v>2.69</v>
      </c>
      <c r="E2472" s="1">
        <f>IFERROR(__xludf.DUMMYFUNCTION("""COMPUTED_VALUE"""),2.72)</f>
        <v>2.72</v>
      </c>
      <c r="F2472" s="1">
        <f>IFERROR(__xludf.DUMMYFUNCTION("""COMPUTED_VALUE"""),211041.0)</f>
        <v>211041</v>
      </c>
    </row>
    <row r="2473">
      <c r="A2473" s="2">
        <f>IFERROR(__xludf.DUMMYFUNCTION("""COMPUTED_VALUE"""),42755.66666666667)</f>
        <v>42755.66667</v>
      </c>
      <c r="B2473" s="1">
        <f>IFERROR(__xludf.DUMMYFUNCTION("""COMPUTED_VALUE"""),2.78)</f>
        <v>2.78</v>
      </c>
      <c r="C2473" s="1">
        <f>IFERROR(__xludf.DUMMYFUNCTION("""COMPUTED_VALUE"""),2.81)</f>
        <v>2.81</v>
      </c>
      <c r="D2473" s="1">
        <f>IFERROR(__xludf.DUMMYFUNCTION("""COMPUTED_VALUE"""),2.76)</f>
        <v>2.76</v>
      </c>
      <c r="E2473" s="1">
        <f>IFERROR(__xludf.DUMMYFUNCTION("""COMPUTED_VALUE"""),2.77)</f>
        <v>2.77</v>
      </c>
      <c r="F2473" s="1">
        <f>IFERROR(__xludf.DUMMYFUNCTION("""COMPUTED_VALUE"""),554357.0)</f>
        <v>554357</v>
      </c>
    </row>
    <row r="2474">
      <c r="A2474" s="2">
        <f>IFERROR(__xludf.DUMMYFUNCTION("""COMPUTED_VALUE"""),42758.66666666667)</f>
        <v>42758.66667</v>
      </c>
      <c r="B2474" s="1">
        <f>IFERROR(__xludf.DUMMYFUNCTION("""COMPUTED_VALUE"""),2.76)</f>
        <v>2.76</v>
      </c>
      <c r="C2474" s="1">
        <f>IFERROR(__xludf.DUMMYFUNCTION("""COMPUTED_VALUE"""),2.81)</f>
        <v>2.81</v>
      </c>
      <c r="D2474" s="1">
        <f>IFERROR(__xludf.DUMMYFUNCTION("""COMPUTED_VALUE"""),2.75)</f>
        <v>2.75</v>
      </c>
      <c r="E2474" s="1">
        <f>IFERROR(__xludf.DUMMYFUNCTION("""COMPUTED_VALUE"""),2.79)</f>
        <v>2.79</v>
      </c>
      <c r="F2474" s="1">
        <f>IFERROR(__xludf.DUMMYFUNCTION("""COMPUTED_VALUE"""),485505.0)</f>
        <v>485505</v>
      </c>
    </row>
    <row r="2475">
      <c r="A2475" s="2">
        <f>IFERROR(__xludf.DUMMYFUNCTION("""COMPUTED_VALUE"""),42759.66666666667)</f>
        <v>42759.66667</v>
      </c>
      <c r="B2475" s="1">
        <f>IFERROR(__xludf.DUMMYFUNCTION("""COMPUTED_VALUE"""),2.8)</f>
        <v>2.8</v>
      </c>
      <c r="C2475" s="1">
        <f>IFERROR(__xludf.DUMMYFUNCTION("""COMPUTED_VALUE"""),2.85)</f>
        <v>2.85</v>
      </c>
      <c r="D2475" s="1">
        <f>IFERROR(__xludf.DUMMYFUNCTION("""COMPUTED_VALUE"""),2.77)</f>
        <v>2.77</v>
      </c>
      <c r="E2475" s="1">
        <f>IFERROR(__xludf.DUMMYFUNCTION("""COMPUTED_VALUE"""),2.78)</f>
        <v>2.78</v>
      </c>
      <c r="F2475" s="1">
        <f>IFERROR(__xludf.DUMMYFUNCTION("""COMPUTED_VALUE"""),495809.0)</f>
        <v>495809</v>
      </c>
    </row>
    <row r="2476">
      <c r="A2476" s="2">
        <f>IFERROR(__xludf.DUMMYFUNCTION("""COMPUTED_VALUE"""),42760.66666666667)</f>
        <v>42760.66667</v>
      </c>
      <c r="B2476" s="1">
        <f>IFERROR(__xludf.DUMMYFUNCTION("""COMPUTED_VALUE"""),2.8)</f>
        <v>2.8</v>
      </c>
      <c r="C2476" s="1">
        <f>IFERROR(__xludf.DUMMYFUNCTION("""COMPUTED_VALUE"""),2.87)</f>
        <v>2.87</v>
      </c>
      <c r="D2476" s="1">
        <f>IFERROR(__xludf.DUMMYFUNCTION("""COMPUTED_VALUE"""),2.8)</f>
        <v>2.8</v>
      </c>
      <c r="E2476" s="1">
        <f>IFERROR(__xludf.DUMMYFUNCTION("""COMPUTED_VALUE"""),2.85)</f>
        <v>2.85</v>
      </c>
      <c r="F2476" s="1">
        <f>IFERROR(__xludf.DUMMYFUNCTION("""COMPUTED_VALUE"""),364115.0)</f>
        <v>364115</v>
      </c>
    </row>
    <row r="2477">
      <c r="A2477" s="2">
        <f>IFERROR(__xludf.DUMMYFUNCTION("""COMPUTED_VALUE"""),42761.66666666667)</f>
        <v>42761.66667</v>
      </c>
      <c r="B2477" s="1">
        <f>IFERROR(__xludf.DUMMYFUNCTION("""COMPUTED_VALUE"""),2.85)</f>
        <v>2.85</v>
      </c>
      <c r="C2477" s="1">
        <f>IFERROR(__xludf.DUMMYFUNCTION("""COMPUTED_VALUE"""),2.87)</f>
        <v>2.87</v>
      </c>
      <c r="D2477" s="1">
        <f>IFERROR(__xludf.DUMMYFUNCTION("""COMPUTED_VALUE"""),2.81)</f>
        <v>2.81</v>
      </c>
      <c r="E2477" s="1">
        <f>IFERROR(__xludf.DUMMYFUNCTION("""COMPUTED_VALUE"""),2.86)</f>
        <v>2.86</v>
      </c>
      <c r="F2477" s="1">
        <f>IFERROR(__xludf.DUMMYFUNCTION("""COMPUTED_VALUE"""),390293.0)</f>
        <v>390293</v>
      </c>
    </row>
    <row r="2478">
      <c r="A2478" s="2">
        <f>IFERROR(__xludf.DUMMYFUNCTION("""COMPUTED_VALUE"""),42762.66666666667)</f>
        <v>42762.66667</v>
      </c>
      <c r="B2478" s="1">
        <f>IFERROR(__xludf.DUMMYFUNCTION("""COMPUTED_VALUE"""),3.15)</f>
        <v>3.15</v>
      </c>
      <c r="C2478" s="1">
        <f>IFERROR(__xludf.DUMMYFUNCTION("""COMPUTED_VALUE"""),3.17)</f>
        <v>3.17</v>
      </c>
      <c r="D2478" s="1">
        <f>IFERROR(__xludf.DUMMYFUNCTION("""COMPUTED_VALUE"""),2.66)</f>
        <v>2.66</v>
      </c>
      <c r="E2478" s="1">
        <f>IFERROR(__xludf.DUMMYFUNCTION("""COMPUTED_VALUE"""),2.67)</f>
        <v>2.67</v>
      </c>
      <c r="F2478" s="1">
        <f>IFERROR(__xludf.DUMMYFUNCTION("""COMPUTED_VALUE"""),1410027.0)</f>
        <v>1410027</v>
      </c>
    </row>
    <row r="2479">
      <c r="A2479" s="2">
        <f>IFERROR(__xludf.DUMMYFUNCTION("""COMPUTED_VALUE"""),42765.66666666667)</f>
        <v>42765.66667</v>
      </c>
      <c r="B2479" s="1">
        <f>IFERROR(__xludf.DUMMYFUNCTION("""COMPUTED_VALUE"""),2.63)</f>
        <v>2.63</v>
      </c>
      <c r="C2479" s="1">
        <f>IFERROR(__xludf.DUMMYFUNCTION("""COMPUTED_VALUE"""),2.66)</f>
        <v>2.66</v>
      </c>
      <c r="D2479" s="1">
        <f>IFERROR(__xludf.DUMMYFUNCTION("""COMPUTED_VALUE"""),2.49)</f>
        <v>2.49</v>
      </c>
      <c r="E2479" s="1">
        <f>IFERROR(__xludf.DUMMYFUNCTION("""COMPUTED_VALUE"""),2.55)</f>
        <v>2.55</v>
      </c>
      <c r="F2479" s="1">
        <f>IFERROR(__xludf.DUMMYFUNCTION("""COMPUTED_VALUE"""),894374.0)</f>
        <v>894374</v>
      </c>
    </row>
    <row r="2480">
      <c r="A2480" s="2">
        <f>IFERROR(__xludf.DUMMYFUNCTION("""COMPUTED_VALUE"""),42766.66666666667)</f>
        <v>42766.66667</v>
      </c>
      <c r="B2480" s="1">
        <f>IFERROR(__xludf.DUMMYFUNCTION("""COMPUTED_VALUE"""),2.55)</f>
        <v>2.55</v>
      </c>
      <c r="C2480" s="1">
        <f>IFERROR(__xludf.DUMMYFUNCTION("""COMPUTED_VALUE"""),2.67)</f>
        <v>2.67</v>
      </c>
      <c r="D2480" s="1">
        <f>IFERROR(__xludf.DUMMYFUNCTION("""COMPUTED_VALUE"""),2.52)</f>
        <v>2.52</v>
      </c>
      <c r="E2480" s="1">
        <f>IFERROR(__xludf.DUMMYFUNCTION("""COMPUTED_VALUE"""),2.65)</f>
        <v>2.65</v>
      </c>
      <c r="F2480" s="1">
        <f>IFERROR(__xludf.DUMMYFUNCTION("""COMPUTED_VALUE"""),739789.0)</f>
        <v>739789</v>
      </c>
    </row>
    <row r="2481">
      <c r="A2481" s="2">
        <f>IFERROR(__xludf.DUMMYFUNCTION("""COMPUTED_VALUE"""),42767.66666666667)</f>
        <v>42767.66667</v>
      </c>
      <c r="B2481" s="1">
        <f>IFERROR(__xludf.DUMMYFUNCTION("""COMPUTED_VALUE"""),2.68)</f>
        <v>2.68</v>
      </c>
      <c r="C2481" s="1">
        <f>IFERROR(__xludf.DUMMYFUNCTION("""COMPUTED_VALUE"""),2.7)</f>
        <v>2.7</v>
      </c>
      <c r="D2481" s="1">
        <f>IFERROR(__xludf.DUMMYFUNCTION("""COMPUTED_VALUE"""),2.55)</f>
        <v>2.55</v>
      </c>
      <c r="E2481" s="1">
        <f>IFERROR(__xludf.DUMMYFUNCTION("""COMPUTED_VALUE"""),2.56)</f>
        <v>2.56</v>
      </c>
      <c r="F2481" s="1">
        <f>IFERROR(__xludf.DUMMYFUNCTION("""COMPUTED_VALUE"""),468931.0)</f>
        <v>468931</v>
      </c>
    </row>
    <row r="2482">
      <c r="A2482" s="2">
        <f>IFERROR(__xludf.DUMMYFUNCTION("""COMPUTED_VALUE"""),42768.66666666667)</f>
        <v>42768.66667</v>
      </c>
      <c r="B2482" s="1">
        <f>IFERROR(__xludf.DUMMYFUNCTION("""COMPUTED_VALUE"""),2.55)</f>
        <v>2.55</v>
      </c>
      <c r="C2482" s="1">
        <f>IFERROR(__xludf.DUMMYFUNCTION("""COMPUTED_VALUE"""),2.58)</f>
        <v>2.58</v>
      </c>
      <c r="D2482" s="1">
        <f>IFERROR(__xludf.DUMMYFUNCTION("""COMPUTED_VALUE"""),2.53)</f>
        <v>2.53</v>
      </c>
      <c r="E2482" s="1">
        <f>IFERROR(__xludf.DUMMYFUNCTION("""COMPUTED_VALUE"""),2.55)</f>
        <v>2.55</v>
      </c>
      <c r="F2482" s="1">
        <f>IFERROR(__xludf.DUMMYFUNCTION("""COMPUTED_VALUE"""),327665.0)</f>
        <v>327665</v>
      </c>
    </row>
    <row r="2483">
      <c r="A2483" s="2">
        <f>IFERROR(__xludf.DUMMYFUNCTION("""COMPUTED_VALUE"""),42769.66666666667)</f>
        <v>42769.66667</v>
      </c>
      <c r="B2483" s="1">
        <f>IFERROR(__xludf.DUMMYFUNCTION("""COMPUTED_VALUE"""),2.58)</f>
        <v>2.58</v>
      </c>
      <c r="C2483" s="1">
        <f>IFERROR(__xludf.DUMMYFUNCTION("""COMPUTED_VALUE"""),2.61)</f>
        <v>2.61</v>
      </c>
      <c r="D2483" s="1">
        <f>IFERROR(__xludf.DUMMYFUNCTION("""COMPUTED_VALUE"""),2.55)</f>
        <v>2.55</v>
      </c>
      <c r="E2483" s="1">
        <f>IFERROR(__xludf.DUMMYFUNCTION("""COMPUTED_VALUE"""),2.58)</f>
        <v>2.58</v>
      </c>
      <c r="F2483" s="1">
        <f>IFERROR(__xludf.DUMMYFUNCTION("""COMPUTED_VALUE"""),292991.0)</f>
        <v>292991</v>
      </c>
    </row>
    <row r="2484">
      <c r="A2484" s="2">
        <f>IFERROR(__xludf.DUMMYFUNCTION("""COMPUTED_VALUE"""),42772.66666666667)</f>
        <v>42772.66667</v>
      </c>
      <c r="B2484" s="1">
        <f>IFERROR(__xludf.DUMMYFUNCTION("""COMPUTED_VALUE"""),2.58)</f>
        <v>2.58</v>
      </c>
      <c r="C2484" s="1">
        <f>IFERROR(__xludf.DUMMYFUNCTION("""COMPUTED_VALUE"""),2.62)</f>
        <v>2.62</v>
      </c>
      <c r="D2484" s="1">
        <f>IFERROR(__xludf.DUMMYFUNCTION("""COMPUTED_VALUE"""),2.55)</f>
        <v>2.55</v>
      </c>
      <c r="E2484" s="1">
        <f>IFERROR(__xludf.DUMMYFUNCTION("""COMPUTED_VALUE"""),2.57)</f>
        <v>2.57</v>
      </c>
      <c r="F2484" s="1">
        <f>IFERROR(__xludf.DUMMYFUNCTION("""COMPUTED_VALUE"""),348057.0)</f>
        <v>348057</v>
      </c>
    </row>
    <row r="2485">
      <c r="A2485" s="2">
        <f>IFERROR(__xludf.DUMMYFUNCTION("""COMPUTED_VALUE"""),42773.66666666667)</f>
        <v>42773.66667</v>
      </c>
      <c r="B2485" s="1">
        <f>IFERROR(__xludf.DUMMYFUNCTION("""COMPUTED_VALUE"""),2.58)</f>
        <v>2.58</v>
      </c>
      <c r="C2485" s="1">
        <f>IFERROR(__xludf.DUMMYFUNCTION("""COMPUTED_VALUE"""),2.64)</f>
        <v>2.64</v>
      </c>
      <c r="D2485" s="1">
        <f>IFERROR(__xludf.DUMMYFUNCTION("""COMPUTED_VALUE"""),2.57)</f>
        <v>2.57</v>
      </c>
      <c r="E2485" s="1">
        <f>IFERROR(__xludf.DUMMYFUNCTION("""COMPUTED_VALUE"""),2.61)</f>
        <v>2.61</v>
      </c>
      <c r="F2485" s="1">
        <f>IFERROR(__xludf.DUMMYFUNCTION("""COMPUTED_VALUE"""),326455.0)</f>
        <v>326455</v>
      </c>
    </row>
    <row r="2486">
      <c r="A2486" s="2">
        <f>IFERROR(__xludf.DUMMYFUNCTION("""COMPUTED_VALUE"""),42774.66666666667)</f>
        <v>42774.66667</v>
      </c>
      <c r="B2486" s="1">
        <f>IFERROR(__xludf.DUMMYFUNCTION("""COMPUTED_VALUE"""),2.59)</f>
        <v>2.59</v>
      </c>
      <c r="C2486" s="1">
        <f>IFERROR(__xludf.DUMMYFUNCTION("""COMPUTED_VALUE"""),2.67)</f>
        <v>2.67</v>
      </c>
      <c r="D2486" s="1">
        <f>IFERROR(__xludf.DUMMYFUNCTION("""COMPUTED_VALUE"""),2.58)</f>
        <v>2.58</v>
      </c>
      <c r="E2486" s="1">
        <f>IFERROR(__xludf.DUMMYFUNCTION("""COMPUTED_VALUE"""),2.63)</f>
        <v>2.63</v>
      </c>
      <c r="F2486" s="1">
        <f>IFERROR(__xludf.DUMMYFUNCTION("""COMPUTED_VALUE"""),300607.0)</f>
        <v>300607</v>
      </c>
    </row>
    <row r="2487">
      <c r="A2487" s="2">
        <f>IFERROR(__xludf.DUMMYFUNCTION("""COMPUTED_VALUE"""),42775.66666666667)</f>
        <v>42775.66667</v>
      </c>
      <c r="B2487" s="1">
        <f>IFERROR(__xludf.DUMMYFUNCTION("""COMPUTED_VALUE"""),2.63)</f>
        <v>2.63</v>
      </c>
      <c r="C2487" s="1">
        <f>IFERROR(__xludf.DUMMYFUNCTION("""COMPUTED_VALUE"""),2.67)</f>
        <v>2.67</v>
      </c>
      <c r="D2487" s="1">
        <f>IFERROR(__xludf.DUMMYFUNCTION("""COMPUTED_VALUE"""),2.62)</f>
        <v>2.62</v>
      </c>
      <c r="E2487" s="1">
        <f>IFERROR(__xludf.DUMMYFUNCTION("""COMPUTED_VALUE"""),2.65)</f>
        <v>2.65</v>
      </c>
      <c r="F2487" s="1">
        <f>IFERROR(__xludf.DUMMYFUNCTION("""COMPUTED_VALUE"""),269450.0)</f>
        <v>269450</v>
      </c>
    </row>
    <row r="2488">
      <c r="A2488" s="2">
        <f>IFERROR(__xludf.DUMMYFUNCTION("""COMPUTED_VALUE"""),42776.66666666667)</f>
        <v>42776.66667</v>
      </c>
      <c r="B2488" s="1">
        <f>IFERROR(__xludf.DUMMYFUNCTION("""COMPUTED_VALUE"""),2.65)</f>
        <v>2.65</v>
      </c>
      <c r="C2488" s="1">
        <f>IFERROR(__xludf.DUMMYFUNCTION("""COMPUTED_VALUE"""),2.7)</f>
        <v>2.7</v>
      </c>
      <c r="D2488" s="1">
        <f>IFERROR(__xludf.DUMMYFUNCTION("""COMPUTED_VALUE"""),2.64)</f>
        <v>2.64</v>
      </c>
      <c r="E2488" s="1">
        <f>IFERROR(__xludf.DUMMYFUNCTION("""COMPUTED_VALUE"""),2.66)</f>
        <v>2.66</v>
      </c>
      <c r="F2488" s="1">
        <f>IFERROR(__xludf.DUMMYFUNCTION("""COMPUTED_VALUE"""),219810.0)</f>
        <v>219810</v>
      </c>
    </row>
    <row r="2489">
      <c r="A2489" s="2">
        <f>IFERROR(__xludf.DUMMYFUNCTION("""COMPUTED_VALUE"""),42779.66666666667)</f>
        <v>42779.66667</v>
      </c>
      <c r="B2489" s="1">
        <f>IFERROR(__xludf.DUMMYFUNCTION("""COMPUTED_VALUE"""),2.68)</f>
        <v>2.68</v>
      </c>
      <c r="C2489" s="1">
        <f>IFERROR(__xludf.DUMMYFUNCTION("""COMPUTED_VALUE"""),2.7)</f>
        <v>2.7</v>
      </c>
      <c r="D2489" s="1">
        <f>IFERROR(__xludf.DUMMYFUNCTION("""COMPUTED_VALUE"""),2.66)</f>
        <v>2.66</v>
      </c>
      <c r="E2489" s="1">
        <f>IFERROR(__xludf.DUMMYFUNCTION("""COMPUTED_VALUE"""),2.67)</f>
        <v>2.67</v>
      </c>
      <c r="F2489" s="1">
        <f>IFERROR(__xludf.DUMMYFUNCTION("""COMPUTED_VALUE"""),190179.0)</f>
        <v>190179</v>
      </c>
    </row>
    <row r="2490">
      <c r="A2490" s="2">
        <f>IFERROR(__xludf.DUMMYFUNCTION("""COMPUTED_VALUE"""),42780.66666666667)</f>
        <v>42780.66667</v>
      </c>
      <c r="B2490" s="1">
        <f>IFERROR(__xludf.DUMMYFUNCTION("""COMPUTED_VALUE"""),2.66)</f>
        <v>2.66</v>
      </c>
      <c r="C2490" s="1">
        <f>IFERROR(__xludf.DUMMYFUNCTION("""COMPUTED_VALUE"""),2.74)</f>
        <v>2.74</v>
      </c>
      <c r="D2490" s="1">
        <f>IFERROR(__xludf.DUMMYFUNCTION("""COMPUTED_VALUE"""),2.65)</f>
        <v>2.65</v>
      </c>
      <c r="E2490" s="1">
        <f>IFERROR(__xludf.DUMMYFUNCTION("""COMPUTED_VALUE"""),2.71)</f>
        <v>2.71</v>
      </c>
      <c r="F2490" s="1">
        <f>IFERROR(__xludf.DUMMYFUNCTION("""COMPUTED_VALUE"""),285976.0)</f>
        <v>285976</v>
      </c>
    </row>
    <row r="2491">
      <c r="A2491" s="2">
        <f>IFERROR(__xludf.DUMMYFUNCTION("""COMPUTED_VALUE"""),42781.66666666667)</f>
        <v>42781.66667</v>
      </c>
      <c r="B2491" s="1">
        <f>IFERROR(__xludf.DUMMYFUNCTION("""COMPUTED_VALUE"""),2.7)</f>
        <v>2.7</v>
      </c>
      <c r="C2491" s="1">
        <f>IFERROR(__xludf.DUMMYFUNCTION("""COMPUTED_VALUE"""),2.72)</f>
        <v>2.72</v>
      </c>
      <c r="D2491" s="1">
        <f>IFERROR(__xludf.DUMMYFUNCTION("""COMPUTED_VALUE"""),2.7)</f>
        <v>2.7</v>
      </c>
      <c r="E2491" s="1">
        <f>IFERROR(__xludf.DUMMYFUNCTION("""COMPUTED_VALUE"""),2.71)</f>
        <v>2.71</v>
      </c>
      <c r="F2491" s="1">
        <f>IFERROR(__xludf.DUMMYFUNCTION("""COMPUTED_VALUE"""),246525.0)</f>
        <v>246525</v>
      </c>
    </row>
    <row r="2492">
      <c r="A2492" s="2">
        <f>IFERROR(__xludf.DUMMYFUNCTION("""COMPUTED_VALUE"""),42782.66666666667)</f>
        <v>42782.66667</v>
      </c>
      <c r="B2492" s="1">
        <f>IFERROR(__xludf.DUMMYFUNCTION("""COMPUTED_VALUE"""),2.7)</f>
        <v>2.7</v>
      </c>
      <c r="C2492" s="1">
        <f>IFERROR(__xludf.DUMMYFUNCTION("""COMPUTED_VALUE"""),2.75)</f>
        <v>2.75</v>
      </c>
      <c r="D2492" s="1">
        <f>IFERROR(__xludf.DUMMYFUNCTION("""COMPUTED_VALUE"""),2.69)</f>
        <v>2.69</v>
      </c>
      <c r="E2492" s="1">
        <f>IFERROR(__xludf.DUMMYFUNCTION("""COMPUTED_VALUE"""),2.71)</f>
        <v>2.71</v>
      </c>
      <c r="F2492" s="1">
        <f>IFERROR(__xludf.DUMMYFUNCTION("""COMPUTED_VALUE"""),381894.0)</f>
        <v>381894</v>
      </c>
    </row>
    <row r="2493">
      <c r="A2493" s="2">
        <f>IFERROR(__xludf.DUMMYFUNCTION("""COMPUTED_VALUE"""),42783.66666666667)</f>
        <v>42783.66667</v>
      </c>
      <c r="B2493" s="1">
        <f>IFERROR(__xludf.DUMMYFUNCTION("""COMPUTED_VALUE"""),2.7)</f>
        <v>2.7</v>
      </c>
      <c r="C2493" s="1">
        <f>IFERROR(__xludf.DUMMYFUNCTION("""COMPUTED_VALUE"""),2.71)</f>
        <v>2.71</v>
      </c>
      <c r="D2493" s="1">
        <f>IFERROR(__xludf.DUMMYFUNCTION("""COMPUTED_VALUE"""),2.7)</f>
        <v>2.7</v>
      </c>
      <c r="E2493" s="1">
        <f>IFERROR(__xludf.DUMMYFUNCTION("""COMPUTED_VALUE"""),2.71)</f>
        <v>2.71</v>
      </c>
      <c r="F2493" s="1">
        <f>IFERROR(__xludf.DUMMYFUNCTION("""COMPUTED_VALUE"""),187955.0)</f>
        <v>187955</v>
      </c>
    </row>
    <row r="2494">
      <c r="A2494" s="2">
        <f>IFERROR(__xludf.DUMMYFUNCTION("""COMPUTED_VALUE"""),42787.66666666667)</f>
        <v>42787.66667</v>
      </c>
      <c r="B2494" s="1">
        <f>IFERROR(__xludf.DUMMYFUNCTION("""COMPUTED_VALUE"""),2.7)</f>
        <v>2.7</v>
      </c>
      <c r="C2494" s="1">
        <f>IFERROR(__xludf.DUMMYFUNCTION("""COMPUTED_VALUE"""),2.71)</f>
        <v>2.71</v>
      </c>
      <c r="D2494" s="1">
        <f>IFERROR(__xludf.DUMMYFUNCTION("""COMPUTED_VALUE"""),2.67)</f>
        <v>2.67</v>
      </c>
      <c r="E2494" s="1">
        <f>IFERROR(__xludf.DUMMYFUNCTION("""COMPUTED_VALUE"""),2.71)</f>
        <v>2.71</v>
      </c>
      <c r="F2494" s="1">
        <f>IFERROR(__xludf.DUMMYFUNCTION("""COMPUTED_VALUE"""),287678.0)</f>
        <v>287678</v>
      </c>
    </row>
    <row r="2495">
      <c r="A2495" s="2">
        <f>IFERROR(__xludf.DUMMYFUNCTION("""COMPUTED_VALUE"""),42788.66666666667)</f>
        <v>42788.66667</v>
      </c>
      <c r="B2495" s="1">
        <f>IFERROR(__xludf.DUMMYFUNCTION("""COMPUTED_VALUE"""),2.69)</f>
        <v>2.69</v>
      </c>
      <c r="C2495" s="1">
        <f>IFERROR(__xludf.DUMMYFUNCTION("""COMPUTED_VALUE"""),2.72)</f>
        <v>2.72</v>
      </c>
      <c r="D2495" s="1">
        <f>IFERROR(__xludf.DUMMYFUNCTION("""COMPUTED_VALUE"""),2.68)</f>
        <v>2.68</v>
      </c>
      <c r="E2495" s="1">
        <f>IFERROR(__xludf.DUMMYFUNCTION("""COMPUTED_VALUE"""),2.71)</f>
        <v>2.71</v>
      </c>
      <c r="F2495" s="1">
        <f>IFERROR(__xludf.DUMMYFUNCTION("""COMPUTED_VALUE"""),224017.0)</f>
        <v>224017</v>
      </c>
    </row>
    <row r="2496">
      <c r="A2496" s="2">
        <f>IFERROR(__xludf.DUMMYFUNCTION("""COMPUTED_VALUE"""),42789.66666666667)</f>
        <v>42789.66667</v>
      </c>
      <c r="B2496" s="1">
        <f>IFERROR(__xludf.DUMMYFUNCTION("""COMPUTED_VALUE"""),2.71)</f>
        <v>2.71</v>
      </c>
      <c r="C2496" s="1">
        <f>IFERROR(__xludf.DUMMYFUNCTION("""COMPUTED_VALUE"""),2.75)</f>
        <v>2.75</v>
      </c>
      <c r="D2496" s="1">
        <f>IFERROR(__xludf.DUMMYFUNCTION("""COMPUTED_VALUE"""),2.7)</f>
        <v>2.7</v>
      </c>
      <c r="E2496" s="1">
        <f>IFERROR(__xludf.DUMMYFUNCTION("""COMPUTED_VALUE"""),2.74)</f>
        <v>2.74</v>
      </c>
      <c r="F2496" s="1">
        <f>IFERROR(__xludf.DUMMYFUNCTION("""COMPUTED_VALUE"""),307730.0)</f>
        <v>307730</v>
      </c>
    </row>
    <row r="2497">
      <c r="A2497" s="2">
        <f>IFERROR(__xludf.DUMMYFUNCTION("""COMPUTED_VALUE"""),42790.66666666667)</f>
        <v>42790.66667</v>
      </c>
      <c r="B2497" s="1">
        <f>IFERROR(__xludf.DUMMYFUNCTION("""COMPUTED_VALUE"""),2.6)</f>
        <v>2.6</v>
      </c>
      <c r="C2497" s="1">
        <f>IFERROR(__xludf.DUMMYFUNCTION("""COMPUTED_VALUE"""),2.72)</f>
        <v>2.72</v>
      </c>
      <c r="D2497" s="1">
        <f>IFERROR(__xludf.DUMMYFUNCTION("""COMPUTED_VALUE"""),2.57)</f>
        <v>2.57</v>
      </c>
      <c r="E2497" s="1">
        <f>IFERROR(__xludf.DUMMYFUNCTION("""COMPUTED_VALUE"""),2.7)</f>
        <v>2.7</v>
      </c>
      <c r="F2497" s="1">
        <f>IFERROR(__xludf.DUMMYFUNCTION("""COMPUTED_VALUE"""),764488.0)</f>
        <v>764488</v>
      </c>
    </row>
    <row r="2498">
      <c r="A2498" s="2">
        <f>IFERROR(__xludf.DUMMYFUNCTION("""COMPUTED_VALUE"""),42793.66666666667)</f>
        <v>42793.66667</v>
      </c>
      <c r="B2498" s="1">
        <f>IFERROR(__xludf.DUMMYFUNCTION("""COMPUTED_VALUE"""),2.7)</f>
        <v>2.7</v>
      </c>
      <c r="C2498" s="1">
        <f>IFERROR(__xludf.DUMMYFUNCTION("""COMPUTED_VALUE"""),2.7)</f>
        <v>2.7</v>
      </c>
      <c r="D2498" s="1">
        <f>IFERROR(__xludf.DUMMYFUNCTION("""COMPUTED_VALUE"""),2.59)</f>
        <v>2.59</v>
      </c>
      <c r="E2498" s="1">
        <f>IFERROR(__xludf.DUMMYFUNCTION("""COMPUTED_VALUE"""),2.62)</f>
        <v>2.62</v>
      </c>
      <c r="F2498" s="1">
        <f>IFERROR(__xludf.DUMMYFUNCTION("""COMPUTED_VALUE"""),1076823.0)</f>
        <v>1076823</v>
      </c>
    </row>
    <row r="2499">
      <c r="A2499" s="2">
        <f>IFERROR(__xludf.DUMMYFUNCTION("""COMPUTED_VALUE"""),42794.66666666667)</f>
        <v>42794.66667</v>
      </c>
      <c r="B2499" s="1">
        <f>IFERROR(__xludf.DUMMYFUNCTION("""COMPUTED_VALUE"""),2.6)</f>
        <v>2.6</v>
      </c>
      <c r="C2499" s="1">
        <f>IFERROR(__xludf.DUMMYFUNCTION("""COMPUTED_VALUE"""),2.65)</f>
        <v>2.65</v>
      </c>
      <c r="D2499" s="1">
        <f>IFERROR(__xludf.DUMMYFUNCTION("""COMPUTED_VALUE"""),2.56)</f>
        <v>2.56</v>
      </c>
      <c r="E2499" s="1">
        <f>IFERROR(__xludf.DUMMYFUNCTION("""COMPUTED_VALUE"""),2.6)</f>
        <v>2.6</v>
      </c>
      <c r="F2499" s="1">
        <f>IFERROR(__xludf.DUMMYFUNCTION("""COMPUTED_VALUE"""),518950.0)</f>
        <v>518950</v>
      </c>
    </row>
    <row r="2500">
      <c r="A2500" s="2">
        <f>IFERROR(__xludf.DUMMYFUNCTION("""COMPUTED_VALUE"""),42795.66666666667)</f>
        <v>42795.66667</v>
      </c>
      <c r="B2500" s="1">
        <f>IFERROR(__xludf.DUMMYFUNCTION("""COMPUTED_VALUE"""),2.62)</f>
        <v>2.62</v>
      </c>
      <c r="C2500" s="1">
        <f>IFERROR(__xludf.DUMMYFUNCTION("""COMPUTED_VALUE"""),2.67)</f>
        <v>2.67</v>
      </c>
      <c r="D2500" s="1">
        <f>IFERROR(__xludf.DUMMYFUNCTION("""COMPUTED_VALUE"""),2.62)</f>
        <v>2.62</v>
      </c>
      <c r="E2500" s="1">
        <f>IFERROR(__xludf.DUMMYFUNCTION("""COMPUTED_VALUE"""),2.66)</f>
        <v>2.66</v>
      </c>
      <c r="F2500" s="1">
        <f>IFERROR(__xludf.DUMMYFUNCTION("""COMPUTED_VALUE"""),238871.0)</f>
        <v>238871</v>
      </c>
    </row>
    <row r="2501">
      <c r="A2501" s="2">
        <f>IFERROR(__xludf.DUMMYFUNCTION("""COMPUTED_VALUE"""),42796.66666666667)</f>
        <v>42796.66667</v>
      </c>
      <c r="B2501" s="1">
        <f>IFERROR(__xludf.DUMMYFUNCTION("""COMPUTED_VALUE"""),2.65)</f>
        <v>2.65</v>
      </c>
      <c r="C2501" s="1">
        <f>IFERROR(__xludf.DUMMYFUNCTION("""COMPUTED_VALUE"""),2.68)</f>
        <v>2.68</v>
      </c>
      <c r="D2501" s="1">
        <f>IFERROR(__xludf.DUMMYFUNCTION("""COMPUTED_VALUE"""),2.64)</f>
        <v>2.64</v>
      </c>
      <c r="E2501" s="1">
        <f>IFERROR(__xludf.DUMMYFUNCTION("""COMPUTED_VALUE"""),2.66)</f>
        <v>2.66</v>
      </c>
      <c r="F2501" s="1">
        <f>IFERROR(__xludf.DUMMYFUNCTION("""COMPUTED_VALUE"""),250699.0)</f>
        <v>250699</v>
      </c>
    </row>
    <row r="2502">
      <c r="A2502" s="2">
        <f>IFERROR(__xludf.DUMMYFUNCTION("""COMPUTED_VALUE"""),42797.66666666667)</f>
        <v>42797.66667</v>
      </c>
      <c r="B2502" s="1">
        <f>IFERROR(__xludf.DUMMYFUNCTION("""COMPUTED_VALUE"""),2.67)</f>
        <v>2.67</v>
      </c>
      <c r="C2502" s="1">
        <f>IFERROR(__xludf.DUMMYFUNCTION("""COMPUTED_VALUE"""),2.68)</f>
        <v>2.68</v>
      </c>
      <c r="D2502" s="1">
        <f>IFERROR(__xludf.DUMMYFUNCTION("""COMPUTED_VALUE"""),2.52)</f>
        <v>2.52</v>
      </c>
      <c r="E2502" s="1">
        <f>IFERROR(__xludf.DUMMYFUNCTION("""COMPUTED_VALUE"""),2.53)</f>
        <v>2.53</v>
      </c>
      <c r="F2502" s="1">
        <f>IFERROR(__xludf.DUMMYFUNCTION("""COMPUTED_VALUE"""),480061.0)</f>
        <v>480061</v>
      </c>
    </row>
    <row r="2503">
      <c r="A2503" s="2">
        <f>IFERROR(__xludf.DUMMYFUNCTION("""COMPUTED_VALUE"""),42800.66666666667)</f>
        <v>42800.66667</v>
      </c>
      <c r="B2503" s="1">
        <f>IFERROR(__xludf.DUMMYFUNCTION("""COMPUTED_VALUE"""),2.51)</f>
        <v>2.51</v>
      </c>
      <c r="C2503" s="1">
        <f>IFERROR(__xludf.DUMMYFUNCTION("""COMPUTED_VALUE"""),2.53)</f>
        <v>2.53</v>
      </c>
      <c r="D2503" s="1">
        <f>IFERROR(__xludf.DUMMYFUNCTION("""COMPUTED_VALUE"""),2.46)</f>
        <v>2.46</v>
      </c>
      <c r="E2503" s="1">
        <f>IFERROR(__xludf.DUMMYFUNCTION("""COMPUTED_VALUE"""),2.51)</f>
        <v>2.51</v>
      </c>
      <c r="F2503" s="1">
        <f>IFERROR(__xludf.DUMMYFUNCTION("""COMPUTED_VALUE"""),476715.0)</f>
        <v>476715</v>
      </c>
    </row>
    <row r="2504">
      <c r="A2504" s="2">
        <f>IFERROR(__xludf.DUMMYFUNCTION("""COMPUTED_VALUE"""),42801.66666666667)</f>
        <v>42801.66667</v>
      </c>
      <c r="B2504" s="1">
        <f>IFERROR(__xludf.DUMMYFUNCTION("""COMPUTED_VALUE"""),2.51)</f>
        <v>2.51</v>
      </c>
      <c r="C2504" s="1">
        <f>IFERROR(__xludf.DUMMYFUNCTION("""COMPUTED_VALUE"""),2.55)</f>
        <v>2.55</v>
      </c>
      <c r="D2504" s="1">
        <f>IFERROR(__xludf.DUMMYFUNCTION("""COMPUTED_VALUE"""),2.5)</f>
        <v>2.5</v>
      </c>
      <c r="E2504" s="1">
        <f>IFERROR(__xludf.DUMMYFUNCTION("""COMPUTED_VALUE"""),2.52)</f>
        <v>2.52</v>
      </c>
      <c r="F2504" s="1">
        <f>IFERROR(__xludf.DUMMYFUNCTION("""COMPUTED_VALUE"""),258407.0)</f>
        <v>258407</v>
      </c>
    </row>
    <row r="2505">
      <c r="A2505" s="2">
        <f>IFERROR(__xludf.DUMMYFUNCTION("""COMPUTED_VALUE"""),42802.66666666667)</f>
        <v>42802.66667</v>
      </c>
      <c r="B2505" s="1">
        <f>IFERROR(__xludf.DUMMYFUNCTION("""COMPUTED_VALUE"""),2.53)</f>
        <v>2.53</v>
      </c>
      <c r="C2505" s="1">
        <f>IFERROR(__xludf.DUMMYFUNCTION("""COMPUTED_VALUE"""),2.55)</f>
        <v>2.55</v>
      </c>
      <c r="D2505" s="1">
        <f>IFERROR(__xludf.DUMMYFUNCTION("""COMPUTED_VALUE"""),2.46)</f>
        <v>2.46</v>
      </c>
      <c r="E2505" s="1">
        <f>IFERROR(__xludf.DUMMYFUNCTION("""COMPUTED_VALUE"""),2.47)</f>
        <v>2.47</v>
      </c>
      <c r="F2505" s="1">
        <f>IFERROR(__xludf.DUMMYFUNCTION("""COMPUTED_VALUE"""),182664.0)</f>
        <v>182664</v>
      </c>
    </row>
    <row r="2506">
      <c r="A2506" s="2">
        <f>IFERROR(__xludf.DUMMYFUNCTION("""COMPUTED_VALUE"""),42803.66666666667)</f>
        <v>42803.66667</v>
      </c>
      <c r="B2506" s="1">
        <f>IFERROR(__xludf.DUMMYFUNCTION("""COMPUTED_VALUE"""),2.47)</f>
        <v>2.47</v>
      </c>
      <c r="C2506" s="1">
        <f>IFERROR(__xludf.DUMMYFUNCTION("""COMPUTED_VALUE"""),2.49)</f>
        <v>2.49</v>
      </c>
      <c r="D2506" s="1">
        <f>IFERROR(__xludf.DUMMYFUNCTION("""COMPUTED_VALUE"""),2.44)</f>
        <v>2.44</v>
      </c>
      <c r="E2506" s="1">
        <f>IFERROR(__xludf.DUMMYFUNCTION("""COMPUTED_VALUE"""),2.46)</f>
        <v>2.46</v>
      </c>
      <c r="F2506" s="1">
        <f>IFERROR(__xludf.DUMMYFUNCTION("""COMPUTED_VALUE"""),179617.0)</f>
        <v>179617</v>
      </c>
    </row>
    <row r="2507">
      <c r="A2507" s="2">
        <f>IFERROR(__xludf.DUMMYFUNCTION("""COMPUTED_VALUE"""),42804.66666666667)</f>
        <v>42804.66667</v>
      </c>
      <c r="B2507" s="1">
        <f>IFERROR(__xludf.DUMMYFUNCTION("""COMPUTED_VALUE"""),2.48)</f>
        <v>2.48</v>
      </c>
      <c r="C2507" s="1">
        <f>IFERROR(__xludf.DUMMYFUNCTION("""COMPUTED_VALUE"""),2.52)</f>
        <v>2.52</v>
      </c>
      <c r="D2507" s="1">
        <f>IFERROR(__xludf.DUMMYFUNCTION("""COMPUTED_VALUE"""),2.46)</f>
        <v>2.46</v>
      </c>
      <c r="E2507" s="1">
        <f>IFERROR(__xludf.DUMMYFUNCTION("""COMPUTED_VALUE"""),2.5)</f>
        <v>2.5</v>
      </c>
      <c r="F2507" s="1">
        <f>IFERROR(__xludf.DUMMYFUNCTION("""COMPUTED_VALUE"""),181057.0)</f>
        <v>181057</v>
      </c>
    </row>
    <row r="2508">
      <c r="A2508" s="2">
        <f>IFERROR(__xludf.DUMMYFUNCTION("""COMPUTED_VALUE"""),42807.66666666667)</f>
        <v>42807.66667</v>
      </c>
      <c r="B2508" s="1">
        <f>IFERROR(__xludf.DUMMYFUNCTION("""COMPUTED_VALUE"""),2.5)</f>
        <v>2.5</v>
      </c>
      <c r="C2508" s="1">
        <f>IFERROR(__xludf.DUMMYFUNCTION("""COMPUTED_VALUE"""),2.53)</f>
        <v>2.53</v>
      </c>
      <c r="D2508" s="1">
        <f>IFERROR(__xludf.DUMMYFUNCTION("""COMPUTED_VALUE"""),2.48)</f>
        <v>2.48</v>
      </c>
      <c r="E2508" s="1">
        <f>IFERROR(__xludf.DUMMYFUNCTION("""COMPUTED_VALUE"""),2.5)</f>
        <v>2.5</v>
      </c>
      <c r="F2508" s="1">
        <f>IFERROR(__xludf.DUMMYFUNCTION("""COMPUTED_VALUE"""),185721.0)</f>
        <v>185721</v>
      </c>
    </row>
    <row r="2509">
      <c r="A2509" s="2">
        <f>IFERROR(__xludf.DUMMYFUNCTION("""COMPUTED_VALUE"""),42808.66666666667)</f>
        <v>42808.66667</v>
      </c>
      <c r="B2509" s="1">
        <f>IFERROR(__xludf.DUMMYFUNCTION("""COMPUTED_VALUE"""),2.5)</f>
        <v>2.5</v>
      </c>
      <c r="C2509" s="1">
        <f>IFERROR(__xludf.DUMMYFUNCTION("""COMPUTED_VALUE"""),2.55)</f>
        <v>2.55</v>
      </c>
      <c r="D2509" s="1">
        <f>IFERROR(__xludf.DUMMYFUNCTION("""COMPUTED_VALUE"""),2.47)</f>
        <v>2.47</v>
      </c>
      <c r="E2509" s="1">
        <f>IFERROR(__xludf.DUMMYFUNCTION("""COMPUTED_VALUE"""),2.51)</f>
        <v>2.51</v>
      </c>
      <c r="F2509" s="1">
        <f>IFERROR(__xludf.DUMMYFUNCTION("""COMPUTED_VALUE"""),180967.0)</f>
        <v>180967</v>
      </c>
    </row>
    <row r="2510">
      <c r="A2510" s="2">
        <f>IFERROR(__xludf.DUMMYFUNCTION("""COMPUTED_VALUE"""),42809.66666666667)</f>
        <v>42809.66667</v>
      </c>
      <c r="B2510" s="1">
        <f>IFERROR(__xludf.DUMMYFUNCTION("""COMPUTED_VALUE"""),2.54)</f>
        <v>2.54</v>
      </c>
      <c r="C2510" s="1">
        <f>IFERROR(__xludf.DUMMYFUNCTION("""COMPUTED_VALUE"""),2.55)</f>
        <v>2.55</v>
      </c>
      <c r="D2510" s="1">
        <f>IFERROR(__xludf.DUMMYFUNCTION("""COMPUTED_VALUE"""),2.51)</f>
        <v>2.51</v>
      </c>
      <c r="E2510" s="1">
        <f>IFERROR(__xludf.DUMMYFUNCTION("""COMPUTED_VALUE"""),2.52)</f>
        <v>2.52</v>
      </c>
      <c r="F2510" s="1">
        <f>IFERROR(__xludf.DUMMYFUNCTION("""COMPUTED_VALUE"""),235147.0)</f>
        <v>235147</v>
      </c>
    </row>
    <row r="2511">
      <c r="A2511" s="2">
        <f>IFERROR(__xludf.DUMMYFUNCTION("""COMPUTED_VALUE"""),42810.66666666667)</f>
        <v>42810.66667</v>
      </c>
      <c r="B2511" s="1">
        <f>IFERROR(__xludf.DUMMYFUNCTION("""COMPUTED_VALUE"""),2.55)</f>
        <v>2.55</v>
      </c>
      <c r="C2511" s="1">
        <f>IFERROR(__xludf.DUMMYFUNCTION("""COMPUTED_VALUE"""),2.56)</f>
        <v>2.56</v>
      </c>
      <c r="D2511" s="1">
        <f>IFERROR(__xludf.DUMMYFUNCTION("""COMPUTED_VALUE"""),2.51)</f>
        <v>2.51</v>
      </c>
      <c r="E2511" s="1">
        <f>IFERROR(__xludf.DUMMYFUNCTION("""COMPUTED_VALUE"""),2.52)</f>
        <v>2.52</v>
      </c>
      <c r="F2511" s="1">
        <f>IFERROR(__xludf.DUMMYFUNCTION("""COMPUTED_VALUE"""),187678.0)</f>
        <v>187678</v>
      </c>
    </row>
    <row r="2512">
      <c r="A2512" s="2">
        <f>IFERROR(__xludf.DUMMYFUNCTION("""COMPUTED_VALUE"""),42811.66666666667)</f>
        <v>42811.66667</v>
      </c>
      <c r="B2512" s="1">
        <f>IFERROR(__xludf.DUMMYFUNCTION("""COMPUTED_VALUE"""),2.51)</f>
        <v>2.51</v>
      </c>
      <c r="C2512" s="1">
        <f>IFERROR(__xludf.DUMMYFUNCTION("""COMPUTED_VALUE"""),2.54)</f>
        <v>2.54</v>
      </c>
      <c r="D2512" s="1">
        <f>IFERROR(__xludf.DUMMYFUNCTION("""COMPUTED_VALUE"""),2.48)</f>
        <v>2.48</v>
      </c>
      <c r="E2512" s="1">
        <f>IFERROR(__xludf.DUMMYFUNCTION("""COMPUTED_VALUE"""),2.53)</f>
        <v>2.53</v>
      </c>
      <c r="F2512" s="1">
        <f>IFERROR(__xludf.DUMMYFUNCTION("""COMPUTED_VALUE"""),494297.0)</f>
        <v>494297</v>
      </c>
    </row>
    <row r="2513">
      <c r="A2513" s="2">
        <f>IFERROR(__xludf.DUMMYFUNCTION("""COMPUTED_VALUE"""),42814.66666666667)</f>
        <v>42814.66667</v>
      </c>
      <c r="B2513" s="1">
        <f>IFERROR(__xludf.DUMMYFUNCTION("""COMPUTED_VALUE"""),2.54)</f>
        <v>2.54</v>
      </c>
      <c r="C2513" s="1">
        <f>IFERROR(__xludf.DUMMYFUNCTION("""COMPUTED_VALUE"""),2.58)</f>
        <v>2.58</v>
      </c>
      <c r="D2513" s="1">
        <f>IFERROR(__xludf.DUMMYFUNCTION("""COMPUTED_VALUE"""),2.51)</f>
        <v>2.51</v>
      </c>
      <c r="E2513" s="1">
        <f>IFERROR(__xludf.DUMMYFUNCTION("""COMPUTED_VALUE"""),2.56)</f>
        <v>2.56</v>
      </c>
      <c r="F2513" s="1">
        <f>IFERROR(__xludf.DUMMYFUNCTION("""COMPUTED_VALUE"""),190276.0)</f>
        <v>190276</v>
      </c>
    </row>
    <row r="2514">
      <c r="A2514" s="2">
        <f>IFERROR(__xludf.DUMMYFUNCTION("""COMPUTED_VALUE"""),42815.66666666667)</f>
        <v>42815.66667</v>
      </c>
      <c r="B2514" s="1">
        <f>IFERROR(__xludf.DUMMYFUNCTION("""COMPUTED_VALUE"""),2.58)</f>
        <v>2.58</v>
      </c>
      <c r="C2514" s="1">
        <f>IFERROR(__xludf.DUMMYFUNCTION("""COMPUTED_VALUE"""),2.59)</f>
        <v>2.59</v>
      </c>
      <c r="D2514" s="1">
        <f>IFERROR(__xludf.DUMMYFUNCTION("""COMPUTED_VALUE"""),2.47)</f>
        <v>2.47</v>
      </c>
      <c r="E2514" s="1">
        <f>IFERROR(__xludf.DUMMYFUNCTION("""COMPUTED_VALUE"""),2.47)</f>
        <v>2.47</v>
      </c>
      <c r="F2514" s="1">
        <f>IFERROR(__xludf.DUMMYFUNCTION("""COMPUTED_VALUE"""),290122.0)</f>
        <v>290122</v>
      </c>
    </row>
    <row r="2515">
      <c r="A2515" s="2">
        <f>IFERROR(__xludf.DUMMYFUNCTION("""COMPUTED_VALUE"""),42816.66666666667)</f>
        <v>42816.66667</v>
      </c>
      <c r="B2515" s="1">
        <f>IFERROR(__xludf.DUMMYFUNCTION("""COMPUTED_VALUE"""),2.47)</f>
        <v>2.47</v>
      </c>
      <c r="C2515" s="1">
        <f>IFERROR(__xludf.DUMMYFUNCTION("""COMPUTED_VALUE"""),2.54)</f>
        <v>2.54</v>
      </c>
      <c r="D2515" s="1">
        <f>IFERROR(__xludf.DUMMYFUNCTION("""COMPUTED_VALUE"""),2.44)</f>
        <v>2.44</v>
      </c>
      <c r="E2515" s="1">
        <f>IFERROR(__xludf.DUMMYFUNCTION("""COMPUTED_VALUE"""),2.54)</f>
        <v>2.54</v>
      </c>
      <c r="F2515" s="1">
        <f>IFERROR(__xludf.DUMMYFUNCTION("""COMPUTED_VALUE"""),236626.0)</f>
        <v>236626</v>
      </c>
    </row>
    <row r="2516">
      <c r="A2516" s="2">
        <f>IFERROR(__xludf.DUMMYFUNCTION("""COMPUTED_VALUE"""),42817.66666666667)</f>
        <v>42817.66667</v>
      </c>
      <c r="B2516" s="1">
        <f>IFERROR(__xludf.DUMMYFUNCTION("""COMPUTED_VALUE"""),2.55)</f>
        <v>2.55</v>
      </c>
      <c r="C2516" s="1">
        <f>IFERROR(__xludf.DUMMYFUNCTION("""COMPUTED_VALUE"""),2.57)</f>
        <v>2.57</v>
      </c>
      <c r="D2516" s="1">
        <f>IFERROR(__xludf.DUMMYFUNCTION("""COMPUTED_VALUE"""),2.52)</f>
        <v>2.52</v>
      </c>
      <c r="E2516" s="1">
        <f>IFERROR(__xludf.DUMMYFUNCTION("""COMPUTED_VALUE"""),2.56)</f>
        <v>2.56</v>
      </c>
      <c r="F2516" s="1">
        <f>IFERROR(__xludf.DUMMYFUNCTION("""COMPUTED_VALUE"""),218214.0)</f>
        <v>218214</v>
      </c>
    </row>
    <row r="2517">
      <c r="A2517" s="2">
        <f>IFERROR(__xludf.DUMMYFUNCTION("""COMPUTED_VALUE"""),42818.66666666667)</f>
        <v>42818.66667</v>
      </c>
      <c r="B2517" s="1">
        <f>IFERROR(__xludf.DUMMYFUNCTION("""COMPUTED_VALUE"""),2.57)</f>
        <v>2.57</v>
      </c>
      <c r="C2517" s="1">
        <f>IFERROR(__xludf.DUMMYFUNCTION("""COMPUTED_VALUE"""),2.59)</f>
        <v>2.59</v>
      </c>
      <c r="D2517" s="1">
        <f>IFERROR(__xludf.DUMMYFUNCTION("""COMPUTED_VALUE"""),2.54)</f>
        <v>2.54</v>
      </c>
      <c r="E2517" s="1">
        <f>IFERROR(__xludf.DUMMYFUNCTION("""COMPUTED_VALUE"""),2.55)</f>
        <v>2.55</v>
      </c>
      <c r="F2517" s="1">
        <f>IFERROR(__xludf.DUMMYFUNCTION("""COMPUTED_VALUE"""),188231.0)</f>
        <v>188231</v>
      </c>
    </row>
    <row r="2518">
      <c r="A2518" s="2">
        <f>IFERROR(__xludf.DUMMYFUNCTION("""COMPUTED_VALUE"""),42821.66666666667)</f>
        <v>42821.66667</v>
      </c>
      <c r="B2518" s="1">
        <f>IFERROR(__xludf.DUMMYFUNCTION("""COMPUTED_VALUE"""),2.52)</f>
        <v>2.52</v>
      </c>
      <c r="C2518" s="1">
        <f>IFERROR(__xludf.DUMMYFUNCTION("""COMPUTED_VALUE"""),2.53)</f>
        <v>2.53</v>
      </c>
      <c r="D2518" s="1">
        <f>IFERROR(__xludf.DUMMYFUNCTION("""COMPUTED_VALUE"""),2.5)</f>
        <v>2.5</v>
      </c>
      <c r="E2518" s="1">
        <f>IFERROR(__xludf.DUMMYFUNCTION("""COMPUTED_VALUE"""),2.53)</f>
        <v>2.53</v>
      </c>
      <c r="F2518" s="1">
        <f>IFERROR(__xludf.DUMMYFUNCTION("""COMPUTED_VALUE"""),353137.0)</f>
        <v>353137</v>
      </c>
    </row>
    <row r="2519">
      <c r="A2519" s="2">
        <f>IFERROR(__xludf.DUMMYFUNCTION("""COMPUTED_VALUE"""),42822.66666666667)</f>
        <v>42822.66667</v>
      </c>
      <c r="B2519" s="1">
        <f>IFERROR(__xludf.DUMMYFUNCTION("""COMPUTED_VALUE"""),2.52)</f>
        <v>2.52</v>
      </c>
      <c r="C2519" s="1">
        <f>IFERROR(__xludf.DUMMYFUNCTION("""COMPUTED_VALUE"""),2.53)</f>
        <v>2.53</v>
      </c>
      <c r="D2519" s="1">
        <f>IFERROR(__xludf.DUMMYFUNCTION("""COMPUTED_VALUE"""),2.49)</f>
        <v>2.49</v>
      </c>
      <c r="E2519" s="1">
        <f>IFERROR(__xludf.DUMMYFUNCTION("""COMPUTED_VALUE"""),2.5)</f>
        <v>2.5</v>
      </c>
      <c r="F2519" s="1">
        <f>IFERROR(__xludf.DUMMYFUNCTION("""COMPUTED_VALUE"""),243547.0)</f>
        <v>243547</v>
      </c>
    </row>
    <row r="2520">
      <c r="A2520" s="2">
        <f>IFERROR(__xludf.DUMMYFUNCTION("""COMPUTED_VALUE"""),42823.66666666667)</f>
        <v>42823.66667</v>
      </c>
      <c r="B2520" s="1">
        <f>IFERROR(__xludf.DUMMYFUNCTION("""COMPUTED_VALUE"""),2.49)</f>
        <v>2.49</v>
      </c>
      <c r="C2520" s="1">
        <f>IFERROR(__xludf.DUMMYFUNCTION("""COMPUTED_VALUE"""),2.58)</f>
        <v>2.58</v>
      </c>
      <c r="D2520" s="1">
        <f>IFERROR(__xludf.DUMMYFUNCTION("""COMPUTED_VALUE"""),2.49)</f>
        <v>2.49</v>
      </c>
      <c r="E2520" s="1">
        <f>IFERROR(__xludf.DUMMYFUNCTION("""COMPUTED_VALUE"""),2.57)</f>
        <v>2.57</v>
      </c>
      <c r="F2520" s="1">
        <f>IFERROR(__xludf.DUMMYFUNCTION("""COMPUTED_VALUE"""),785476.0)</f>
        <v>785476</v>
      </c>
    </row>
    <row r="2521">
      <c r="A2521" s="2">
        <f>IFERROR(__xludf.DUMMYFUNCTION("""COMPUTED_VALUE"""),42824.66666666667)</f>
        <v>42824.66667</v>
      </c>
      <c r="B2521" s="1">
        <f>IFERROR(__xludf.DUMMYFUNCTION("""COMPUTED_VALUE"""),2.57)</f>
        <v>2.57</v>
      </c>
      <c r="C2521" s="1">
        <f>IFERROR(__xludf.DUMMYFUNCTION("""COMPUTED_VALUE"""),2.58)</f>
        <v>2.58</v>
      </c>
      <c r="D2521" s="1">
        <f>IFERROR(__xludf.DUMMYFUNCTION("""COMPUTED_VALUE"""),2.51)</f>
        <v>2.51</v>
      </c>
      <c r="E2521" s="1">
        <f>IFERROR(__xludf.DUMMYFUNCTION("""COMPUTED_VALUE"""),2.54)</f>
        <v>2.54</v>
      </c>
      <c r="F2521" s="1">
        <f>IFERROR(__xludf.DUMMYFUNCTION("""COMPUTED_VALUE"""),578597.0)</f>
        <v>578597</v>
      </c>
    </row>
    <row r="2522">
      <c r="A2522" s="2">
        <f>IFERROR(__xludf.DUMMYFUNCTION("""COMPUTED_VALUE"""),42825.66666666667)</f>
        <v>42825.66667</v>
      </c>
      <c r="B2522" s="1">
        <f>IFERROR(__xludf.DUMMYFUNCTION("""COMPUTED_VALUE"""),2.54)</f>
        <v>2.54</v>
      </c>
      <c r="C2522" s="1">
        <f>IFERROR(__xludf.DUMMYFUNCTION("""COMPUTED_VALUE"""),2.55)</f>
        <v>2.55</v>
      </c>
      <c r="D2522" s="1">
        <f>IFERROR(__xludf.DUMMYFUNCTION("""COMPUTED_VALUE"""),2.52)</f>
        <v>2.52</v>
      </c>
      <c r="E2522" s="1">
        <f>IFERROR(__xludf.DUMMYFUNCTION("""COMPUTED_VALUE"""),2.54)</f>
        <v>2.54</v>
      </c>
      <c r="F2522" s="1">
        <f>IFERROR(__xludf.DUMMYFUNCTION("""COMPUTED_VALUE"""),402838.0)</f>
        <v>402838</v>
      </c>
    </row>
    <row r="2523">
      <c r="A2523" s="2">
        <f>IFERROR(__xludf.DUMMYFUNCTION("""COMPUTED_VALUE"""),42828.66666666667)</f>
        <v>42828.66667</v>
      </c>
      <c r="B2523" s="1">
        <f>IFERROR(__xludf.DUMMYFUNCTION("""COMPUTED_VALUE"""),2.54)</f>
        <v>2.54</v>
      </c>
      <c r="C2523" s="1">
        <f>IFERROR(__xludf.DUMMYFUNCTION("""COMPUTED_VALUE"""),2.54)</f>
        <v>2.54</v>
      </c>
      <c r="D2523" s="1">
        <f>IFERROR(__xludf.DUMMYFUNCTION("""COMPUTED_VALUE"""),2.47)</f>
        <v>2.47</v>
      </c>
      <c r="E2523" s="1">
        <f>IFERROR(__xludf.DUMMYFUNCTION("""COMPUTED_VALUE"""),2.51)</f>
        <v>2.51</v>
      </c>
      <c r="F2523" s="1">
        <f>IFERROR(__xludf.DUMMYFUNCTION("""COMPUTED_VALUE"""),373355.0)</f>
        <v>373355</v>
      </c>
    </row>
    <row r="2524">
      <c r="A2524" s="2">
        <f>IFERROR(__xludf.DUMMYFUNCTION("""COMPUTED_VALUE"""),42829.66666666667)</f>
        <v>42829.66667</v>
      </c>
      <c r="B2524" s="1">
        <f>IFERROR(__xludf.DUMMYFUNCTION("""COMPUTED_VALUE"""),2.5)</f>
        <v>2.5</v>
      </c>
      <c r="C2524" s="1">
        <f>IFERROR(__xludf.DUMMYFUNCTION("""COMPUTED_VALUE"""),2.53)</f>
        <v>2.53</v>
      </c>
      <c r="D2524" s="1">
        <f>IFERROR(__xludf.DUMMYFUNCTION("""COMPUTED_VALUE"""),2.48)</f>
        <v>2.48</v>
      </c>
      <c r="E2524" s="1">
        <f>IFERROR(__xludf.DUMMYFUNCTION("""COMPUTED_VALUE"""),2.5)</f>
        <v>2.5</v>
      </c>
      <c r="F2524" s="1">
        <f>IFERROR(__xludf.DUMMYFUNCTION("""COMPUTED_VALUE"""),275751.0)</f>
        <v>275751</v>
      </c>
    </row>
    <row r="2525">
      <c r="A2525" s="2">
        <f>IFERROR(__xludf.DUMMYFUNCTION("""COMPUTED_VALUE"""),42830.66666666667)</f>
        <v>42830.66667</v>
      </c>
      <c r="B2525" s="1">
        <f>IFERROR(__xludf.DUMMYFUNCTION("""COMPUTED_VALUE"""),2.52)</f>
        <v>2.52</v>
      </c>
      <c r="C2525" s="1">
        <f>IFERROR(__xludf.DUMMYFUNCTION("""COMPUTED_VALUE"""),2.52)</f>
        <v>2.52</v>
      </c>
      <c r="D2525" s="1">
        <f>IFERROR(__xludf.DUMMYFUNCTION("""COMPUTED_VALUE"""),2.46)</f>
        <v>2.46</v>
      </c>
      <c r="E2525" s="1">
        <f>IFERROR(__xludf.DUMMYFUNCTION("""COMPUTED_VALUE"""),2.46)</f>
        <v>2.46</v>
      </c>
      <c r="F2525" s="1">
        <f>IFERROR(__xludf.DUMMYFUNCTION("""COMPUTED_VALUE"""),301863.0)</f>
        <v>301863</v>
      </c>
    </row>
    <row r="2526">
      <c r="A2526" s="2">
        <f>IFERROR(__xludf.DUMMYFUNCTION("""COMPUTED_VALUE"""),42831.66666666667)</f>
        <v>42831.66667</v>
      </c>
      <c r="B2526" s="1">
        <f>IFERROR(__xludf.DUMMYFUNCTION("""COMPUTED_VALUE"""),2.47)</f>
        <v>2.47</v>
      </c>
      <c r="C2526" s="1">
        <f>IFERROR(__xludf.DUMMYFUNCTION("""COMPUTED_VALUE"""),2.48)</f>
        <v>2.48</v>
      </c>
      <c r="D2526" s="1">
        <f>IFERROR(__xludf.DUMMYFUNCTION("""COMPUTED_VALUE"""),2.42)</f>
        <v>2.42</v>
      </c>
      <c r="E2526" s="1">
        <f>IFERROR(__xludf.DUMMYFUNCTION("""COMPUTED_VALUE"""),2.48)</f>
        <v>2.48</v>
      </c>
      <c r="F2526" s="1">
        <f>IFERROR(__xludf.DUMMYFUNCTION("""COMPUTED_VALUE"""),383488.0)</f>
        <v>383488</v>
      </c>
    </row>
    <row r="2527">
      <c r="A2527" s="2">
        <f>IFERROR(__xludf.DUMMYFUNCTION("""COMPUTED_VALUE"""),42832.66666666667)</f>
        <v>42832.66667</v>
      </c>
      <c r="B2527" s="1">
        <f>IFERROR(__xludf.DUMMYFUNCTION("""COMPUTED_VALUE"""),2.47)</f>
        <v>2.47</v>
      </c>
      <c r="C2527" s="1">
        <f>IFERROR(__xludf.DUMMYFUNCTION("""COMPUTED_VALUE"""),2.49)</f>
        <v>2.49</v>
      </c>
      <c r="D2527" s="1">
        <f>IFERROR(__xludf.DUMMYFUNCTION("""COMPUTED_VALUE"""),2.47)</f>
        <v>2.47</v>
      </c>
      <c r="E2527" s="1">
        <f>IFERROR(__xludf.DUMMYFUNCTION("""COMPUTED_VALUE"""),2.48)</f>
        <v>2.48</v>
      </c>
      <c r="F2527" s="1">
        <f>IFERROR(__xludf.DUMMYFUNCTION("""COMPUTED_VALUE"""),242882.0)</f>
        <v>242882</v>
      </c>
    </row>
    <row r="2528">
      <c r="A2528" s="2">
        <f>IFERROR(__xludf.DUMMYFUNCTION("""COMPUTED_VALUE"""),42835.66666666667)</f>
        <v>42835.66667</v>
      </c>
      <c r="B2528" s="1">
        <f>IFERROR(__xludf.DUMMYFUNCTION("""COMPUTED_VALUE"""),2.48)</f>
        <v>2.48</v>
      </c>
      <c r="C2528" s="1">
        <f>IFERROR(__xludf.DUMMYFUNCTION("""COMPUTED_VALUE"""),2.5)</f>
        <v>2.5</v>
      </c>
      <c r="D2528" s="1">
        <f>IFERROR(__xludf.DUMMYFUNCTION("""COMPUTED_VALUE"""),2.44)</f>
        <v>2.44</v>
      </c>
      <c r="E2528" s="1">
        <f>IFERROR(__xludf.DUMMYFUNCTION("""COMPUTED_VALUE"""),2.46)</f>
        <v>2.46</v>
      </c>
      <c r="F2528" s="1">
        <f>IFERROR(__xludf.DUMMYFUNCTION("""COMPUTED_VALUE"""),250961.0)</f>
        <v>250961</v>
      </c>
    </row>
    <row r="2529">
      <c r="A2529" s="2">
        <f>IFERROR(__xludf.DUMMYFUNCTION("""COMPUTED_VALUE"""),42836.66666666667)</f>
        <v>42836.66667</v>
      </c>
      <c r="B2529" s="1">
        <f>IFERROR(__xludf.DUMMYFUNCTION("""COMPUTED_VALUE"""),2.44)</f>
        <v>2.44</v>
      </c>
      <c r="C2529" s="1">
        <f>IFERROR(__xludf.DUMMYFUNCTION("""COMPUTED_VALUE"""),2.5)</f>
        <v>2.5</v>
      </c>
      <c r="D2529" s="1">
        <f>IFERROR(__xludf.DUMMYFUNCTION("""COMPUTED_VALUE"""),2.44)</f>
        <v>2.44</v>
      </c>
      <c r="E2529" s="1">
        <f>IFERROR(__xludf.DUMMYFUNCTION("""COMPUTED_VALUE"""),2.49)</f>
        <v>2.49</v>
      </c>
      <c r="F2529" s="1">
        <f>IFERROR(__xludf.DUMMYFUNCTION("""COMPUTED_VALUE"""),329324.0)</f>
        <v>329324</v>
      </c>
    </row>
    <row r="2530">
      <c r="A2530" s="2">
        <f>IFERROR(__xludf.DUMMYFUNCTION("""COMPUTED_VALUE"""),42837.66666666667)</f>
        <v>42837.66667</v>
      </c>
      <c r="B2530" s="1">
        <f>IFERROR(__xludf.DUMMYFUNCTION("""COMPUTED_VALUE"""),2.5)</f>
        <v>2.5</v>
      </c>
      <c r="C2530" s="1">
        <f>IFERROR(__xludf.DUMMYFUNCTION("""COMPUTED_VALUE"""),2.5)</f>
        <v>2.5</v>
      </c>
      <c r="D2530" s="1">
        <f>IFERROR(__xludf.DUMMYFUNCTION("""COMPUTED_VALUE"""),2.44)</f>
        <v>2.44</v>
      </c>
      <c r="E2530" s="1">
        <f>IFERROR(__xludf.DUMMYFUNCTION("""COMPUTED_VALUE"""),2.47)</f>
        <v>2.47</v>
      </c>
      <c r="F2530" s="1">
        <f>IFERROR(__xludf.DUMMYFUNCTION("""COMPUTED_VALUE"""),368005.0)</f>
        <v>368005</v>
      </c>
    </row>
    <row r="2531">
      <c r="A2531" s="2">
        <f>IFERROR(__xludf.DUMMYFUNCTION("""COMPUTED_VALUE"""),42838.66666666667)</f>
        <v>42838.66667</v>
      </c>
      <c r="B2531" s="1">
        <f>IFERROR(__xludf.DUMMYFUNCTION("""COMPUTED_VALUE"""),2.46)</f>
        <v>2.46</v>
      </c>
      <c r="C2531" s="1">
        <f>IFERROR(__xludf.DUMMYFUNCTION("""COMPUTED_VALUE"""),2.47)</f>
        <v>2.47</v>
      </c>
      <c r="D2531" s="1">
        <f>IFERROR(__xludf.DUMMYFUNCTION("""COMPUTED_VALUE"""),2.44)</f>
        <v>2.44</v>
      </c>
      <c r="E2531" s="1">
        <f>IFERROR(__xludf.DUMMYFUNCTION("""COMPUTED_VALUE"""),2.44)</f>
        <v>2.44</v>
      </c>
      <c r="F2531" s="1">
        <f>IFERROR(__xludf.DUMMYFUNCTION("""COMPUTED_VALUE"""),306599.0)</f>
        <v>306599</v>
      </c>
    </row>
    <row r="2532">
      <c r="A2532" s="2">
        <f>IFERROR(__xludf.DUMMYFUNCTION("""COMPUTED_VALUE"""),42842.66666666667)</f>
        <v>42842.66667</v>
      </c>
      <c r="B2532" s="1">
        <f>IFERROR(__xludf.DUMMYFUNCTION("""COMPUTED_VALUE"""),2.46)</f>
        <v>2.46</v>
      </c>
      <c r="C2532" s="1">
        <f>IFERROR(__xludf.DUMMYFUNCTION("""COMPUTED_VALUE"""),2.54)</f>
        <v>2.54</v>
      </c>
      <c r="D2532" s="1">
        <f>IFERROR(__xludf.DUMMYFUNCTION("""COMPUTED_VALUE"""),2.45)</f>
        <v>2.45</v>
      </c>
      <c r="E2532" s="1">
        <f>IFERROR(__xludf.DUMMYFUNCTION("""COMPUTED_VALUE"""),2.52)</f>
        <v>2.52</v>
      </c>
      <c r="F2532" s="1">
        <f>IFERROR(__xludf.DUMMYFUNCTION("""COMPUTED_VALUE"""),414257.0)</f>
        <v>414257</v>
      </c>
    </row>
    <row r="2533">
      <c r="A2533" s="2">
        <f>IFERROR(__xludf.DUMMYFUNCTION("""COMPUTED_VALUE"""),42843.66666666667)</f>
        <v>42843.66667</v>
      </c>
      <c r="B2533" s="1">
        <f>IFERROR(__xludf.DUMMYFUNCTION("""COMPUTED_VALUE"""),2.5)</f>
        <v>2.5</v>
      </c>
      <c r="C2533" s="1">
        <f>IFERROR(__xludf.DUMMYFUNCTION("""COMPUTED_VALUE"""),2.52)</f>
        <v>2.52</v>
      </c>
      <c r="D2533" s="1">
        <f>IFERROR(__xludf.DUMMYFUNCTION("""COMPUTED_VALUE"""),2.42)</f>
        <v>2.42</v>
      </c>
      <c r="E2533" s="1">
        <f>IFERROR(__xludf.DUMMYFUNCTION("""COMPUTED_VALUE"""),2.44)</f>
        <v>2.44</v>
      </c>
      <c r="F2533" s="1">
        <f>IFERROR(__xludf.DUMMYFUNCTION("""COMPUTED_VALUE"""),305543.0)</f>
        <v>305543</v>
      </c>
    </row>
    <row r="2534">
      <c r="A2534" s="2">
        <f>IFERROR(__xludf.DUMMYFUNCTION("""COMPUTED_VALUE"""),42844.66666666667)</f>
        <v>42844.66667</v>
      </c>
      <c r="B2534" s="1">
        <f>IFERROR(__xludf.DUMMYFUNCTION("""COMPUTED_VALUE"""),2.45)</f>
        <v>2.45</v>
      </c>
      <c r="C2534" s="1">
        <f>IFERROR(__xludf.DUMMYFUNCTION("""COMPUTED_VALUE"""),2.49)</f>
        <v>2.49</v>
      </c>
      <c r="D2534" s="1">
        <f>IFERROR(__xludf.DUMMYFUNCTION("""COMPUTED_VALUE"""),2.43)</f>
        <v>2.43</v>
      </c>
      <c r="E2534" s="1">
        <f>IFERROR(__xludf.DUMMYFUNCTION("""COMPUTED_VALUE"""),2.44)</f>
        <v>2.44</v>
      </c>
      <c r="F2534" s="1">
        <f>IFERROR(__xludf.DUMMYFUNCTION("""COMPUTED_VALUE"""),379084.0)</f>
        <v>379084</v>
      </c>
    </row>
    <row r="2535">
      <c r="A2535" s="2">
        <f>IFERROR(__xludf.DUMMYFUNCTION("""COMPUTED_VALUE"""),42845.66666666667)</f>
        <v>42845.66667</v>
      </c>
      <c r="B2535" s="1">
        <f>IFERROR(__xludf.DUMMYFUNCTION("""COMPUTED_VALUE"""),2.46)</f>
        <v>2.46</v>
      </c>
      <c r="C2535" s="1">
        <f>IFERROR(__xludf.DUMMYFUNCTION("""COMPUTED_VALUE"""),2.5)</f>
        <v>2.5</v>
      </c>
      <c r="D2535" s="1">
        <f>IFERROR(__xludf.DUMMYFUNCTION("""COMPUTED_VALUE"""),2.45)</f>
        <v>2.45</v>
      </c>
      <c r="E2535" s="1">
        <f>IFERROR(__xludf.DUMMYFUNCTION("""COMPUTED_VALUE"""),2.48)</f>
        <v>2.48</v>
      </c>
      <c r="F2535" s="1">
        <f>IFERROR(__xludf.DUMMYFUNCTION("""COMPUTED_VALUE"""),347868.0)</f>
        <v>347868</v>
      </c>
    </row>
    <row r="2536">
      <c r="A2536" s="2">
        <f>IFERROR(__xludf.DUMMYFUNCTION("""COMPUTED_VALUE"""),42846.66666666667)</f>
        <v>42846.66667</v>
      </c>
      <c r="B2536" s="1">
        <f>IFERROR(__xludf.DUMMYFUNCTION("""COMPUTED_VALUE"""),2.47)</f>
        <v>2.47</v>
      </c>
      <c r="C2536" s="1">
        <f>IFERROR(__xludf.DUMMYFUNCTION("""COMPUTED_VALUE"""),2.48)</f>
        <v>2.48</v>
      </c>
      <c r="D2536" s="1">
        <f>IFERROR(__xludf.DUMMYFUNCTION("""COMPUTED_VALUE"""),2.44)</f>
        <v>2.44</v>
      </c>
      <c r="E2536" s="1">
        <f>IFERROR(__xludf.DUMMYFUNCTION("""COMPUTED_VALUE"""),2.46)</f>
        <v>2.46</v>
      </c>
      <c r="F2536" s="1">
        <f>IFERROR(__xludf.DUMMYFUNCTION("""COMPUTED_VALUE"""),262304.0)</f>
        <v>262304</v>
      </c>
    </row>
    <row r="2537">
      <c r="A2537" s="2">
        <f>IFERROR(__xludf.DUMMYFUNCTION("""COMPUTED_VALUE"""),42849.66666666667)</f>
        <v>42849.66667</v>
      </c>
      <c r="B2537" s="1">
        <f>IFERROR(__xludf.DUMMYFUNCTION("""COMPUTED_VALUE"""),2.5)</f>
        <v>2.5</v>
      </c>
      <c r="C2537" s="1">
        <f>IFERROR(__xludf.DUMMYFUNCTION("""COMPUTED_VALUE"""),2.5)</f>
        <v>2.5</v>
      </c>
      <c r="D2537" s="1">
        <f>IFERROR(__xludf.DUMMYFUNCTION("""COMPUTED_VALUE"""),2.46)</f>
        <v>2.46</v>
      </c>
      <c r="E2537" s="1">
        <f>IFERROR(__xludf.DUMMYFUNCTION("""COMPUTED_VALUE"""),2.48)</f>
        <v>2.48</v>
      </c>
      <c r="F2537" s="1">
        <f>IFERROR(__xludf.DUMMYFUNCTION("""COMPUTED_VALUE"""),238765.0)</f>
        <v>238765</v>
      </c>
    </row>
    <row r="2538">
      <c r="A2538" s="2">
        <f>IFERROR(__xludf.DUMMYFUNCTION("""COMPUTED_VALUE"""),42850.66666666667)</f>
        <v>42850.66667</v>
      </c>
      <c r="B2538" s="1">
        <f>IFERROR(__xludf.DUMMYFUNCTION("""COMPUTED_VALUE"""),2.51)</f>
        <v>2.51</v>
      </c>
      <c r="C2538" s="1">
        <f>IFERROR(__xludf.DUMMYFUNCTION("""COMPUTED_VALUE"""),2.52)</f>
        <v>2.52</v>
      </c>
      <c r="D2538" s="1">
        <f>IFERROR(__xludf.DUMMYFUNCTION("""COMPUTED_VALUE"""),2.49)</f>
        <v>2.49</v>
      </c>
      <c r="E2538" s="1">
        <f>IFERROR(__xludf.DUMMYFUNCTION("""COMPUTED_VALUE"""),2.49)</f>
        <v>2.49</v>
      </c>
      <c r="F2538" s="1">
        <f>IFERROR(__xludf.DUMMYFUNCTION("""COMPUTED_VALUE"""),740585.0)</f>
        <v>740585</v>
      </c>
    </row>
    <row r="2539">
      <c r="A2539" s="2">
        <f>IFERROR(__xludf.DUMMYFUNCTION("""COMPUTED_VALUE"""),42851.66666666667)</f>
        <v>42851.66667</v>
      </c>
      <c r="B2539" s="1">
        <f>IFERROR(__xludf.DUMMYFUNCTION("""COMPUTED_VALUE"""),2.47)</f>
        <v>2.47</v>
      </c>
      <c r="C2539" s="1">
        <f>IFERROR(__xludf.DUMMYFUNCTION("""COMPUTED_VALUE"""),2.5)</f>
        <v>2.5</v>
      </c>
      <c r="D2539" s="1">
        <f>IFERROR(__xludf.DUMMYFUNCTION("""COMPUTED_VALUE"""),2.47)</f>
        <v>2.47</v>
      </c>
      <c r="E2539" s="1">
        <f>IFERROR(__xludf.DUMMYFUNCTION("""COMPUTED_VALUE"""),2.47)</f>
        <v>2.47</v>
      </c>
      <c r="F2539" s="1">
        <f>IFERROR(__xludf.DUMMYFUNCTION("""COMPUTED_VALUE"""),773020.0)</f>
        <v>773020</v>
      </c>
    </row>
    <row r="2540">
      <c r="A2540" s="2">
        <f>IFERROR(__xludf.DUMMYFUNCTION("""COMPUTED_VALUE"""),42852.66666666667)</f>
        <v>42852.66667</v>
      </c>
      <c r="B2540" s="1">
        <f>IFERROR(__xludf.DUMMYFUNCTION("""COMPUTED_VALUE"""),2.48)</f>
        <v>2.48</v>
      </c>
      <c r="C2540" s="1">
        <f>IFERROR(__xludf.DUMMYFUNCTION("""COMPUTED_VALUE"""),2.5)</f>
        <v>2.5</v>
      </c>
      <c r="D2540" s="1">
        <f>IFERROR(__xludf.DUMMYFUNCTION("""COMPUTED_VALUE"""),2.42)</f>
        <v>2.42</v>
      </c>
      <c r="E2540" s="1">
        <f>IFERROR(__xludf.DUMMYFUNCTION("""COMPUTED_VALUE"""),2.43)</f>
        <v>2.43</v>
      </c>
      <c r="F2540" s="1">
        <f>IFERROR(__xludf.DUMMYFUNCTION("""COMPUTED_VALUE"""),897372.0)</f>
        <v>897372</v>
      </c>
    </row>
    <row r="2541">
      <c r="A2541" s="2">
        <f>IFERROR(__xludf.DUMMYFUNCTION("""COMPUTED_VALUE"""),42853.66666666667)</f>
        <v>42853.66667</v>
      </c>
      <c r="B2541" s="1">
        <f>IFERROR(__xludf.DUMMYFUNCTION("""COMPUTED_VALUE"""),2.55)</f>
        <v>2.55</v>
      </c>
      <c r="C2541" s="1">
        <f>IFERROR(__xludf.DUMMYFUNCTION("""COMPUTED_VALUE"""),2.58)</f>
        <v>2.58</v>
      </c>
      <c r="D2541" s="1">
        <f>IFERROR(__xludf.DUMMYFUNCTION("""COMPUTED_VALUE"""),2.23)</f>
        <v>2.23</v>
      </c>
      <c r="E2541" s="1">
        <f>IFERROR(__xludf.DUMMYFUNCTION("""COMPUTED_VALUE"""),2.44)</f>
        <v>2.44</v>
      </c>
      <c r="F2541" s="1">
        <f>IFERROR(__xludf.DUMMYFUNCTION("""COMPUTED_VALUE"""),1630079.0)</f>
        <v>1630079</v>
      </c>
    </row>
    <row r="2542">
      <c r="A2542" s="2">
        <f>IFERROR(__xludf.DUMMYFUNCTION("""COMPUTED_VALUE"""),42856.66666666667)</f>
        <v>42856.66667</v>
      </c>
      <c r="B2542" s="1">
        <f>IFERROR(__xludf.DUMMYFUNCTION("""COMPUTED_VALUE"""),2.44)</f>
        <v>2.44</v>
      </c>
      <c r="C2542" s="1">
        <f>IFERROR(__xludf.DUMMYFUNCTION("""COMPUTED_VALUE"""),2.51)</f>
        <v>2.51</v>
      </c>
      <c r="D2542" s="1">
        <f>IFERROR(__xludf.DUMMYFUNCTION("""COMPUTED_VALUE"""),2.44)</f>
        <v>2.44</v>
      </c>
      <c r="E2542" s="1">
        <f>IFERROR(__xludf.DUMMYFUNCTION("""COMPUTED_VALUE"""),2.44)</f>
        <v>2.44</v>
      </c>
      <c r="F2542" s="1">
        <f>IFERROR(__xludf.DUMMYFUNCTION("""COMPUTED_VALUE"""),560361.0)</f>
        <v>560361</v>
      </c>
    </row>
    <row r="2543">
      <c r="A2543" s="2">
        <f>IFERROR(__xludf.DUMMYFUNCTION("""COMPUTED_VALUE"""),42857.66666666667)</f>
        <v>42857.66667</v>
      </c>
      <c r="B2543" s="1">
        <f>IFERROR(__xludf.DUMMYFUNCTION("""COMPUTED_VALUE"""),2.45)</f>
        <v>2.45</v>
      </c>
      <c r="C2543" s="1">
        <f>IFERROR(__xludf.DUMMYFUNCTION("""COMPUTED_VALUE"""),2.46)</f>
        <v>2.46</v>
      </c>
      <c r="D2543" s="1">
        <f>IFERROR(__xludf.DUMMYFUNCTION("""COMPUTED_VALUE"""),2.37)</f>
        <v>2.37</v>
      </c>
      <c r="E2543" s="1">
        <f>IFERROR(__xludf.DUMMYFUNCTION("""COMPUTED_VALUE"""),2.38)</f>
        <v>2.38</v>
      </c>
      <c r="F2543" s="1">
        <f>IFERROR(__xludf.DUMMYFUNCTION("""COMPUTED_VALUE"""),550259.0)</f>
        <v>550259</v>
      </c>
    </row>
    <row r="2544">
      <c r="A2544" s="2">
        <f>IFERROR(__xludf.DUMMYFUNCTION("""COMPUTED_VALUE"""),42858.66666666667)</f>
        <v>42858.66667</v>
      </c>
      <c r="B2544" s="1">
        <f>IFERROR(__xludf.DUMMYFUNCTION("""COMPUTED_VALUE"""),2.36)</f>
        <v>2.36</v>
      </c>
      <c r="C2544" s="1">
        <f>IFERROR(__xludf.DUMMYFUNCTION("""COMPUTED_VALUE"""),2.38)</f>
        <v>2.38</v>
      </c>
      <c r="D2544" s="1">
        <f>IFERROR(__xludf.DUMMYFUNCTION("""COMPUTED_VALUE"""),2.32)</f>
        <v>2.32</v>
      </c>
      <c r="E2544" s="1">
        <f>IFERROR(__xludf.DUMMYFUNCTION("""COMPUTED_VALUE"""),2.36)</f>
        <v>2.36</v>
      </c>
      <c r="F2544" s="1">
        <f>IFERROR(__xludf.DUMMYFUNCTION("""COMPUTED_VALUE"""),354834.0)</f>
        <v>354834</v>
      </c>
    </row>
    <row r="2545">
      <c r="A2545" s="2">
        <f>IFERROR(__xludf.DUMMYFUNCTION("""COMPUTED_VALUE"""),42859.66666666667)</f>
        <v>42859.66667</v>
      </c>
      <c r="B2545" s="1">
        <f>IFERROR(__xludf.DUMMYFUNCTION("""COMPUTED_VALUE"""),2.36)</f>
        <v>2.36</v>
      </c>
      <c r="C2545" s="1">
        <f>IFERROR(__xludf.DUMMYFUNCTION("""COMPUTED_VALUE"""),2.42)</f>
        <v>2.42</v>
      </c>
      <c r="D2545" s="1">
        <f>IFERROR(__xludf.DUMMYFUNCTION("""COMPUTED_VALUE"""),2.36)</f>
        <v>2.36</v>
      </c>
      <c r="E2545" s="1">
        <f>IFERROR(__xludf.DUMMYFUNCTION("""COMPUTED_VALUE"""),2.42)</f>
        <v>2.42</v>
      </c>
      <c r="F2545" s="1">
        <f>IFERROR(__xludf.DUMMYFUNCTION("""COMPUTED_VALUE"""),351020.0)</f>
        <v>351020</v>
      </c>
    </row>
    <row r="2546">
      <c r="A2546" s="2">
        <f>IFERROR(__xludf.DUMMYFUNCTION("""COMPUTED_VALUE"""),42860.66666666667)</f>
        <v>42860.66667</v>
      </c>
      <c r="B2546" s="1">
        <f>IFERROR(__xludf.DUMMYFUNCTION("""COMPUTED_VALUE"""),2.42)</f>
        <v>2.42</v>
      </c>
      <c r="C2546" s="1">
        <f>IFERROR(__xludf.DUMMYFUNCTION("""COMPUTED_VALUE"""),2.44)</f>
        <v>2.44</v>
      </c>
      <c r="D2546" s="1">
        <f>IFERROR(__xludf.DUMMYFUNCTION("""COMPUTED_VALUE"""),2.4)</f>
        <v>2.4</v>
      </c>
      <c r="E2546" s="1">
        <f>IFERROR(__xludf.DUMMYFUNCTION("""COMPUTED_VALUE"""),2.42)</f>
        <v>2.42</v>
      </c>
      <c r="F2546" s="1">
        <f>IFERROR(__xludf.DUMMYFUNCTION("""COMPUTED_VALUE"""),624247.0)</f>
        <v>624247</v>
      </c>
    </row>
    <row r="2547">
      <c r="A2547" s="2">
        <f>IFERROR(__xludf.DUMMYFUNCTION("""COMPUTED_VALUE"""),42863.66666666667)</f>
        <v>42863.66667</v>
      </c>
      <c r="B2547" s="1">
        <f>IFERROR(__xludf.DUMMYFUNCTION("""COMPUTED_VALUE"""),2.41)</f>
        <v>2.41</v>
      </c>
      <c r="C2547" s="1">
        <f>IFERROR(__xludf.DUMMYFUNCTION("""COMPUTED_VALUE"""),2.44)</f>
        <v>2.44</v>
      </c>
      <c r="D2547" s="1">
        <f>IFERROR(__xludf.DUMMYFUNCTION("""COMPUTED_VALUE"""),2.38)</f>
        <v>2.38</v>
      </c>
      <c r="E2547" s="1">
        <f>IFERROR(__xludf.DUMMYFUNCTION("""COMPUTED_VALUE"""),2.38)</f>
        <v>2.38</v>
      </c>
      <c r="F2547" s="1">
        <f>IFERROR(__xludf.DUMMYFUNCTION("""COMPUTED_VALUE"""),400710.0)</f>
        <v>400710</v>
      </c>
    </row>
    <row r="2548">
      <c r="A2548" s="2">
        <f>IFERROR(__xludf.DUMMYFUNCTION("""COMPUTED_VALUE"""),42864.66666666667)</f>
        <v>42864.66667</v>
      </c>
      <c r="B2548" s="1">
        <f>IFERROR(__xludf.DUMMYFUNCTION("""COMPUTED_VALUE"""),2.38)</f>
        <v>2.38</v>
      </c>
      <c r="C2548" s="1">
        <f>IFERROR(__xludf.DUMMYFUNCTION("""COMPUTED_VALUE"""),2.4)</f>
        <v>2.4</v>
      </c>
      <c r="D2548" s="1">
        <f>IFERROR(__xludf.DUMMYFUNCTION("""COMPUTED_VALUE"""),2.35)</f>
        <v>2.35</v>
      </c>
      <c r="E2548" s="1">
        <f>IFERROR(__xludf.DUMMYFUNCTION("""COMPUTED_VALUE"""),2.37)</f>
        <v>2.37</v>
      </c>
      <c r="F2548" s="1">
        <f>IFERROR(__xludf.DUMMYFUNCTION("""COMPUTED_VALUE"""),389762.0)</f>
        <v>389762</v>
      </c>
    </row>
    <row r="2549">
      <c r="A2549" s="2">
        <f>IFERROR(__xludf.DUMMYFUNCTION("""COMPUTED_VALUE"""),42865.66666666667)</f>
        <v>42865.66667</v>
      </c>
      <c r="B2549" s="1">
        <f>IFERROR(__xludf.DUMMYFUNCTION("""COMPUTED_VALUE"""),2.36)</f>
        <v>2.36</v>
      </c>
      <c r="C2549" s="1">
        <f>IFERROR(__xludf.DUMMYFUNCTION("""COMPUTED_VALUE"""),2.42)</f>
        <v>2.42</v>
      </c>
      <c r="D2549" s="1">
        <f>IFERROR(__xludf.DUMMYFUNCTION("""COMPUTED_VALUE"""),2.36)</f>
        <v>2.36</v>
      </c>
      <c r="E2549" s="1">
        <f>IFERROR(__xludf.DUMMYFUNCTION("""COMPUTED_VALUE"""),2.42)</f>
        <v>2.42</v>
      </c>
      <c r="F2549" s="1">
        <f>IFERROR(__xludf.DUMMYFUNCTION("""COMPUTED_VALUE"""),455496.0)</f>
        <v>455496</v>
      </c>
    </row>
    <row r="2550">
      <c r="A2550" s="2">
        <f>IFERROR(__xludf.DUMMYFUNCTION("""COMPUTED_VALUE"""),42866.66666666667)</f>
        <v>42866.66667</v>
      </c>
      <c r="B2550" s="1">
        <f>IFERROR(__xludf.DUMMYFUNCTION("""COMPUTED_VALUE"""),2.4)</f>
        <v>2.4</v>
      </c>
      <c r="C2550" s="1">
        <f>IFERROR(__xludf.DUMMYFUNCTION("""COMPUTED_VALUE"""),2.44)</f>
        <v>2.44</v>
      </c>
      <c r="D2550" s="1">
        <f>IFERROR(__xludf.DUMMYFUNCTION("""COMPUTED_VALUE"""),2.38)</f>
        <v>2.38</v>
      </c>
      <c r="E2550" s="1">
        <f>IFERROR(__xludf.DUMMYFUNCTION("""COMPUTED_VALUE"""),2.41)</f>
        <v>2.41</v>
      </c>
      <c r="F2550" s="1">
        <f>IFERROR(__xludf.DUMMYFUNCTION("""COMPUTED_VALUE"""),230854.0)</f>
        <v>230854</v>
      </c>
    </row>
    <row r="2551">
      <c r="A2551" s="2">
        <f>IFERROR(__xludf.DUMMYFUNCTION("""COMPUTED_VALUE"""),42867.66666666667)</f>
        <v>42867.66667</v>
      </c>
      <c r="B2551" s="1">
        <f>IFERROR(__xludf.DUMMYFUNCTION("""COMPUTED_VALUE"""),2.41)</f>
        <v>2.41</v>
      </c>
      <c r="C2551" s="1">
        <f>IFERROR(__xludf.DUMMYFUNCTION("""COMPUTED_VALUE"""),2.45)</f>
        <v>2.45</v>
      </c>
      <c r="D2551" s="1">
        <f>IFERROR(__xludf.DUMMYFUNCTION("""COMPUTED_VALUE"""),2.4)</f>
        <v>2.4</v>
      </c>
      <c r="E2551" s="1">
        <f>IFERROR(__xludf.DUMMYFUNCTION("""COMPUTED_VALUE"""),2.42)</f>
        <v>2.42</v>
      </c>
      <c r="F2551" s="1">
        <f>IFERROR(__xludf.DUMMYFUNCTION("""COMPUTED_VALUE"""),346131.0)</f>
        <v>346131</v>
      </c>
    </row>
    <row r="2552">
      <c r="A2552" s="2">
        <f>IFERROR(__xludf.DUMMYFUNCTION("""COMPUTED_VALUE"""),42870.66666666667)</f>
        <v>42870.66667</v>
      </c>
      <c r="B2552" s="1">
        <f>IFERROR(__xludf.DUMMYFUNCTION("""COMPUTED_VALUE"""),2.42)</f>
        <v>2.42</v>
      </c>
      <c r="C2552" s="1">
        <f>IFERROR(__xludf.DUMMYFUNCTION("""COMPUTED_VALUE"""),2.48)</f>
        <v>2.48</v>
      </c>
      <c r="D2552" s="1">
        <f>IFERROR(__xludf.DUMMYFUNCTION("""COMPUTED_VALUE"""),2.42)</f>
        <v>2.42</v>
      </c>
      <c r="E2552" s="1">
        <f>IFERROR(__xludf.DUMMYFUNCTION("""COMPUTED_VALUE"""),2.44)</f>
        <v>2.44</v>
      </c>
      <c r="F2552" s="1">
        <f>IFERROR(__xludf.DUMMYFUNCTION("""COMPUTED_VALUE"""),690542.0)</f>
        <v>690542</v>
      </c>
    </row>
    <row r="2553">
      <c r="A2553" s="2">
        <f>IFERROR(__xludf.DUMMYFUNCTION("""COMPUTED_VALUE"""),42871.66666666667)</f>
        <v>42871.66667</v>
      </c>
      <c r="B2553" s="1">
        <f>IFERROR(__xludf.DUMMYFUNCTION("""COMPUTED_VALUE"""),2.45)</f>
        <v>2.45</v>
      </c>
      <c r="C2553" s="1">
        <f>IFERROR(__xludf.DUMMYFUNCTION("""COMPUTED_VALUE"""),2.48)</f>
        <v>2.48</v>
      </c>
      <c r="D2553" s="1">
        <f>IFERROR(__xludf.DUMMYFUNCTION("""COMPUTED_VALUE"""),2.42)</f>
        <v>2.42</v>
      </c>
      <c r="E2553" s="1">
        <f>IFERROR(__xludf.DUMMYFUNCTION("""COMPUTED_VALUE"""),2.44)</f>
        <v>2.44</v>
      </c>
      <c r="F2553" s="1">
        <f>IFERROR(__xludf.DUMMYFUNCTION("""COMPUTED_VALUE"""),615371.0)</f>
        <v>615371</v>
      </c>
    </row>
    <row r="2554">
      <c r="A2554" s="2">
        <f>IFERROR(__xludf.DUMMYFUNCTION("""COMPUTED_VALUE"""),42872.66666666667)</f>
        <v>42872.66667</v>
      </c>
      <c r="B2554" s="1">
        <f>IFERROR(__xludf.DUMMYFUNCTION("""COMPUTED_VALUE"""),2.41)</f>
        <v>2.41</v>
      </c>
      <c r="C2554" s="1">
        <f>IFERROR(__xludf.DUMMYFUNCTION("""COMPUTED_VALUE"""),2.42)</f>
        <v>2.42</v>
      </c>
      <c r="D2554" s="1">
        <f>IFERROR(__xludf.DUMMYFUNCTION("""COMPUTED_VALUE"""),2.36)</f>
        <v>2.36</v>
      </c>
      <c r="E2554" s="1">
        <f>IFERROR(__xludf.DUMMYFUNCTION("""COMPUTED_VALUE"""),2.37)</f>
        <v>2.37</v>
      </c>
      <c r="F2554" s="1">
        <f>IFERROR(__xludf.DUMMYFUNCTION("""COMPUTED_VALUE"""),409508.0)</f>
        <v>409508</v>
      </c>
    </row>
    <row r="2555">
      <c r="A2555" s="2">
        <f>IFERROR(__xludf.DUMMYFUNCTION("""COMPUTED_VALUE"""),42873.66666666667)</f>
        <v>42873.66667</v>
      </c>
      <c r="B2555" s="1">
        <f>IFERROR(__xludf.DUMMYFUNCTION("""COMPUTED_VALUE"""),2.36)</f>
        <v>2.36</v>
      </c>
      <c r="C2555" s="1">
        <f>IFERROR(__xludf.DUMMYFUNCTION("""COMPUTED_VALUE"""),2.37)</f>
        <v>2.37</v>
      </c>
      <c r="D2555" s="1">
        <f>IFERROR(__xludf.DUMMYFUNCTION("""COMPUTED_VALUE"""),2.33)</f>
        <v>2.33</v>
      </c>
      <c r="E2555" s="1">
        <f>IFERROR(__xludf.DUMMYFUNCTION("""COMPUTED_VALUE"""),2.36)</f>
        <v>2.36</v>
      </c>
      <c r="F2555" s="1">
        <f>IFERROR(__xludf.DUMMYFUNCTION("""COMPUTED_VALUE"""),397815.0)</f>
        <v>397815</v>
      </c>
    </row>
    <row r="2556">
      <c r="A2556" s="2">
        <f>IFERROR(__xludf.DUMMYFUNCTION("""COMPUTED_VALUE"""),42874.66666666667)</f>
        <v>42874.66667</v>
      </c>
      <c r="B2556" s="1">
        <f>IFERROR(__xludf.DUMMYFUNCTION("""COMPUTED_VALUE"""),2.37)</f>
        <v>2.37</v>
      </c>
      <c r="C2556" s="1">
        <f>IFERROR(__xludf.DUMMYFUNCTION("""COMPUTED_VALUE"""),2.42)</f>
        <v>2.42</v>
      </c>
      <c r="D2556" s="1">
        <f>IFERROR(__xludf.DUMMYFUNCTION("""COMPUTED_VALUE"""),2.36)</f>
        <v>2.36</v>
      </c>
      <c r="E2556" s="1">
        <f>IFERROR(__xludf.DUMMYFUNCTION("""COMPUTED_VALUE"""),2.42)</f>
        <v>2.42</v>
      </c>
      <c r="F2556" s="1">
        <f>IFERROR(__xludf.DUMMYFUNCTION("""COMPUTED_VALUE"""),434404.0)</f>
        <v>434404</v>
      </c>
    </row>
    <row r="2557">
      <c r="A2557" s="2">
        <f>IFERROR(__xludf.DUMMYFUNCTION("""COMPUTED_VALUE"""),42877.66666666667)</f>
        <v>42877.66667</v>
      </c>
      <c r="B2557" s="1">
        <f>IFERROR(__xludf.DUMMYFUNCTION("""COMPUTED_VALUE"""),2.42)</f>
        <v>2.42</v>
      </c>
      <c r="C2557" s="1">
        <f>IFERROR(__xludf.DUMMYFUNCTION("""COMPUTED_VALUE"""),2.44)</f>
        <v>2.44</v>
      </c>
      <c r="D2557" s="1">
        <f>IFERROR(__xludf.DUMMYFUNCTION("""COMPUTED_VALUE"""),2.41)</f>
        <v>2.41</v>
      </c>
      <c r="E2557" s="1">
        <f>IFERROR(__xludf.DUMMYFUNCTION("""COMPUTED_VALUE"""),2.44)</f>
        <v>2.44</v>
      </c>
      <c r="F2557" s="1">
        <f>IFERROR(__xludf.DUMMYFUNCTION("""COMPUTED_VALUE"""),309373.0)</f>
        <v>309373</v>
      </c>
    </row>
    <row r="2558">
      <c r="A2558" s="2">
        <f>IFERROR(__xludf.DUMMYFUNCTION("""COMPUTED_VALUE"""),42878.66666666667)</f>
        <v>42878.66667</v>
      </c>
      <c r="B2558" s="1">
        <f>IFERROR(__xludf.DUMMYFUNCTION("""COMPUTED_VALUE"""),2.44)</f>
        <v>2.44</v>
      </c>
      <c r="C2558" s="1">
        <f>IFERROR(__xludf.DUMMYFUNCTION("""COMPUTED_VALUE"""),2.44)</f>
        <v>2.44</v>
      </c>
      <c r="D2558" s="1">
        <f>IFERROR(__xludf.DUMMYFUNCTION("""COMPUTED_VALUE"""),2.4)</f>
        <v>2.4</v>
      </c>
      <c r="E2558" s="1">
        <f>IFERROR(__xludf.DUMMYFUNCTION("""COMPUTED_VALUE"""),2.4)</f>
        <v>2.4</v>
      </c>
      <c r="F2558" s="1">
        <f>IFERROR(__xludf.DUMMYFUNCTION("""COMPUTED_VALUE"""),365840.0)</f>
        <v>365840</v>
      </c>
    </row>
    <row r="2559">
      <c r="A2559" s="2">
        <f>IFERROR(__xludf.DUMMYFUNCTION("""COMPUTED_VALUE"""),42879.66666666667)</f>
        <v>42879.66667</v>
      </c>
      <c r="B2559" s="1">
        <f>IFERROR(__xludf.DUMMYFUNCTION("""COMPUTED_VALUE"""),2.41)</f>
        <v>2.41</v>
      </c>
      <c r="C2559" s="1">
        <f>IFERROR(__xludf.DUMMYFUNCTION("""COMPUTED_VALUE"""),2.43)</f>
        <v>2.43</v>
      </c>
      <c r="D2559" s="1">
        <f>IFERROR(__xludf.DUMMYFUNCTION("""COMPUTED_VALUE"""),2.4)</f>
        <v>2.4</v>
      </c>
      <c r="E2559" s="1">
        <f>IFERROR(__xludf.DUMMYFUNCTION("""COMPUTED_VALUE"""),2.42)</f>
        <v>2.42</v>
      </c>
      <c r="F2559" s="1">
        <f>IFERROR(__xludf.DUMMYFUNCTION("""COMPUTED_VALUE"""),225903.0)</f>
        <v>225903</v>
      </c>
    </row>
    <row r="2560">
      <c r="A2560" s="2">
        <f>IFERROR(__xludf.DUMMYFUNCTION("""COMPUTED_VALUE"""),42880.66666666667)</f>
        <v>42880.66667</v>
      </c>
      <c r="B2560" s="1">
        <f>IFERROR(__xludf.DUMMYFUNCTION("""COMPUTED_VALUE"""),2.44)</f>
        <v>2.44</v>
      </c>
      <c r="C2560" s="1">
        <f>IFERROR(__xludf.DUMMYFUNCTION("""COMPUTED_VALUE"""),2.47)</f>
        <v>2.47</v>
      </c>
      <c r="D2560" s="1">
        <f>IFERROR(__xludf.DUMMYFUNCTION("""COMPUTED_VALUE"""),2.42)</f>
        <v>2.42</v>
      </c>
      <c r="E2560" s="1">
        <f>IFERROR(__xludf.DUMMYFUNCTION("""COMPUTED_VALUE"""),2.45)</f>
        <v>2.45</v>
      </c>
      <c r="F2560" s="1">
        <f>IFERROR(__xludf.DUMMYFUNCTION("""COMPUTED_VALUE"""),624523.0)</f>
        <v>624523</v>
      </c>
    </row>
    <row r="2561">
      <c r="A2561" s="2">
        <f>IFERROR(__xludf.DUMMYFUNCTION("""COMPUTED_VALUE"""),42881.66666666667)</f>
        <v>42881.66667</v>
      </c>
      <c r="B2561" s="1">
        <f>IFERROR(__xludf.DUMMYFUNCTION("""COMPUTED_VALUE"""),2.45)</f>
        <v>2.45</v>
      </c>
      <c r="C2561" s="1">
        <f>IFERROR(__xludf.DUMMYFUNCTION("""COMPUTED_VALUE"""),2.45)</f>
        <v>2.45</v>
      </c>
      <c r="D2561" s="1">
        <f>IFERROR(__xludf.DUMMYFUNCTION("""COMPUTED_VALUE"""),2.4)</f>
        <v>2.4</v>
      </c>
      <c r="E2561" s="1">
        <f>IFERROR(__xludf.DUMMYFUNCTION("""COMPUTED_VALUE"""),2.43)</f>
        <v>2.43</v>
      </c>
      <c r="F2561" s="1">
        <f>IFERROR(__xludf.DUMMYFUNCTION("""COMPUTED_VALUE"""),370921.0)</f>
        <v>370921</v>
      </c>
    </row>
    <row r="2562">
      <c r="A2562" s="2">
        <f>IFERROR(__xludf.DUMMYFUNCTION("""COMPUTED_VALUE"""),42885.66666666667)</f>
        <v>42885.66667</v>
      </c>
      <c r="B2562" s="1">
        <f>IFERROR(__xludf.DUMMYFUNCTION("""COMPUTED_VALUE"""),2.42)</f>
        <v>2.42</v>
      </c>
      <c r="C2562" s="1">
        <f>IFERROR(__xludf.DUMMYFUNCTION("""COMPUTED_VALUE"""),2.43)</f>
        <v>2.43</v>
      </c>
      <c r="D2562" s="1">
        <f>IFERROR(__xludf.DUMMYFUNCTION("""COMPUTED_VALUE"""),2.4)</f>
        <v>2.4</v>
      </c>
      <c r="E2562" s="1">
        <f>IFERROR(__xludf.DUMMYFUNCTION("""COMPUTED_VALUE"""),2.42)</f>
        <v>2.42</v>
      </c>
      <c r="F2562" s="1">
        <f>IFERROR(__xludf.DUMMYFUNCTION("""COMPUTED_VALUE"""),411228.0)</f>
        <v>411228</v>
      </c>
    </row>
    <row r="2563">
      <c r="A2563" s="2">
        <f>IFERROR(__xludf.DUMMYFUNCTION("""COMPUTED_VALUE"""),42886.66666666667)</f>
        <v>42886.66667</v>
      </c>
      <c r="B2563" s="1">
        <f>IFERROR(__xludf.DUMMYFUNCTION("""COMPUTED_VALUE"""),2.42)</f>
        <v>2.42</v>
      </c>
      <c r="C2563" s="1">
        <f>IFERROR(__xludf.DUMMYFUNCTION("""COMPUTED_VALUE"""),2.47)</f>
        <v>2.47</v>
      </c>
      <c r="D2563" s="1">
        <f>IFERROR(__xludf.DUMMYFUNCTION("""COMPUTED_VALUE"""),2.38)</f>
        <v>2.38</v>
      </c>
      <c r="E2563" s="1">
        <f>IFERROR(__xludf.DUMMYFUNCTION("""COMPUTED_VALUE"""),2.46)</f>
        <v>2.46</v>
      </c>
      <c r="F2563" s="1">
        <f>IFERROR(__xludf.DUMMYFUNCTION("""COMPUTED_VALUE"""),474210.0)</f>
        <v>474210</v>
      </c>
    </row>
    <row r="2564">
      <c r="A2564" s="2">
        <f>IFERROR(__xludf.DUMMYFUNCTION("""COMPUTED_VALUE"""),42887.66666666667)</f>
        <v>42887.66667</v>
      </c>
      <c r="B2564" s="1">
        <f>IFERROR(__xludf.DUMMYFUNCTION("""COMPUTED_VALUE"""),2.47)</f>
        <v>2.47</v>
      </c>
      <c r="C2564" s="1">
        <f>IFERROR(__xludf.DUMMYFUNCTION("""COMPUTED_VALUE"""),2.48)</f>
        <v>2.48</v>
      </c>
      <c r="D2564" s="1">
        <f>IFERROR(__xludf.DUMMYFUNCTION("""COMPUTED_VALUE"""),2.45)</f>
        <v>2.45</v>
      </c>
      <c r="E2564" s="1">
        <f>IFERROR(__xludf.DUMMYFUNCTION("""COMPUTED_VALUE"""),2.47)</f>
        <v>2.47</v>
      </c>
      <c r="F2564" s="1">
        <f>IFERROR(__xludf.DUMMYFUNCTION("""COMPUTED_VALUE"""),484527.0)</f>
        <v>484527</v>
      </c>
    </row>
    <row r="2565">
      <c r="A2565" s="2">
        <f>IFERROR(__xludf.DUMMYFUNCTION("""COMPUTED_VALUE"""),42888.66666666667)</f>
        <v>42888.66667</v>
      </c>
      <c r="B2565" s="1">
        <f>IFERROR(__xludf.DUMMYFUNCTION("""COMPUTED_VALUE"""),2.48)</f>
        <v>2.48</v>
      </c>
      <c r="C2565" s="1">
        <f>IFERROR(__xludf.DUMMYFUNCTION("""COMPUTED_VALUE"""),2.49)</f>
        <v>2.49</v>
      </c>
      <c r="D2565" s="1">
        <f>IFERROR(__xludf.DUMMYFUNCTION("""COMPUTED_VALUE"""),2.45)</f>
        <v>2.45</v>
      </c>
      <c r="E2565" s="1">
        <f>IFERROR(__xludf.DUMMYFUNCTION("""COMPUTED_VALUE"""),2.46)</f>
        <v>2.46</v>
      </c>
      <c r="F2565" s="1">
        <f>IFERROR(__xludf.DUMMYFUNCTION("""COMPUTED_VALUE"""),333816.0)</f>
        <v>333816</v>
      </c>
    </row>
    <row r="2566">
      <c r="A2566" s="2">
        <f>IFERROR(__xludf.DUMMYFUNCTION("""COMPUTED_VALUE"""),42891.66666666667)</f>
        <v>42891.66667</v>
      </c>
      <c r="B2566" s="1">
        <f>IFERROR(__xludf.DUMMYFUNCTION("""COMPUTED_VALUE"""),2.47)</f>
        <v>2.47</v>
      </c>
      <c r="C2566" s="1">
        <f>IFERROR(__xludf.DUMMYFUNCTION("""COMPUTED_VALUE"""),2.47)</f>
        <v>2.47</v>
      </c>
      <c r="D2566" s="1">
        <f>IFERROR(__xludf.DUMMYFUNCTION("""COMPUTED_VALUE"""),2.43)</f>
        <v>2.43</v>
      </c>
      <c r="E2566" s="1">
        <f>IFERROR(__xludf.DUMMYFUNCTION("""COMPUTED_VALUE"""),2.44)</f>
        <v>2.44</v>
      </c>
      <c r="F2566" s="1">
        <f>IFERROR(__xludf.DUMMYFUNCTION("""COMPUTED_VALUE"""),180081.0)</f>
        <v>180081</v>
      </c>
    </row>
    <row r="2567">
      <c r="A2567" s="2">
        <f>IFERROR(__xludf.DUMMYFUNCTION("""COMPUTED_VALUE"""),42892.66666666667)</f>
        <v>42892.66667</v>
      </c>
      <c r="B2567" s="1">
        <f>IFERROR(__xludf.DUMMYFUNCTION("""COMPUTED_VALUE"""),2.42)</f>
        <v>2.42</v>
      </c>
      <c r="C2567" s="1">
        <f>IFERROR(__xludf.DUMMYFUNCTION("""COMPUTED_VALUE"""),2.42)</f>
        <v>2.42</v>
      </c>
      <c r="D2567" s="1">
        <f>IFERROR(__xludf.DUMMYFUNCTION("""COMPUTED_VALUE"""),2.37)</f>
        <v>2.37</v>
      </c>
      <c r="E2567" s="1">
        <f>IFERROR(__xludf.DUMMYFUNCTION("""COMPUTED_VALUE"""),2.4)</f>
        <v>2.4</v>
      </c>
      <c r="F2567" s="1">
        <f>IFERROR(__xludf.DUMMYFUNCTION("""COMPUTED_VALUE"""),394306.0)</f>
        <v>394306</v>
      </c>
    </row>
    <row r="2568">
      <c r="A2568" s="2">
        <f>IFERROR(__xludf.DUMMYFUNCTION("""COMPUTED_VALUE"""),42893.66666666667)</f>
        <v>42893.66667</v>
      </c>
      <c r="B2568" s="1">
        <f>IFERROR(__xludf.DUMMYFUNCTION("""COMPUTED_VALUE"""),2.39)</f>
        <v>2.39</v>
      </c>
      <c r="C2568" s="1">
        <f>IFERROR(__xludf.DUMMYFUNCTION("""COMPUTED_VALUE"""),2.4)</f>
        <v>2.4</v>
      </c>
      <c r="D2568" s="1">
        <f>IFERROR(__xludf.DUMMYFUNCTION("""COMPUTED_VALUE"""),2.35)</f>
        <v>2.35</v>
      </c>
      <c r="E2568" s="1">
        <f>IFERROR(__xludf.DUMMYFUNCTION("""COMPUTED_VALUE"""),2.38)</f>
        <v>2.38</v>
      </c>
      <c r="F2568" s="1">
        <f>IFERROR(__xludf.DUMMYFUNCTION("""COMPUTED_VALUE"""),597014.0)</f>
        <v>597014</v>
      </c>
    </row>
    <row r="2569">
      <c r="A2569" s="2">
        <f>IFERROR(__xludf.DUMMYFUNCTION("""COMPUTED_VALUE"""),42894.66666666667)</f>
        <v>42894.66667</v>
      </c>
      <c r="B2569" s="1">
        <f>IFERROR(__xludf.DUMMYFUNCTION("""COMPUTED_VALUE"""),2.38)</f>
        <v>2.38</v>
      </c>
      <c r="C2569" s="1">
        <f>IFERROR(__xludf.DUMMYFUNCTION("""COMPUTED_VALUE"""),2.46)</f>
        <v>2.46</v>
      </c>
      <c r="D2569" s="1">
        <f>IFERROR(__xludf.DUMMYFUNCTION("""COMPUTED_VALUE"""),2.37)</f>
        <v>2.37</v>
      </c>
      <c r="E2569" s="1">
        <f>IFERROR(__xludf.DUMMYFUNCTION("""COMPUTED_VALUE"""),2.46)</f>
        <v>2.46</v>
      </c>
      <c r="F2569" s="1">
        <f>IFERROR(__xludf.DUMMYFUNCTION("""COMPUTED_VALUE"""),445996.0)</f>
        <v>445996</v>
      </c>
    </row>
    <row r="2570">
      <c r="A2570" s="2">
        <f>IFERROR(__xludf.DUMMYFUNCTION("""COMPUTED_VALUE"""),42895.66666666667)</f>
        <v>42895.66667</v>
      </c>
      <c r="B2570" s="1">
        <f>IFERROR(__xludf.DUMMYFUNCTION("""COMPUTED_VALUE"""),2.46)</f>
        <v>2.46</v>
      </c>
      <c r="C2570" s="1">
        <f>IFERROR(__xludf.DUMMYFUNCTION("""COMPUTED_VALUE"""),2.52)</f>
        <v>2.52</v>
      </c>
      <c r="D2570" s="1">
        <f>IFERROR(__xludf.DUMMYFUNCTION("""COMPUTED_VALUE"""),2.46)</f>
        <v>2.46</v>
      </c>
      <c r="E2570" s="1">
        <f>IFERROR(__xludf.DUMMYFUNCTION("""COMPUTED_VALUE"""),2.48)</f>
        <v>2.48</v>
      </c>
      <c r="F2570" s="1">
        <f>IFERROR(__xludf.DUMMYFUNCTION("""COMPUTED_VALUE"""),383177.0)</f>
        <v>383177</v>
      </c>
    </row>
    <row r="2571">
      <c r="A2571" s="2">
        <f>IFERROR(__xludf.DUMMYFUNCTION("""COMPUTED_VALUE"""),42898.66666666667)</f>
        <v>42898.66667</v>
      </c>
      <c r="B2571" s="1">
        <f>IFERROR(__xludf.DUMMYFUNCTION("""COMPUTED_VALUE"""),2.46)</f>
        <v>2.46</v>
      </c>
      <c r="C2571" s="1">
        <f>IFERROR(__xludf.DUMMYFUNCTION("""COMPUTED_VALUE"""),2.5)</f>
        <v>2.5</v>
      </c>
      <c r="D2571" s="1">
        <f>IFERROR(__xludf.DUMMYFUNCTION("""COMPUTED_VALUE"""),2.43)</f>
        <v>2.43</v>
      </c>
      <c r="E2571" s="1">
        <f>IFERROR(__xludf.DUMMYFUNCTION("""COMPUTED_VALUE"""),2.49)</f>
        <v>2.49</v>
      </c>
      <c r="F2571" s="1">
        <f>IFERROR(__xludf.DUMMYFUNCTION("""COMPUTED_VALUE"""),460823.0)</f>
        <v>460823</v>
      </c>
    </row>
    <row r="2572">
      <c r="A2572" s="2">
        <f>IFERROR(__xludf.DUMMYFUNCTION("""COMPUTED_VALUE"""),42899.66666666667)</f>
        <v>42899.66667</v>
      </c>
      <c r="B2572" s="1">
        <f>IFERROR(__xludf.DUMMYFUNCTION("""COMPUTED_VALUE"""),2.5)</f>
        <v>2.5</v>
      </c>
      <c r="C2572" s="1">
        <f>IFERROR(__xludf.DUMMYFUNCTION("""COMPUTED_VALUE"""),2.53)</f>
        <v>2.53</v>
      </c>
      <c r="D2572" s="1">
        <f>IFERROR(__xludf.DUMMYFUNCTION("""COMPUTED_VALUE"""),2.49)</f>
        <v>2.49</v>
      </c>
      <c r="E2572" s="1">
        <f>IFERROR(__xludf.DUMMYFUNCTION("""COMPUTED_VALUE"""),2.53)</f>
        <v>2.53</v>
      </c>
      <c r="F2572" s="1">
        <f>IFERROR(__xludf.DUMMYFUNCTION("""COMPUTED_VALUE"""),496016.0)</f>
        <v>496016</v>
      </c>
    </row>
    <row r="2573">
      <c r="A2573" s="2">
        <f>IFERROR(__xludf.DUMMYFUNCTION("""COMPUTED_VALUE"""),42900.66666666667)</f>
        <v>42900.66667</v>
      </c>
      <c r="B2573" s="1">
        <f>IFERROR(__xludf.DUMMYFUNCTION("""COMPUTED_VALUE"""),2.54)</f>
        <v>2.54</v>
      </c>
      <c r="C2573" s="1">
        <f>IFERROR(__xludf.DUMMYFUNCTION("""COMPUTED_VALUE"""),2.55)</f>
        <v>2.55</v>
      </c>
      <c r="D2573" s="1">
        <f>IFERROR(__xludf.DUMMYFUNCTION("""COMPUTED_VALUE"""),2.49)</f>
        <v>2.49</v>
      </c>
      <c r="E2573" s="1">
        <f>IFERROR(__xludf.DUMMYFUNCTION("""COMPUTED_VALUE"""),2.5)</f>
        <v>2.5</v>
      </c>
      <c r="F2573" s="1">
        <f>IFERROR(__xludf.DUMMYFUNCTION("""COMPUTED_VALUE"""),536292.0)</f>
        <v>536292</v>
      </c>
    </row>
    <row r="2574">
      <c r="A2574" s="2">
        <f>IFERROR(__xludf.DUMMYFUNCTION("""COMPUTED_VALUE"""),42901.66666666667)</f>
        <v>42901.66667</v>
      </c>
      <c r="B2574" s="1">
        <f>IFERROR(__xludf.DUMMYFUNCTION("""COMPUTED_VALUE"""),2.47)</f>
        <v>2.47</v>
      </c>
      <c r="C2574" s="1">
        <f>IFERROR(__xludf.DUMMYFUNCTION("""COMPUTED_VALUE"""),2.5)</f>
        <v>2.5</v>
      </c>
      <c r="D2574" s="1">
        <f>IFERROR(__xludf.DUMMYFUNCTION("""COMPUTED_VALUE"""),2.41)</f>
        <v>2.41</v>
      </c>
      <c r="E2574" s="1">
        <f>IFERROR(__xludf.DUMMYFUNCTION("""COMPUTED_VALUE"""),2.47)</f>
        <v>2.47</v>
      </c>
      <c r="F2574" s="1">
        <f>IFERROR(__xludf.DUMMYFUNCTION("""COMPUTED_VALUE"""),306964.0)</f>
        <v>306964</v>
      </c>
    </row>
    <row r="2575">
      <c r="A2575" s="2">
        <f>IFERROR(__xludf.DUMMYFUNCTION("""COMPUTED_VALUE"""),42902.66666666667)</f>
        <v>42902.66667</v>
      </c>
      <c r="B2575" s="1">
        <f>IFERROR(__xludf.DUMMYFUNCTION("""COMPUTED_VALUE"""),2.45)</f>
        <v>2.45</v>
      </c>
      <c r="C2575" s="1">
        <f>IFERROR(__xludf.DUMMYFUNCTION("""COMPUTED_VALUE"""),2.51)</f>
        <v>2.51</v>
      </c>
      <c r="D2575" s="1">
        <f>IFERROR(__xludf.DUMMYFUNCTION("""COMPUTED_VALUE"""),2.42)</f>
        <v>2.42</v>
      </c>
      <c r="E2575" s="1">
        <f>IFERROR(__xludf.DUMMYFUNCTION("""COMPUTED_VALUE"""),2.5)</f>
        <v>2.5</v>
      </c>
      <c r="F2575" s="1">
        <f>IFERROR(__xludf.DUMMYFUNCTION("""COMPUTED_VALUE"""),520135.0)</f>
        <v>520135</v>
      </c>
    </row>
    <row r="2576">
      <c r="A2576" s="2">
        <f>IFERROR(__xludf.DUMMYFUNCTION("""COMPUTED_VALUE"""),42905.66666666667)</f>
        <v>42905.66667</v>
      </c>
      <c r="B2576" s="1">
        <f>IFERROR(__xludf.DUMMYFUNCTION("""COMPUTED_VALUE"""),2.49)</f>
        <v>2.49</v>
      </c>
      <c r="C2576" s="1">
        <f>IFERROR(__xludf.DUMMYFUNCTION("""COMPUTED_VALUE"""),2.51)</f>
        <v>2.51</v>
      </c>
      <c r="D2576" s="1">
        <f>IFERROR(__xludf.DUMMYFUNCTION("""COMPUTED_VALUE"""),2.46)</f>
        <v>2.46</v>
      </c>
      <c r="E2576" s="1">
        <f>IFERROR(__xludf.DUMMYFUNCTION("""COMPUTED_VALUE"""),2.47)</f>
        <v>2.47</v>
      </c>
      <c r="F2576" s="1">
        <f>IFERROR(__xludf.DUMMYFUNCTION("""COMPUTED_VALUE"""),235130.0)</f>
        <v>235130</v>
      </c>
    </row>
    <row r="2577">
      <c r="A2577" s="2">
        <f>IFERROR(__xludf.DUMMYFUNCTION("""COMPUTED_VALUE"""),42906.66666666667)</f>
        <v>42906.66667</v>
      </c>
      <c r="B2577" s="1">
        <f>IFERROR(__xludf.DUMMYFUNCTION("""COMPUTED_VALUE"""),2.47)</f>
        <v>2.47</v>
      </c>
      <c r="C2577" s="1">
        <f>IFERROR(__xludf.DUMMYFUNCTION("""COMPUTED_VALUE"""),2.48)</f>
        <v>2.48</v>
      </c>
      <c r="D2577" s="1">
        <f>IFERROR(__xludf.DUMMYFUNCTION("""COMPUTED_VALUE"""),2.43)</f>
        <v>2.43</v>
      </c>
      <c r="E2577" s="1">
        <f>IFERROR(__xludf.DUMMYFUNCTION("""COMPUTED_VALUE"""),2.46)</f>
        <v>2.46</v>
      </c>
      <c r="F2577" s="1">
        <f>IFERROR(__xludf.DUMMYFUNCTION("""COMPUTED_VALUE"""),201967.0)</f>
        <v>201967</v>
      </c>
    </row>
    <row r="2578">
      <c r="A2578" s="2">
        <f>IFERROR(__xludf.DUMMYFUNCTION("""COMPUTED_VALUE"""),42907.66666666667)</f>
        <v>42907.66667</v>
      </c>
      <c r="B2578" s="1">
        <f>IFERROR(__xludf.DUMMYFUNCTION("""COMPUTED_VALUE"""),2.47)</f>
        <v>2.47</v>
      </c>
      <c r="C2578" s="1">
        <f>IFERROR(__xludf.DUMMYFUNCTION("""COMPUTED_VALUE"""),2.48)</f>
        <v>2.48</v>
      </c>
      <c r="D2578" s="1">
        <f>IFERROR(__xludf.DUMMYFUNCTION("""COMPUTED_VALUE"""),2.4)</f>
        <v>2.4</v>
      </c>
      <c r="E2578" s="1">
        <f>IFERROR(__xludf.DUMMYFUNCTION("""COMPUTED_VALUE"""),2.4)</f>
        <v>2.4</v>
      </c>
      <c r="F2578" s="1">
        <f>IFERROR(__xludf.DUMMYFUNCTION("""COMPUTED_VALUE"""),209497.0)</f>
        <v>209497</v>
      </c>
    </row>
    <row r="2579">
      <c r="A2579" s="2">
        <f>IFERROR(__xludf.DUMMYFUNCTION("""COMPUTED_VALUE"""),42908.66666666667)</f>
        <v>42908.66667</v>
      </c>
      <c r="B2579" s="1">
        <f>IFERROR(__xludf.DUMMYFUNCTION("""COMPUTED_VALUE"""),2.4)</f>
        <v>2.4</v>
      </c>
      <c r="C2579" s="1">
        <f>IFERROR(__xludf.DUMMYFUNCTION("""COMPUTED_VALUE"""),2.43)</f>
        <v>2.43</v>
      </c>
      <c r="D2579" s="1">
        <f>IFERROR(__xludf.DUMMYFUNCTION("""COMPUTED_VALUE"""),2.38)</f>
        <v>2.38</v>
      </c>
      <c r="E2579" s="1">
        <f>IFERROR(__xludf.DUMMYFUNCTION("""COMPUTED_VALUE"""),2.42)</f>
        <v>2.42</v>
      </c>
      <c r="F2579" s="1">
        <f>IFERROR(__xludf.DUMMYFUNCTION("""COMPUTED_VALUE"""),252445.0)</f>
        <v>252445</v>
      </c>
    </row>
    <row r="2580">
      <c r="A2580" s="2">
        <f>IFERROR(__xludf.DUMMYFUNCTION("""COMPUTED_VALUE"""),42909.66666666667)</f>
        <v>42909.66667</v>
      </c>
      <c r="B2580" s="1">
        <f>IFERROR(__xludf.DUMMYFUNCTION("""COMPUTED_VALUE"""),2.42)</f>
        <v>2.42</v>
      </c>
      <c r="C2580" s="1">
        <f>IFERROR(__xludf.DUMMYFUNCTION("""COMPUTED_VALUE"""),2.49)</f>
        <v>2.49</v>
      </c>
      <c r="D2580" s="1">
        <f>IFERROR(__xludf.DUMMYFUNCTION("""COMPUTED_VALUE"""),2.42)</f>
        <v>2.42</v>
      </c>
      <c r="E2580" s="1">
        <f>IFERROR(__xludf.DUMMYFUNCTION("""COMPUTED_VALUE"""),2.46)</f>
        <v>2.46</v>
      </c>
      <c r="F2580" s="1">
        <f>IFERROR(__xludf.DUMMYFUNCTION("""COMPUTED_VALUE"""),373011.0)</f>
        <v>373011</v>
      </c>
    </row>
    <row r="2581">
      <c r="A2581" s="2">
        <f>IFERROR(__xludf.DUMMYFUNCTION("""COMPUTED_VALUE"""),42912.66666666667)</f>
        <v>42912.66667</v>
      </c>
      <c r="B2581" s="1">
        <f>IFERROR(__xludf.DUMMYFUNCTION("""COMPUTED_VALUE"""),2.47)</f>
        <v>2.47</v>
      </c>
      <c r="C2581" s="1">
        <f>IFERROR(__xludf.DUMMYFUNCTION("""COMPUTED_VALUE"""),2.5)</f>
        <v>2.5</v>
      </c>
      <c r="D2581" s="1">
        <f>IFERROR(__xludf.DUMMYFUNCTION("""COMPUTED_VALUE"""),2.43)</f>
        <v>2.43</v>
      </c>
      <c r="E2581" s="1">
        <f>IFERROR(__xludf.DUMMYFUNCTION("""COMPUTED_VALUE"""),2.44)</f>
        <v>2.44</v>
      </c>
      <c r="F2581" s="1">
        <f>IFERROR(__xludf.DUMMYFUNCTION("""COMPUTED_VALUE"""),263131.0)</f>
        <v>263131</v>
      </c>
    </row>
    <row r="2582">
      <c r="A2582" s="2">
        <f>IFERROR(__xludf.DUMMYFUNCTION("""COMPUTED_VALUE"""),42913.66666666667)</f>
        <v>42913.66667</v>
      </c>
      <c r="B2582" s="1">
        <f>IFERROR(__xludf.DUMMYFUNCTION("""COMPUTED_VALUE"""),2.43)</f>
        <v>2.43</v>
      </c>
      <c r="C2582" s="1">
        <f>IFERROR(__xludf.DUMMYFUNCTION("""COMPUTED_VALUE"""),2.44)</f>
        <v>2.44</v>
      </c>
      <c r="D2582" s="1">
        <f>IFERROR(__xludf.DUMMYFUNCTION("""COMPUTED_VALUE"""),2.4)</f>
        <v>2.4</v>
      </c>
      <c r="E2582" s="1">
        <f>IFERROR(__xludf.DUMMYFUNCTION("""COMPUTED_VALUE"""),2.4)</f>
        <v>2.4</v>
      </c>
      <c r="F2582" s="1">
        <f>IFERROR(__xludf.DUMMYFUNCTION("""COMPUTED_VALUE"""),292917.0)</f>
        <v>292917</v>
      </c>
    </row>
    <row r="2583">
      <c r="A2583" s="2">
        <f>IFERROR(__xludf.DUMMYFUNCTION("""COMPUTED_VALUE"""),42914.66666666667)</f>
        <v>42914.66667</v>
      </c>
      <c r="B2583" s="1">
        <f>IFERROR(__xludf.DUMMYFUNCTION("""COMPUTED_VALUE"""),2.42)</f>
        <v>2.42</v>
      </c>
      <c r="C2583" s="1">
        <f>IFERROR(__xludf.DUMMYFUNCTION("""COMPUTED_VALUE"""),2.44)</f>
        <v>2.44</v>
      </c>
      <c r="D2583" s="1">
        <f>IFERROR(__xludf.DUMMYFUNCTION("""COMPUTED_VALUE"""),2.39)</f>
        <v>2.39</v>
      </c>
      <c r="E2583" s="1">
        <f>IFERROR(__xludf.DUMMYFUNCTION("""COMPUTED_VALUE"""),2.43)</f>
        <v>2.43</v>
      </c>
      <c r="F2583" s="1">
        <f>IFERROR(__xludf.DUMMYFUNCTION("""COMPUTED_VALUE"""),311289.0)</f>
        <v>311289</v>
      </c>
    </row>
    <row r="2584">
      <c r="A2584" s="2">
        <f>IFERROR(__xludf.DUMMYFUNCTION("""COMPUTED_VALUE"""),42915.66666666667)</f>
        <v>42915.66667</v>
      </c>
      <c r="B2584" s="1">
        <f>IFERROR(__xludf.DUMMYFUNCTION("""COMPUTED_VALUE"""),2.42)</f>
        <v>2.42</v>
      </c>
      <c r="C2584" s="1">
        <f>IFERROR(__xludf.DUMMYFUNCTION("""COMPUTED_VALUE"""),2.42)</f>
        <v>2.42</v>
      </c>
      <c r="D2584" s="1">
        <f>IFERROR(__xludf.DUMMYFUNCTION("""COMPUTED_VALUE"""),2.38)</f>
        <v>2.38</v>
      </c>
      <c r="E2584" s="1">
        <f>IFERROR(__xludf.DUMMYFUNCTION("""COMPUTED_VALUE"""),2.42)</f>
        <v>2.42</v>
      </c>
      <c r="F2584" s="1">
        <f>IFERROR(__xludf.DUMMYFUNCTION("""COMPUTED_VALUE"""),272913.0)</f>
        <v>272913</v>
      </c>
    </row>
    <row r="2585">
      <c r="A2585" s="2">
        <f>IFERROR(__xludf.DUMMYFUNCTION("""COMPUTED_VALUE"""),42916.66666666667)</f>
        <v>42916.66667</v>
      </c>
      <c r="B2585" s="1">
        <f>IFERROR(__xludf.DUMMYFUNCTION("""COMPUTED_VALUE"""),2.42)</f>
        <v>2.42</v>
      </c>
      <c r="C2585" s="1">
        <f>IFERROR(__xludf.DUMMYFUNCTION("""COMPUTED_VALUE"""),2.47)</f>
        <v>2.47</v>
      </c>
      <c r="D2585" s="1">
        <f>IFERROR(__xludf.DUMMYFUNCTION("""COMPUTED_VALUE"""),2.41)</f>
        <v>2.41</v>
      </c>
      <c r="E2585" s="1">
        <f>IFERROR(__xludf.DUMMYFUNCTION("""COMPUTED_VALUE"""),2.47)</f>
        <v>2.47</v>
      </c>
      <c r="F2585" s="1">
        <f>IFERROR(__xludf.DUMMYFUNCTION("""COMPUTED_VALUE"""),247896.0)</f>
        <v>247896</v>
      </c>
    </row>
    <row r="2586">
      <c r="A2586" s="2">
        <f>IFERROR(__xludf.DUMMYFUNCTION("""COMPUTED_VALUE"""),42919.66666666667)</f>
        <v>42919.66667</v>
      </c>
      <c r="B2586" s="1">
        <f>IFERROR(__xludf.DUMMYFUNCTION("""COMPUTED_VALUE"""),2.48)</f>
        <v>2.48</v>
      </c>
      <c r="C2586" s="1">
        <f>IFERROR(__xludf.DUMMYFUNCTION("""COMPUTED_VALUE"""),2.48)</f>
        <v>2.48</v>
      </c>
      <c r="D2586" s="1">
        <f>IFERROR(__xludf.DUMMYFUNCTION("""COMPUTED_VALUE"""),2.42)</f>
        <v>2.42</v>
      </c>
      <c r="E2586" s="1">
        <f>IFERROR(__xludf.DUMMYFUNCTION("""COMPUTED_VALUE"""),2.44)</f>
        <v>2.44</v>
      </c>
      <c r="F2586" s="1">
        <f>IFERROR(__xludf.DUMMYFUNCTION("""COMPUTED_VALUE"""),114040.0)</f>
        <v>114040</v>
      </c>
    </row>
    <row r="2587">
      <c r="A2587" s="2">
        <f>IFERROR(__xludf.DUMMYFUNCTION("""COMPUTED_VALUE"""),42921.66666666667)</f>
        <v>42921.66667</v>
      </c>
      <c r="B2587" s="1">
        <f>IFERROR(__xludf.DUMMYFUNCTION("""COMPUTED_VALUE"""),2.44)</f>
        <v>2.44</v>
      </c>
      <c r="C2587" s="1">
        <f>IFERROR(__xludf.DUMMYFUNCTION("""COMPUTED_VALUE"""),2.44)</f>
        <v>2.44</v>
      </c>
      <c r="D2587" s="1">
        <f>IFERROR(__xludf.DUMMYFUNCTION("""COMPUTED_VALUE"""),2.4)</f>
        <v>2.4</v>
      </c>
      <c r="E2587" s="1">
        <f>IFERROR(__xludf.DUMMYFUNCTION("""COMPUTED_VALUE"""),2.44)</f>
        <v>2.44</v>
      </c>
      <c r="F2587" s="1">
        <f>IFERROR(__xludf.DUMMYFUNCTION("""COMPUTED_VALUE"""),243002.0)</f>
        <v>243002</v>
      </c>
    </row>
    <row r="2588">
      <c r="A2588" s="2">
        <f>IFERROR(__xludf.DUMMYFUNCTION("""COMPUTED_VALUE"""),42922.66666666667)</f>
        <v>42922.66667</v>
      </c>
      <c r="B2588" s="1">
        <f>IFERROR(__xludf.DUMMYFUNCTION("""COMPUTED_VALUE"""),2.42)</f>
        <v>2.42</v>
      </c>
      <c r="C2588" s="1">
        <f>IFERROR(__xludf.DUMMYFUNCTION("""COMPUTED_VALUE"""),2.42)</f>
        <v>2.42</v>
      </c>
      <c r="D2588" s="1">
        <f>IFERROR(__xludf.DUMMYFUNCTION("""COMPUTED_VALUE"""),2.38)</f>
        <v>2.38</v>
      </c>
      <c r="E2588" s="1">
        <f>IFERROR(__xludf.DUMMYFUNCTION("""COMPUTED_VALUE"""),2.4)</f>
        <v>2.4</v>
      </c>
      <c r="F2588" s="1">
        <f>IFERROR(__xludf.DUMMYFUNCTION("""COMPUTED_VALUE"""),314828.0)</f>
        <v>314828</v>
      </c>
    </row>
    <row r="2589">
      <c r="A2589" s="2">
        <f>IFERROR(__xludf.DUMMYFUNCTION("""COMPUTED_VALUE"""),42923.66666666667)</f>
        <v>42923.66667</v>
      </c>
      <c r="B2589" s="1">
        <f>IFERROR(__xludf.DUMMYFUNCTION("""COMPUTED_VALUE"""),2.4)</f>
        <v>2.4</v>
      </c>
      <c r="C2589" s="1">
        <f>IFERROR(__xludf.DUMMYFUNCTION("""COMPUTED_VALUE"""),2.45)</f>
        <v>2.45</v>
      </c>
      <c r="D2589" s="1">
        <f>IFERROR(__xludf.DUMMYFUNCTION("""COMPUTED_VALUE"""),2.4)</f>
        <v>2.4</v>
      </c>
      <c r="E2589" s="1">
        <f>IFERROR(__xludf.DUMMYFUNCTION("""COMPUTED_VALUE"""),2.44)</f>
        <v>2.44</v>
      </c>
      <c r="F2589" s="1">
        <f>IFERROR(__xludf.DUMMYFUNCTION("""COMPUTED_VALUE"""),142576.0)</f>
        <v>142576</v>
      </c>
    </row>
    <row r="2590">
      <c r="A2590" s="2">
        <f>IFERROR(__xludf.DUMMYFUNCTION("""COMPUTED_VALUE"""),42926.66666666667)</f>
        <v>42926.66667</v>
      </c>
      <c r="B2590" s="1">
        <f>IFERROR(__xludf.DUMMYFUNCTION("""COMPUTED_VALUE"""),2.43)</f>
        <v>2.43</v>
      </c>
      <c r="C2590" s="1">
        <f>IFERROR(__xludf.DUMMYFUNCTION("""COMPUTED_VALUE"""),2.47)</f>
        <v>2.47</v>
      </c>
      <c r="D2590" s="1">
        <f>IFERROR(__xludf.DUMMYFUNCTION("""COMPUTED_VALUE"""),2.43)</f>
        <v>2.43</v>
      </c>
      <c r="E2590" s="1">
        <f>IFERROR(__xludf.DUMMYFUNCTION("""COMPUTED_VALUE"""),2.44)</f>
        <v>2.44</v>
      </c>
      <c r="F2590" s="1">
        <f>IFERROR(__xludf.DUMMYFUNCTION("""COMPUTED_VALUE"""),134440.0)</f>
        <v>134440</v>
      </c>
    </row>
    <row r="2591">
      <c r="A2591" s="2">
        <f>IFERROR(__xludf.DUMMYFUNCTION("""COMPUTED_VALUE"""),42927.66666666667)</f>
        <v>42927.66667</v>
      </c>
      <c r="B2591" s="1">
        <f>IFERROR(__xludf.DUMMYFUNCTION("""COMPUTED_VALUE"""),2.44)</f>
        <v>2.44</v>
      </c>
      <c r="C2591" s="1">
        <f>IFERROR(__xludf.DUMMYFUNCTION("""COMPUTED_VALUE"""),2.47)</f>
        <v>2.47</v>
      </c>
      <c r="D2591" s="1">
        <f>IFERROR(__xludf.DUMMYFUNCTION("""COMPUTED_VALUE"""),2.42)</f>
        <v>2.42</v>
      </c>
      <c r="E2591" s="1">
        <f>IFERROR(__xludf.DUMMYFUNCTION("""COMPUTED_VALUE"""),2.46)</f>
        <v>2.46</v>
      </c>
      <c r="F2591" s="1">
        <f>IFERROR(__xludf.DUMMYFUNCTION("""COMPUTED_VALUE"""),226518.0)</f>
        <v>226518</v>
      </c>
    </row>
    <row r="2592">
      <c r="A2592" s="2">
        <f>IFERROR(__xludf.DUMMYFUNCTION("""COMPUTED_VALUE"""),42928.66666666667)</f>
        <v>42928.66667</v>
      </c>
      <c r="B2592" s="1">
        <f>IFERROR(__xludf.DUMMYFUNCTION("""COMPUTED_VALUE"""),2.48)</f>
        <v>2.48</v>
      </c>
      <c r="C2592" s="1">
        <f>IFERROR(__xludf.DUMMYFUNCTION("""COMPUTED_VALUE"""),2.58)</f>
        <v>2.58</v>
      </c>
      <c r="D2592" s="1">
        <f>IFERROR(__xludf.DUMMYFUNCTION("""COMPUTED_VALUE"""),2.48)</f>
        <v>2.48</v>
      </c>
      <c r="E2592" s="1">
        <f>IFERROR(__xludf.DUMMYFUNCTION("""COMPUTED_VALUE"""),2.57)</f>
        <v>2.57</v>
      </c>
      <c r="F2592" s="1">
        <f>IFERROR(__xludf.DUMMYFUNCTION("""COMPUTED_VALUE"""),371672.0)</f>
        <v>371672</v>
      </c>
    </row>
    <row r="2593">
      <c r="A2593" s="2">
        <f>IFERROR(__xludf.DUMMYFUNCTION("""COMPUTED_VALUE"""),42929.66666666667)</f>
        <v>42929.66667</v>
      </c>
      <c r="B2593" s="1">
        <f>IFERROR(__xludf.DUMMYFUNCTION("""COMPUTED_VALUE"""),2.6)</f>
        <v>2.6</v>
      </c>
      <c r="C2593" s="1">
        <f>IFERROR(__xludf.DUMMYFUNCTION("""COMPUTED_VALUE"""),2.65)</f>
        <v>2.65</v>
      </c>
      <c r="D2593" s="1">
        <f>IFERROR(__xludf.DUMMYFUNCTION("""COMPUTED_VALUE"""),2.59)</f>
        <v>2.59</v>
      </c>
      <c r="E2593" s="1">
        <f>IFERROR(__xludf.DUMMYFUNCTION("""COMPUTED_VALUE"""),2.64)</f>
        <v>2.64</v>
      </c>
      <c r="F2593" s="1">
        <f>IFERROR(__xludf.DUMMYFUNCTION("""COMPUTED_VALUE"""),579831.0)</f>
        <v>579831</v>
      </c>
    </row>
    <row r="2594">
      <c r="A2594" s="2">
        <f>IFERROR(__xludf.DUMMYFUNCTION("""COMPUTED_VALUE"""),42930.66666666667)</f>
        <v>42930.66667</v>
      </c>
      <c r="B2594" s="1">
        <f>IFERROR(__xludf.DUMMYFUNCTION("""COMPUTED_VALUE"""),2.65)</f>
        <v>2.65</v>
      </c>
      <c r="C2594" s="1">
        <f>IFERROR(__xludf.DUMMYFUNCTION("""COMPUTED_VALUE"""),2.7)</f>
        <v>2.7</v>
      </c>
      <c r="D2594" s="1">
        <f>IFERROR(__xludf.DUMMYFUNCTION("""COMPUTED_VALUE"""),2.64)</f>
        <v>2.64</v>
      </c>
      <c r="E2594" s="1">
        <f>IFERROR(__xludf.DUMMYFUNCTION("""COMPUTED_VALUE"""),2.69)</f>
        <v>2.69</v>
      </c>
      <c r="F2594" s="1">
        <f>IFERROR(__xludf.DUMMYFUNCTION("""COMPUTED_VALUE"""),373337.0)</f>
        <v>373337</v>
      </c>
    </row>
    <row r="2595">
      <c r="A2595" s="2">
        <f>IFERROR(__xludf.DUMMYFUNCTION("""COMPUTED_VALUE"""),42933.66666666667)</f>
        <v>42933.66667</v>
      </c>
      <c r="B2595" s="1">
        <f>IFERROR(__xludf.DUMMYFUNCTION("""COMPUTED_VALUE"""),2.7)</f>
        <v>2.7</v>
      </c>
      <c r="C2595" s="1">
        <f>IFERROR(__xludf.DUMMYFUNCTION("""COMPUTED_VALUE"""),2.7)</f>
        <v>2.7</v>
      </c>
      <c r="D2595" s="1">
        <f>IFERROR(__xludf.DUMMYFUNCTION("""COMPUTED_VALUE"""),2.64)</f>
        <v>2.64</v>
      </c>
      <c r="E2595" s="1">
        <f>IFERROR(__xludf.DUMMYFUNCTION("""COMPUTED_VALUE"""),2.64)</f>
        <v>2.64</v>
      </c>
      <c r="F2595" s="1">
        <f>IFERROR(__xludf.DUMMYFUNCTION("""COMPUTED_VALUE"""),265102.0)</f>
        <v>265102</v>
      </c>
    </row>
    <row r="2596">
      <c r="A2596" s="2">
        <f>IFERROR(__xludf.DUMMYFUNCTION("""COMPUTED_VALUE"""),42934.66666666667)</f>
        <v>42934.66667</v>
      </c>
      <c r="B2596" s="1">
        <f>IFERROR(__xludf.DUMMYFUNCTION("""COMPUTED_VALUE"""),2.63)</f>
        <v>2.63</v>
      </c>
      <c r="C2596" s="1">
        <f>IFERROR(__xludf.DUMMYFUNCTION("""COMPUTED_VALUE"""),2.66)</f>
        <v>2.66</v>
      </c>
      <c r="D2596" s="1">
        <f>IFERROR(__xludf.DUMMYFUNCTION("""COMPUTED_VALUE"""),2.62)</f>
        <v>2.62</v>
      </c>
      <c r="E2596" s="1">
        <f>IFERROR(__xludf.DUMMYFUNCTION("""COMPUTED_VALUE"""),2.65)</f>
        <v>2.65</v>
      </c>
      <c r="F2596" s="1">
        <f>IFERROR(__xludf.DUMMYFUNCTION("""COMPUTED_VALUE"""),188018.0)</f>
        <v>188018</v>
      </c>
    </row>
    <row r="2597">
      <c r="A2597" s="2">
        <f>IFERROR(__xludf.DUMMYFUNCTION("""COMPUTED_VALUE"""),42935.66666666667)</f>
        <v>42935.66667</v>
      </c>
      <c r="B2597" s="1">
        <f>IFERROR(__xludf.DUMMYFUNCTION("""COMPUTED_VALUE"""),2.65)</f>
        <v>2.65</v>
      </c>
      <c r="C2597" s="1">
        <f>IFERROR(__xludf.DUMMYFUNCTION("""COMPUTED_VALUE"""),2.67)</f>
        <v>2.67</v>
      </c>
      <c r="D2597" s="1">
        <f>IFERROR(__xludf.DUMMYFUNCTION("""COMPUTED_VALUE"""),2.63)</f>
        <v>2.63</v>
      </c>
      <c r="E2597" s="1">
        <f>IFERROR(__xludf.DUMMYFUNCTION("""COMPUTED_VALUE"""),2.65)</f>
        <v>2.65</v>
      </c>
      <c r="F2597" s="1">
        <f>IFERROR(__xludf.DUMMYFUNCTION("""COMPUTED_VALUE"""),329256.0)</f>
        <v>329256</v>
      </c>
    </row>
    <row r="2598">
      <c r="A2598" s="2">
        <f>IFERROR(__xludf.DUMMYFUNCTION("""COMPUTED_VALUE"""),42936.66666666667)</f>
        <v>42936.66667</v>
      </c>
      <c r="B2598" s="1">
        <f>IFERROR(__xludf.DUMMYFUNCTION("""COMPUTED_VALUE"""),2.66)</f>
        <v>2.66</v>
      </c>
      <c r="C2598" s="1">
        <f>IFERROR(__xludf.DUMMYFUNCTION("""COMPUTED_VALUE"""),2.76)</f>
        <v>2.76</v>
      </c>
      <c r="D2598" s="1">
        <f>IFERROR(__xludf.DUMMYFUNCTION("""COMPUTED_VALUE"""),2.65)</f>
        <v>2.65</v>
      </c>
      <c r="E2598" s="1">
        <f>IFERROR(__xludf.DUMMYFUNCTION("""COMPUTED_VALUE"""),2.71)</f>
        <v>2.71</v>
      </c>
      <c r="F2598" s="1">
        <f>IFERROR(__xludf.DUMMYFUNCTION("""COMPUTED_VALUE"""),597337.0)</f>
        <v>597337</v>
      </c>
    </row>
    <row r="2599">
      <c r="A2599" s="2">
        <f>IFERROR(__xludf.DUMMYFUNCTION("""COMPUTED_VALUE"""),42937.66666666667)</f>
        <v>42937.66667</v>
      </c>
      <c r="B2599" s="1">
        <f>IFERROR(__xludf.DUMMYFUNCTION("""COMPUTED_VALUE"""),2.65)</f>
        <v>2.65</v>
      </c>
      <c r="C2599" s="1">
        <f>IFERROR(__xludf.DUMMYFUNCTION("""COMPUTED_VALUE"""),2.66)</f>
        <v>2.66</v>
      </c>
      <c r="D2599" s="1">
        <f>IFERROR(__xludf.DUMMYFUNCTION("""COMPUTED_VALUE"""),2.49)</f>
        <v>2.49</v>
      </c>
      <c r="E2599" s="1">
        <f>IFERROR(__xludf.DUMMYFUNCTION("""COMPUTED_VALUE"""),2.57)</f>
        <v>2.57</v>
      </c>
      <c r="F2599" s="1">
        <f>IFERROR(__xludf.DUMMYFUNCTION("""COMPUTED_VALUE"""),1485100.0)</f>
        <v>1485100</v>
      </c>
    </row>
    <row r="2600">
      <c r="A2600" s="2">
        <f>IFERROR(__xludf.DUMMYFUNCTION("""COMPUTED_VALUE"""),42940.66666666667)</f>
        <v>42940.66667</v>
      </c>
      <c r="B2600" s="1">
        <f>IFERROR(__xludf.DUMMYFUNCTION("""COMPUTED_VALUE"""),2.58)</f>
        <v>2.58</v>
      </c>
      <c r="C2600" s="1">
        <f>IFERROR(__xludf.DUMMYFUNCTION("""COMPUTED_VALUE"""),2.58)</f>
        <v>2.58</v>
      </c>
      <c r="D2600" s="1">
        <f>IFERROR(__xludf.DUMMYFUNCTION("""COMPUTED_VALUE"""),2.5)</f>
        <v>2.5</v>
      </c>
      <c r="E2600" s="1">
        <f>IFERROR(__xludf.DUMMYFUNCTION("""COMPUTED_VALUE"""),2.53)</f>
        <v>2.53</v>
      </c>
      <c r="F2600" s="1">
        <f>IFERROR(__xludf.DUMMYFUNCTION("""COMPUTED_VALUE"""),481827.0)</f>
        <v>481827</v>
      </c>
    </row>
    <row r="2601">
      <c r="A2601" s="2">
        <f>IFERROR(__xludf.DUMMYFUNCTION("""COMPUTED_VALUE"""),42941.66666666667)</f>
        <v>42941.66667</v>
      </c>
      <c r="B2601" s="1">
        <f>IFERROR(__xludf.DUMMYFUNCTION("""COMPUTED_VALUE"""),2.53)</f>
        <v>2.53</v>
      </c>
      <c r="C2601" s="1">
        <f>IFERROR(__xludf.DUMMYFUNCTION("""COMPUTED_VALUE"""),2.65)</f>
        <v>2.65</v>
      </c>
      <c r="D2601" s="1">
        <f>IFERROR(__xludf.DUMMYFUNCTION("""COMPUTED_VALUE"""),2.53)</f>
        <v>2.53</v>
      </c>
      <c r="E2601" s="1">
        <f>IFERROR(__xludf.DUMMYFUNCTION("""COMPUTED_VALUE"""),2.65)</f>
        <v>2.65</v>
      </c>
      <c r="F2601" s="1">
        <f>IFERROR(__xludf.DUMMYFUNCTION("""COMPUTED_VALUE"""),528719.0)</f>
        <v>528719</v>
      </c>
    </row>
    <row r="2602">
      <c r="A2602" s="2">
        <f>IFERROR(__xludf.DUMMYFUNCTION("""COMPUTED_VALUE"""),42942.66666666667)</f>
        <v>42942.66667</v>
      </c>
      <c r="B2602" s="1">
        <f>IFERROR(__xludf.DUMMYFUNCTION("""COMPUTED_VALUE"""),2.66)</f>
        <v>2.66</v>
      </c>
      <c r="C2602" s="1">
        <f>IFERROR(__xludf.DUMMYFUNCTION("""COMPUTED_VALUE"""),2.7)</f>
        <v>2.7</v>
      </c>
      <c r="D2602" s="1">
        <f>IFERROR(__xludf.DUMMYFUNCTION("""COMPUTED_VALUE"""),2.63)</f>
        <v>2.63</v>
      </c>
      <c r="E2602" s="1">
        <f>IFERROR(__xludf.DUMMYFUNCTION("""COMPUTED_VALUE"""),2.69)</f>
        <v>2.69</v>
      </c>
      <c r="F2602" s="1">
        <f>IFERROR(__xludf.DUMMYFUNCTION("""COMPUTED_VALUE"""),433558.0)</f>
        <v>433558</v>
      </c>
    </row>
    <row r="2603">
      <c r="A2603" s="2">
        <f>IFERROR(__xludf.DUMMYFUNCTION("""COMPUTED_VALUE"""),42943.66666666667)</f>
        <v>42943.66667</v>
      </c>
      <c r="B2603" s="1">
        <f>IFERROR(__xludf.DUMMYFUNCTION("""COMPUTED_VALUE"""),2.7)</f>
        <v>2.7</v>
      </c>
      <c r="C2603" s="1">
        <f>IFERROR(__xludf.DUMMYFUNCTION("""COMPUTED_VALUE"""),2.72)</f>
        <v>2.72</v>
      </c>
      <c r="D2603" s="1">
        <f>IFERROR(__xludf.DUMMYFUNCTION("""COMPUTED_VALUE"""),2.67)</f>
        <v>2.67</v>
      </c>
      <c r="E2603" s="1">
        <f>IFERROR(__xludf.DUMMYFUNCTION("""COMPUTED_VALUE"""),2.71)</f>
        <v>2.71</v>
      </c>
      <c r="F2603" s="1">
        <f>IFERROR(__xludf.DUMMYFUNCTION("""COMPUTED_VALUE"""),472612.0)</f>
        <v>472612</v>
      </c>
    </row>
    <row r="2604">
      <c r="A2604" s="2">
        <f>IFERROR(__xludf.DUMMYFUNCTION("""COMPUTED_VALUE"""),42944.66666666667)</f>
        <v>42944.66667</v>
      </c>
      <c r="B2604" s="1">
        <f>IFERROR(__xludf.DUMMYFUNCTION("""COMPUTED_VALUE"""),2.7)</f>
        <v>2.7</v>
      </c>
      <c r="C2604" s="1">
        <f>IFERROR(__xludf.DUMMYFUNCTION("""COMPUTED_VALUE"""),2.74)</f>
        <v>2.74</v>
      </c>
      <c r="D2604" s="1">
        <f>IFERROR(__xludf.DUMMYFUNCTION("""COMPUTED_VALUE"""),2.68)</f>
        <v>2.68</v>
      </c>
      <c r="E2604" s="1">
        <f>IFERROR(__xludf.DUMMYFUNCTION("""COMPUTED_VALUE"""),2.68)</f>
        <v>2.68</v>
      </c>
      <c r="F2604" s="1">
        <f>IFERROR(__xludf.DUMMYFUNCTION("""COMPUTED_VALUE"""),492441.0)</f>
        <v>492441</v>
      </c>
    </row>
    <row r="2605">
      <c r="A2605" s="2">
        <f>IFERROR(__xludf.DUMMYFUNCTION("""COMPUTED_VALUE"""),42947.66666666667)</f>
        <v>42947.66667</v>
      </c>
      <c r="B2605" s="1">
        <f>IFERROR(__xludf.DUMMYFUNCTION("""COMPUTED_VALUE"""),2.7)</f>
        <v>2.7</v>
      </c>
      <c r="C2605" s="1">
        <f>IFERROR(__xludf.DUMMYFUNCTION("""COMPUTED_VALUE"""),2.7)</f>
        <v>2.7</v>
      </c>
      <c r="D2605" s="1">
        <f>IFERROR(__xludf.DUMMYFUNCTION("""COMPUTED_VALUE"""),2.64)</f>
        <v>2.64</v>
      </c>
      <c r="E2605" s="1">
        <f>IFERROR(__xludf.DUMMYFUNCTION("""COMPUTED_VALUE"""),2.69)</f>
        <v>2.69</v>
      </c>
      <c r="F2605" s="1">
        <f>IFERROR(__xludf.DUMMYFUNCTION("""COMPUTED_VALUE"""),408270.0)</f>
        <v>408270</v>
      </c>
    </row>
    <row r="2606">
      <c r="A2606" s="2">
        <f>IFERROR(__xludf.DUMMYFUNCTION("""COMPUTED_VALUE"""),42948.66666666667)</f>
        <v>42948.66667</v>
      </c>
      <c r="B2606" s="1">
        <f>IFERROR(__xludf.DUMMYFUNCTION("""COMPUTED_VALUE"""),2.69)</f>
        <v>2.69</v>
      </c>
      <c r="C2606" s="1">
        <f>IFERROR(__xludf.DUMMYFUNCTION("""COMPUTED_VALUE"""),2.73)</f>
        <v>2.73</v>
      </c>
      <c r="D2606" s="1">
        <f>IFERROR(__xludf.DUMMYFUNCTION("""COMPUTED_VALUE"""),2.68)</f>
        <v>2.68</v>
      </c>
      <c r="E2606" s="1">
        <f>IFERROR(__xludf.DUMMYFUNCTION("""COMPUTED_VALUE"""),2.71)</f>
        <v>2.71</v>
      </c>
      <c r="F2606" s="1">
        <f>IFERROR(__xludf.DUMMYFUNCTION("""COMPUTED_VALUE"""),380095.0)</f>
        <v>380095</v>
      </c>
    </row>
    <row r="2607">
      <c r="A2607" s="2">
        <f>IFERROR(__xludf.DUMMYFUNCTION("""COMPUTED_VALUE"""),42949.66666666667)</f>
        <v>42949.66667</v>
      </c>
      <c r="B2607" s="1">
        <f>IFERROR(__xludf.DUMMYFUNCTION("""COMPUTED_VALUE"""),2.72)</f>
        <v>2.72</v>
      </c>
      <c r="C2607" s="1">
        <f>IFERROR(__xludf.DUMMYFUNCTION("""COMPUTED_VALUE"""),2.73)</f>
        <v>2.73</v>
      </c>
      <c r="D2607" s="1">
        <f>IFERROR(__xludf.DUMMYFUNCTION("""COMPUTED_VALUE"""),2.69)</f>
        <v>2.69</v>
      </c>
      <c r="E2607" s="1">
        <f>IFERROR(__xludf.DUMMYFUNCTION("""COMPUTED_VALUE"""),2.7)</f>
        <v>2.7</v>
      </c>
      <c r="F2607" s="1">
        <f>IFERROR(__xludf.DUMMYFUNCTION("""COMPUTED_VALUE"""),357548.0)</f>
        <v>357548</v>
      </c>
    </row>
    <row r="2608">
      <c r="A2608" s="2">
        <f>IFERROR(__xludf.DUMMYFUNCTION("""COMPUTED_VALUE"""),42950.66666666667)</f>
        <v>42950.66667</v>
      </c>
      <c r="B2608" s="1">
        <f>IFERROR(__xludf.DUMMYFUNCTION("""COMPUTED_VALUE"""),2.71)</f>
        <v>2.71</v>
      </c>
      <c r="C2608" s="1">
        <f>IFERROR(__xludf.DUMMYFUNCTION("""COMPUTED_VALUE"""),2.73)</f>
        <v>2.73</v>
      </c>
      <c r="D2608" s="1">
        <f>IFERROR(__xludf.DUMMYFUNCTION("""COMPUTED_VALUE"""),2.66)</f>
        <v>2.66</v>
      </c>
      <c r="E2608" s="1">
        <f>IFERROR(__xludf.DUMMYFUNCTION("""COMPUTED_VALUE"""),2.71)</f>
        <v>2.71</v>
      </c>
      <c r="F2608" s="1">
        <f>IFERROR(__xludf.DUMMYFUNCTION("""COMPUTED_VALUE"""),500871.0)</f>
        <v>500871</v>
      </c>
    </row>
    <row r="2609">
      <c r="A2609" s="2">
        <f>IFERROR(__xludf.DUMMYFUNCTION("""COMPUTED_VALUE"""),42951.66666666667)</f>
        <v>42951.66667</v>
      </c>
      <c r="B2609" s="1">
        <f>IFERROR(__xludf.DUMMYFUNCTION("""COMPUTED_VALUE"""),2.65)</f>
        <v>2.65</v>
      </c>
      <c r="C2609" s="1">
        <f>IFERROR(__xludf.DUMMYFUNCTION("""COMPUTED_VALUE"""),2.78)</f>
        <v>2.78</v>
      </c>
      <c r="D2609" s="1">
        <f>IFERROR(__xludf.DUMMYFUNCTION("""COMPUTED_VALUE"""),2.55)</f>
        <v>2.55</v>
      </c>
      <c r="E2609" s="1">
        <f>IFERROR(__xludf.DUMMYFUNCTION("""COMPUTED_VALUE"""),2.71)</f>
        <v>2.71</v>
      </c>
      <c r="F2609" s="1">
        <f>IFERROR(__xludf.DUMMYFUNCTION("""COMPUTED_VALUE"""),1173782.0)</f>
        <v>1173782</v>
      </c>
    </row>
    <row r="2610">
      <c r="A2610" s="2">
        <f>IFERROR(__xludf.DUMMYFUNCTION("""COMPUTED_VALUE"""),42954.66666666667)</f>
        <v>42954.66667</v>
      </c>
      <c r="B2610" s="1">
        <f>IFERROR(__xludf.DUMMYFUNCTION("""COMPUTED_VALUE"""),2.71)</f>
        <v>2.71</v>
      </c>
      <c r="C2610" s="1">
        <f>IFERROR(__xludf.DUMMYFUNCTION("""COMPUTED_VALUE"""),2.72)</f>
        <v>2.72</v>
      </c>
      <c r="D2610" s="1">
        <f>IFERROR(__xludf.DUMMYFUNCTION("""COMPUTED_VALUE"""),2.68)</f>
        <v>2.68</v>
      </c>
      <c r="E2610" s="1">
        <f>IFERROR(__xludf.DUMMYFUNCTION("""COMPUTED_VALUE"""),2.7)</f>
        <v>2.7</v>
      </c>
      <c r="F2610" s="1">
        <f>IFERROR(__xludf.DUMMYFUNCTION("""COMPUTED_VALUE"""),608706.0)</f>
        <v>608706</v>
      </c>
    </row>
    <row r="2611">
      <c r="A2611" s="2">
        <f>IFERROR(__xludf.DUMMYFUNCTION("""COMPUTED_VALUE"""),42955.66666666667)</f>
        <v>42955.66667</v>
      </c>
      <c r="B2611" s="1">
        <f>IFERROR(__xludf.DUMMYFUNCTION("""COMPUTED_VALUE"""),2.69)</f>
        <v>2.69</v>
      </c>
      <c r="C2611" s="1">
        <f>IFERROR(__xludf.DUMMYFUNCTION("""COMPUTED_VALUE"""),2.71)</f>
        <v>2.71</v>
      </c>
      <c r="D2611" s="1">
        <f>IFERROR(__xludf.DUMMYFUNCTION("""COMPUTED_VALUE"""),2.66)</f>
        <v>2.66</v>
      </c>
      <c r="E2611" s="1">
        <f>IFERROR(__xludf.DUMMYFUNCTION("""COMPUTED_VALUE"""),2.68)</f>
        <v>2.68</v>
      </c>
      <c r="F2611" s="1">
        <f>IFERROR(__xludf.DUMMYFUNCTION("""COMPUTED_VALUE"""),626580.0)</f>
        <v>626580</v>
      </c>
    </row>
    <row r="2612">
      <c r="A2612" s="2">
        <f>IFERROR(__xludf.DUMMYFUNCTION("""COMPUTED_VALUE"""),42956.66666666667)</f>
        <v>42956.66667</v>
      </c>
      <c r="B2612" s="1">
        <f>IFERROR(__xludf.DUMMYFUNCTION("""COMPUTED_VALUE"""),2.66)</f>
        <v>2.66</v>
      </c>
      <c r="C2612" s="1">
        <f>IFERROR(__xludf.DUMMYFUNCTION("""COMPUTED_VALUE"""),2.72)</f>
        <v>2.72</v>
      </c>
      <c r="D2612" s="1">
        <f>IFERROR(__xludf.DUMMYFUNCTION("""COMPUTED_VALUE"""),2.63)</f>
        <v>2.63</v>
      </c>
      <c r="E2612" s="1">
        <f>IFERROR(__xludf.DUMMYFUNCTION("""COMPUTED_VALUE"""),2.68)</f>
        <v>2.68</v>
      </c>
      <c r="F2612" s="1">
        <f>IFERROR(__xludf.DUMMYFUNCTION("""COMPUTED_VALUE"""),398802.0)</f>
        <v>398802</v>
      </c>
    </row>
    <row r="2613">
      <c r="A2613" s="2">
        <f>IFERROR(__xludf.DUMMYFUNCTION("""COMPUTED_VALUE"""),42957.66666666667)</f>
        <v>42957.66667</v>
      </c>
      <c r="B2613" s="1">
        <f>IFERROR(__xludf.DUMMYFUNCTION("""COMPUTED_VALUE"""),2.67)</f>
        <v>2.67</v>
      </c>
      <c r="C2613" s="1">
        <f>IFERROR(__xludf.DUMMYFUNCTION("""COMPUTED_VALUE"""),2.68)</f>
        <v>2.68</v>
      </c>
      <c r="D2613" s="1">
        <f>IFERROR(__xludf.DUMMYFUNCTION("""COMPUTED_VALUE"""),2.64)</f>
        <v>2.64</v>
      </c>
      <c r="E2613" s="1">
        <f>IFERROR(__xludf.DUMMYFUNCTION("""COMPUTED_VALUE"""),2.66)</f>
        <v>2.66</v>
      </c>
      <c r="F2613" s="1">
        <f>IFERROR(__xludf.DUMMYFUNCTION("""COMPUTED_VALUE"""),293280.0)</f>
        <v>293280</v>
      </c>
    </row>
    <row r="2614">
      <c r="A2614" s="2">
        <f>IFERROR(__xludf.DUMMYFUNCTION("""COMPUTED_VALUE"""),42958.66666666667)</f>
        <v>42958.66667</v>
      </c>
      <c r="B2614" s="1">
        <f>IFERROR(__xludf.DUMMYFUNCTION("""COMPUTED_VALUE"""),2.67)</f>
        <v>2.67</v>
      </c>
      <c r="C2614" s="1">
        <f>IFERROR(__xludf.DUMMYFUNCTION("""COMPUTED_VALUE"""),2.7)</f>
        <v>2.7</v>
      </c>
      <c r="D2614" s="1">
        <f>IFERROR(__xludf.DUMMYFUNCTION("""COMPUTED_VALUE"""),2.66)</f>
        <v>2.66</v>
      </c>
      <c r="E2614" s="1">
        <f>IFERROR(__xludf.DUMMYFUNCTION("""COMPUTED_VALUE"""),2.69)</f>
        <v>2.69</v>
      </c>
      <c r="F2614" s="1">
        <f>IFERROR(__xludf.DUMMYFUNCTION("""COMPUTED_VALUE"""),443729.0)</f>
        <v>443729</v>
      </c>
    </row>
    <row r="2615">
      <c r="A2615" s="2">
        <f>IFERROR(__xludf.DUMMYFUNCTION("""COMPUTED_VALUE"""),42961.66666666667)</f>
        <v>42961.66667</v>
      </c>
      <c r="B2615" s="1">
        <f>IFERROR(__xludf.DUMMYFUNCTION("""COMPUTED_VALUE"""),2.69)</f>
        <v>2.69</v>
      </c>
      <c r="C2615" s="1">
        <f>IFERROR(__xludf.DUMMYFUNCTION("""COMPUTED_VALUE"""),2.75)</f>
        <v>2.75</v>
      </c>
      <c r="D2615" s="1">
        <f>IFERROR(__xludf.DUMMYFUNCTION("""COMPUTED_VALUE"""),2.68)</f>
        <v>2.68</v>
      </c>
      <c r="E2615" s="1">
        <f>IFERROR(__xludf.DUMMYFUNCTION("""COMPUTED_VALUE"""),2.74)</f>
        <v>2.74</v>
      </c>
      <c r="F2615" s="1">
        <f>IFERROR(__xludf.DUMMYFUNCTION("""COMPUTED_VALUE"""),443695.0)</f>
        <v>443695</v>
      </c>
    </row>
    <row r="2616">
      <c r="A2616" s="2">
        <f>IFERROR(__xludf.DUMMYFUNCTION("""COMPUTED_VALUE"""),42962.66666666667)</f>
        <v>42962.66667</v>
      </c>
      <c r="B2616" s="1">
        <f>IFERROR(__xludf.DUMMYFUNCTION("""COMPUTED_VALUE"""),2.75)</f>
        <v>2.75</v>
      </c>
      <c r="C2616" s="1">
        <f>IFERROR(__xludf.DUMMYFUNCTION("""COMPUTED_VALUE"""),2.75)</f>
        <v>2.75</v>
      </c>
      <c r="D2616" s="1">
        <f>IFERROR(__xludf.DUMMYFUNCTION("""COMPUTED_VALUE"""),2.71)</f>
        <v>2.71</v>
      </c>
      <c r="E2616" s="1">
        <f>IFERROR(__xludf.DUMMYFUNCTION("""COMPUTED_VALUE"""),2.73)</f>
        <v>2.73</v>
      </c>
      <c r="F2616" s="1">
        <f>IFERROR(__xludf.DUMMYFUNCTION("""COMPUTED_VALUE"""),292021.0)</f>
        <v>292021</v>
      </c>
    </row>
    <row r="2617">
      <c r="A2617" s="2">
        <f>IFERROR(__xludf.DUMMYFUNCTION("""COMPUTED_VALUE"""),42963.66666666667)</f>
        <v>42963.66667</v>
      </c>
      <c r="B2617" s="1">
        <f>IFERROR(__xludf.DUMMYFUNCTION("""COMPUTED_VALUE"""),2.73)</f>
        <v>2.73</v>
      </c>
      <c r="C2617" s="1">
        <f>IFERROR(__xludf.DUMMYFUNCTION("""COMPUTED_VALUE"""),2.75)</f>
        <v>2.75</v>
      </c>
      <c r="D2617" s="1">
        <f>IFERROR(__xludf.DUMMYFUNCTION("""COMPUTED_VALUE"""),2.71)</f>
        <v>2.71</v>
      </c>
      <c r="E2617" s="1">
        <f>IFERROR(__xludf.DUMMYFUNCTION("""COMPUTED_VALUE"""),2.72)</f>
        <v>2.72</v>
      </c>
      <c r="F2617" s="1">
        <f>IFERROR(__xludf.DUMMYFUNCTION("""COMPUTED_VALUE"""),241013.0)</f>
        <v>241013</v>
      </c>
    </row>
    <row r="2618">
      <c r="A2618" s="2">
        <f>IFERROR(__xludf.DUMMYFUNCTION("""COMPUTED_VALUE"""),42964.66666666667)</f>
        <v>42964.66667</v>
      </c>
      <c r="B2618" s="1">
        <f>IFERROR(__xludf.DUMMYFUNCTION("""COMPUTED_VALUE"""),2.7)</f>
        <v>2.7</v>
      </c>
      <c r="C2618" s="1">
        <f>IFERROR(__xludf.DUMMYFUNCTION("""COMPUTED_VALUE"""),2.73)</f>
        <v>2.73</v>
      </c>
      <c r="D2618" s="1">
        <f>IFERROR(__xludf.DUMMYFUNCTION("""COMPUTED_VALUE"""),2.69)</f>
        <v>2.69</v>
      </c>
      <c r="E2618" s="1">
        <f>IFERROR(__xludf.DUMMYFUNCTION("""COMPUTED_VALUE"""),2.69)</f>
        <v>2.69</v>
      </c>
      <c r="F2618" s="1">
        <f>IFERROR(__xludf.DUMMYFUNCTION("""COMPUTED_VALUE"""),416333.0)</f>
        <v>416333</v>
      </c>
    </row>
    <row r="2619">
      <c r="A2619" s="2">
        <f>IFERROR(__xludf.DUMMYFUNCTION("""COMPUTED_VALUE"""),42965.66666666667)</f>
        <v>42965.66667</v>
      </c>
      <c r="B2619" s="1">
        <f>IFERROR(__xludf.DUMMYFUNCTION("""COMPUTED_VALUE"""),2.67)</f>
        <v>2.67</v>
      </c>
      <c r="C2619" s="1">
        <f>IFERROR(__xludf.DUMMYFUNCTION("""COMPUTED_VALUE"""),2.69)</f>
        <v>2.69</v>
      </c>
      <c r="D2619" s="1">
        <f>IFERROR(__xludf.DUMMYFUNCTION("""COMPUTED_VALUE"""),2.66)</f>
        <v>2.66</v>
      </c>
      <c r="E2619" s="1">
        <f>IFERROR(__xludf.DUMMYFUNCTION("""COMPUTED_VALUE"""),2.68)</f>
        <v>2.68</v>
      </c>
      <c r="F2619" s="1">
        <f>IFERROR(__xludf.DUMMYFUNCTION("""COMPUTED_VALUE"""),255277.0)</f>
        <v>255277</v>
      </c>
    </row>
    <row r="2620">
      <c r="A2620" s="2">
        <f>IFERROR(__xludf.DUMMYFUNCTION("""COMPUTED_VALUE"""),42968.66666666667)</f>
        <v>42968.66667</v>
      </c>
      <c r="B2620" s="1">
        <f>IFERROR(__xludf.DUMMYFUNCTION("""COMPUTED_VALUE"""),2.67)</f>
        <v>2.67</v>
      </c>
      <c r="C2620" s="1">
        <f>IFERROR(__xludf.DUMMYFUNCTION("""COMPUTED_VALUE"""),2.68)</f>
        <v>2.68</v>
      </c>
      <c r="D2620" s="1">
        <f>IFERROR(__xludf.DUMMYFUNCTION("""COMPUTED_VALUE"""),2.63)</f>
        <v>2.63</v>
      </c>
      <c r="E2620" s="1">
        <f>IFERROR(__xludf.DUMMYFUNCTION("""COMPUTED_VALUE"""),2.64)</f>
        <v>2.64</v>
      </c>
      <c r="F2620" s="1">
        <f>IFERROR(__xludf.DUMMYFUNCTION("""COMPUTED_VALUE"""),331822.0)</f>
        <v>331822</v>
      </c>
    </row>
    <row r="2621">
      <c r="A2621" s="2">
        <f>IFERROR(__xludf.DUMMYFUNCTION("""COMPUTED_VALUE"""),42969.66666666667)</f>
        <v>42969.66667</v>
      </c>
      <c r="B2621" s="1">
        <f>IFERROR(__xludf.DUMMYFUNCTION("""COMPUTED_VALUE"""),2.66)</f>
        <v>2.66</v>
      </c>
      <c r="C2621" s="1">
        <f>IFERROR(__xludf.DUMMYFUNCTION("""COMPUTED_VALUE"""),2.69)</f>
        <v>2.69</v>
      </c>
      <c r="D2621" s="1">
        <f>IFERROR(__xludf.DUMMYFUNCTION("""COMPUTED_VALUE"""),2.65)</f>
        <v>2.65</v>
      </c>
      <c r="E2621" s="1">
        <f>IFERROR(__xludf.DUMMYFUNCTION("""COMPUTED_VALUE"""),2.67)</f>
        <v>2.67</v>
      </c>
      <c r="F2621" s="1">
        <f>IFERROR(__xludf.DUMMYFUNCTION("""COMPUTED_VALUE"""),400452.0)</f>
        <v>400452</v>
      </c>
    </row>
    <row r="2622">
      <c r="A2622" s="2">
        <f>IFERROR(__xludf.DUMMYFUNCTION("""COMPUTED_VALUE"""),42970.66666666667)</f>
        <v>42970.66667</v>
      </c>
      <c r="B2622" s="1">
        <f>IFERROR(__xludf.DUMMYFUNCTION("""COMPUTED_VALUE"""),2.66)</f>
        <v>2.66</v>
      </c>
      <c r="C2622" s="1">
        <f>IFERROR(__xludf.DUMMYFUNCTION("""COMPUTED_VALUE"""),2.73)</f>
        <v>2.73</v>
      </c>
      <c r="D2622" s="1">
        <f>IFERROR(__xludf.DUMMYFUNCTION("""COMPUTED_VALUE"""),2.61)</f>
        <v>2.61</v>
      </c>
      <c r="E2622" s="1">
        <f>IFERROR(__xludf.DUMMYFUNCTION("""COMPUTED_VALUE"""),2.71)</f>
        <v>2.71</v>
      </c>
      <c r="F2622" s="1">
        <f>IFERROR(__xludf.DUMMYFUNCTION("""COMPUTED_VALUE"""),361260.0)</f>
        <v>361260</v>
      </c>
    </row>
    <row r="2623">
      <c r="A2623" s="2">
        <f>IFERROR(__xludf.DUMMYFUNCTION("""COMPUTED_VALUE"""),42971.66666666667)</f>
        <v>42971.66667</v>
      </c>
      <c r="B2623" s="1">
        <f>IFERROR(__xludf.DUMMYFUNCTION("""COMPUTED_VALUE"""),2.71)</f>
        <v>2.71</v>
      </c>
      <c r="C2623" s="1">
        <f>IFERROR(__xludf.DUMMYFUNCTION("""COMPUTED_VALUE"""),2.75)</f>
        <v>2.75</v>
      </c>
      <c r="D2623" s="1">
        <f>IFERROR(__xludf.DUMMYFUNCTION("""COMPUTED_VALUE"""),2.69)</f>
        <v>2.69</v>
      </c>
      <c r="E2623" s="1">
        <f>IFERROR(__xludf.DUMMYFUNCTION("""COMPUTED_VALUE"""),2.73)</f>
        <v>2.73</v>
      </c>
      <c r="F2623" s="1">
        <f>IFERROR(__xludf.DUMMYFUNCTION("""COMPUTED_VALUE"""),685325.0)</f>
        <v>685325</v>
      </c>
    </row>
    <row r="2624">
      <c r="A2624" s="2">
        <f>IFERROR(__xludf.DUMMYFUNCTION("""COMPUTED_VALUE"""),42972.66666666667)</f>
        <v>42972.66667</v>
      </c>
      <c r="B2624" s="1">
        <f>IFERROR(__xludf.DUMMYFUNCTION("""COMPUTED_VALUE"""),2.74)</f>
        <v>2.74</v>
      </c>
      <c r="C2624" s="1">
        <f>IFERROR(__xludf.DUMMYFUNCTION("""COMPUTED_VALUE"""),2.79)</f>
        <v>2.79</v>
      </c>
      <c r="D2624" s="1">
        <f>IFERROR(__xludf.DUMMYFUNCTION("""COMPUTED_VALUE"""),2.73)</f>
        <v>2.73</v>
      </c>
      <c r="E2624" s="1">
        <f>IFERROR(__xludf.DUMMYFUNCTION("""COMPUTED_VALUE"""),2.75)</f>
        <v>2.75</v>
      </c>
      <c r="F2624" s="1">
        <f>IFERROR(__xludf.DUMMYFUNCTION("""COMPUTED_VALUE"""),251802.0)</f>
        <v>251802</v>
      </c>
    </row>
    <row r="2625">
      <c r="A2625" s="2">
        <f>IFERROR(__xludf.DUMMYFUNCTION("""COMPUTED_VALUE"""),42975.66666666667)</f>
        <v>42975.66667</v>
      </c>
      <c r="B2625" s="1">
        <f>IFERROR(__xludf.DUMMYFUNCTION("""COMPUTED_VALUE"""),2.76)</f>
        <v>2.76</v>
      </c>
      <c r="C2625" s="1">
        <f>IFERROR(__xludf.DUMMYFUNCTION("""COMPUTED_VALUE"""),2.78)</f>
        <v>2.78</v>
      </c>
      <c r="D2625" s="1">
        <f>IFERROR(__xludf.DUMMYFUNCTION("""COMPUTED_VALUE"""),2.72)</f>
        <v>2.72</v>
      </c>
      <c r="E2625" s="1">
        <f>IFERROR(__xludf.DUMMYFUNCTION("""COMPUTED_VALUE"""),2.74)</f>
        <v>2.74</v>
      </c>
      <c r="F2625" s="1">
        <f>IFERROR(__xludf.DUMMYFUNCTION("""COMPUTED_VALUE"""),178941.0)</f>
        <v>178941</v>
      </c>
    </row>
    <row r="2626">
      <c r="A2626" s="2">
        <f>IFERROR(__xludf.DUMMYFUNCTION("""COMPUTED_VALUE"""),42976.66666666667)</f>
        <v>42976.66667</v>
      </c>
      <c r="B2626" s="1">
        <f>IFERROR(__xludf.DUMMYFUNCTION("""COMPUTED_VALUE"""),2.72)</f>
        <v>2.72</v>
      </c>
      <c r="C2626" s="1">
        <f>IFERROR(__xludf.DUMMYFUNCTION("""COMPUTED_VALUE"""),2.75)</f>
        <v>2.75</v>
      </c>
      <c r="D2626" s="1">
        <f>IFERROR(__xludf.DUMMYFUNCTION("""COMPUTED_VALUE"""),2.71)</f>
        <v>2.71</v>
      </c>
      <c r="E2626" s="1">
        <f>IFERROR(__xludf.DUMMYFUNCTION("""COMPUTED_VALUE"""),2.72)</f>
        <v>2.72</v>
      </c>
      <c r="F2626" s="1">
        <f>IFERROR(__xludf.DUMMYFUNCTION("""COMPUTED_VALUE"""),220011.0)</f>
        <v>220011</v>
      </c>
    </row>
    <row r="2627">
      <c r="A2627" s="2">
        <f>IFERROR(__xludf.DUMMYFUNCTION("""COMPUTED_VALUE"""),42977.66666666667)</f>
        <v>42977.66667</v>
      </c>
      <c r="B2627" s="1">
        <f>IFERROR(__xludf.DUMMYFUNCTION("""COMPUTED_VALUE"""),2.7)</f>
        <v>2.7</v>
      </c>
      <c r="C2627" s="1">
        <f>IFERROR(__xludf.DUMMYFUNCTION("""COMPUTED_VALUE"""),2.7)</f>
        <v>2.7</v>
      </c>
      <c r="D2627" s="1">
        <f>IFERROR(__xludf.DUMMYFUNCTION("""COMPUTED_VALUE"""),2.5)</f>
        <v>2.5</v>
      </c>
      <c r="E2627" s="1">
        <f>IFERROR(__xludf.DUMMYFUNCTION("""COMPUTED_VALUE"""),2.59)</f>
        <v>2.59</v>
      </c>
      <c r="F2627" s="1">
        <f>IFERROR(__xludf.DUMMYFUNCTION("""COMPUTED_VALUE"""),1355025.0)</f>
        <v>1355025</v>
      </c>
    </row>
    <row r="2628">
      <c r="A2628" s="2">
        <f>IFERROR(__xludf.DUMMYFUNCTION("""COMPUTED_VALUE"""),42978.66666666667)</f>
        <v>42978.66667</v>
      </c>
      <c r="B2628" s="1">
        <f>IFERROR(__xludf.DUMMYFUNCTION("""COMPUTED_VALUE"""),2.6)</f>
        <v>2.6</v>
      </c>
      <c r="C2628" s="1">
        <f>IFERROR(__xludf.DUMMYFUNCTION("""COMPUTED_VALUE"""),2.67)</f>
        <v>2.67</v>
      </c>
      <c r="D2628" s="1">
        <f>IFERROR(__xludf.DUMMYFUNCTION("""COMPUTED_VALUE"""),2.6)</f>
        <v>2.6</v>
      </c>
      <c r="E2628" s="1">
        <f>IFERROR(__xludf.DUMMYFUNCTION("""COMPUTED_VALUE"""),2.66)</f>
        <v>2.66</v>
      </c>
      <c r="F2628" s="1">
        <f>IFERROR(__xludf.DUMMYFUNCTION("""COMPUTED_VALUE"""),570148.0)</f>
        <v>570148</v>
      </c>
    </row>
    <row r="2629">
      <c r="A2629" s="2">
        <f>IFERROR(__xludf.DUMMYFUNCTION("""COMPUTED_VALUE"""),42979.66666666667)</f>
        <v>42979.66667</v>
      </c>
      <c r="B2629" s="1">
        <f>IFERROR(__xludf.DUMMYFUNCTION("""COMPUTED_VALUE"""),2.68)</f>
        <v>2.68</v>
      </c>
      <c r="C2629" s="1">
        <f>IFERROR(__xludf.DUMMYFUNCTION("""COMPUTED_VALUE"""),2.7)</f>
        <v>2.7</v>
      </c>
      <c r="D2629" s="1">
        <f>IFERROR(__xludf.DUMMYFUNCTION("""COMPUTED_VALUE"""),2.66)</f>
        <v>2.66</v>
      </c>
      <c r="E2629" s="1">
        <f>IFERROR(__xludf.DUMMYFUNCTION("""COMPUTED_VALUE"""),2.68)</f>
        <v>2.68</v>
      </c>
      <c r="F2629" s="1">
        <f>IFERROR(__xludf.DUMMYFUNCTION("""COMPUTED_VALUE"""),295572.0)</f>
        <v>295572</v>
      </c>
    </row>
    <row r="2630">
      <c r="A2630" s="2">
        <f>IFERROR(__xludf.DUMMYFUNCTION("""COMPUTED_VALUE"""),42983.66666666667)</f>
        <v>42983.66667</v>
      </c>
      <c r="B2630" s="1">
        <f>IFERROR(__xludf.DUMMYFUNCTION("""COMPUTED_VALUE"""),2.67)</f>
        <v>2.67</v>
      </c>
      <c r="C2630" s="1">
        <f>IFERROR(__xludf.DUMMYFUNCTION("""COMPUTED_VALUE"""),2.69)</f>
        <v>2.69</v>
      </c>
      <c r="D2630" s="1">
        <f>IFERROR(__xludf.DUMMYFUNCTION("""COMPUTED_VALUE"""),2.64)</f>
        <v>2.64</v>
      </c>
      <c r="E2630" s="1">
        <f>IFERROR(__xludf.DUMMYFUNCTION("""COMPUTED_VALUE"""),2.66)</f>
        <v>2.66</v>
      </c>
      <c r="F2630" s="1">
        <f>IFERROR(__xludf.DUMMYFUNCTION("""COMPUTED_VALUE"""),222617.0)</f>
        <v>222617</v>
      </c>
    </row>
    <row r="2631">
      <c r="A2631" s="2">
        <f>IFERROR(__xludf.DUMMYFUNCTION("""COMPUTED_VALUE"""),42984.66666666667)</f>
        <v>42984.66667</v>
      </c>
      <c r="B2631" s="1">
        <f>IFERROR(__xludf.DUMMYFUNCTION("""COMPUTED_VALUE"""),2.67)</f>
        <v>2.67</v>
      </c>
      <c r="C2631" s="1">
        <f>IFERROR(__xludf.DUMMYFUNCTION("""COMPUTED_VALUE"""),2.68)</f>
        <v>2.68</v>
      </c>
      <c r="D2631" s="1">
        <f>IFERROR(__xludf.DUMMYFUNCTION("""COMPUTED_VALUE"""),2.64)</f>
        <v>2.64</v>
      </c>
      <c r="E2631" s="1">
        <f>IFERROR(__xludf.DUMMYFUNCTION("""COMPUTED_VALUE"""),2.66)</f>
        <v>2.66</v>
      </c>
      <c r="F2631" s="1">
        <f>IFERROR(__xludf.DUMMYFUNCTION("""COMPUTED_VALUE"""),203920.0)</f>
        <v>203920</v>
      </c>
    </row>
    <row r="2632">
      <c r="A2632" s="2">
        <f>IFERROR(__xludf.DUMMYFUNCTION("""COMPUTED_VALUE"""),42985.66666666667)</f>
        <v>42985.66667</v>
      </c>
      <c r="B2632" s="1">
        <f>IFERROR(__xludf.DUMMYFUNCTION("""COMPUTED_VALUE"""),2.67)</f>
        <v>2.67</v>
      </c>
      <c r="C2632" s="1">
        <f>IFERROR(__xludf.DUMMYFUNCTION("""COMPUTED_VALUE"""),2.67)</f>
        <v>2.67</v>
      </c>
      <c r="D2632" s="1">
        <f>IFERROR(__xludf.DUMMYFUNCTION("""COMPUTED_VALUE"""),2.61)</f>
        <v>2.61</v>
      </c>
      <c r="E2632" s="1">
        <f>IFERROR(__xludf.DUMMYFUNCTION("""COMPUTED_VALUE"""),2.62)</f>
        <v>2.62</v>
      </c>
      <c r="F2632" s="1">
        <f>IFERROR(__xludf.DUMMYFUNCTION("""COMPUTED_VALUE"""),311692.0)</f>
        <v>311692</v>
      </c>
    </row>
    <row r="2633">
      <c r="A2633" s="2">
        <f>IFERROR(__xludf.DUMMYFUNCTION("""COMPUTED_VALUE"""),42986.66666666667)</f>
        <v>42986.66667</v>
      </c>
      <c r="B2633" s="1">
        <f>IFERROR(__xludf.DUMMYFUNCTION("""COMPUTED_VALUE"""),2.62)</f>
        <v>2.62</v>
      </c>
      <c r="C2633" s="1">
        <f>IFERROR(__xludf.DUMMYFUNCTION("""COMPUTED_VALUE"""),2.64)</f>
        <v>2.64</v>
      </c>
      <c r="D2633" s="1">
        <f>IFERROR(__xludf.DUMMYFUNCTION("""COMPUTED_VALUE"""),2.57)</f>
        <v>2.57</v>
      </c>
      <c r="E2633" s="1">
        <f>IFERROR(__xludf.DUMMYFUNCTION("""COMPUTED_VALUE"""),2.58)</f>
        <v>2.58</v>
      </c>
      <c r="F2633" s="1">
        <f>IFERROR(__xludf.DUMMYFUNCTION("""COMPUTED_VALUE"""),147477.0)</f>
        <v>147477</v>
      </c>
    </row>
    <row r="2634">
      <c r="A2634" s="2">
        <f>IFERROR(__xludf.DUMMYFUNCTION("""COMPUTED_VALUE"""),42989.66666666667)</f>
        <v>42989.66667</v>
      </c>
      <c r="B2634" s="1">
        <f>IFERROR(__xludf.DUMMYFUNCTION("""COMPUTED_VALUE"""),2.59)</f>
        <v>2.59</v>
      </c>
      <c r="C2634" s="1">
        <f>IFERROR(__xludf.DUMMYFUNCTION("""COMPUTED_VALUE"""),2.61)</f>
        <v>2.61</v>
      </c>
      <c r="D2634" s="1">
        <f>IFERROR(__xludf.DUMMYFUNCTION("""COMPUTED_VALUE"""),2.57)</f>
        <v>2.57</v>
      </c>
      <c r="E2634" s="1">
        <f>IFERROR(__xludf.DUMMYFUNCTION("""COMPUTED_VALUE"""),2.6)</f>
        <v>2.6</v>
      </c>
      <c r="F2634" s="1">
        <f>IFERROR(__xludf.DUMMYFUNCTION("""COMPUTED_VALUE"""),454349.0)</f>
        <v>454349</v>
      </c>
    </row>
    <row r="2635">
      <c r="A2635" s="2">
        <f>IFERROR(__xludf.DUMMYFUNCTION("""COMPUTED_VALUE"""),42990.66666666667)</f>
        <v>42990.66667</v>
      </c>
      <c r="B2635" s="1">
        <f>IFERROR(__xludf.DUMMYFUNCTION("""COMPUTED_VALUE"""),2.6)</f>
        <v>2.6</v>
      </c>
      <c r="C2635" s="1">
        <f>IFERROR(__xludf.DUMMYFUNCTION("""COMPUTED_VALUE"""),2.62)</f>
        <v>2.62</v>
      </c>
      <c r="D2635" s="1">
        <f>IFERROR(__xludf.DUMMYFUNCTION("""COMPUTED_VALUE"""),2.57)</f>
        <v>2.57</v>
      </c>
      <c r="E2635" s="1">
        <f>IFERROR(__xludf.DUMMYFUNCTION("""COMPUTED_VALUE"""),2.58)</f>
        <v>2.58</v>
      </c>
      <c r="F2635" s="1">
        <f>IFERROR(__xludf.DUMMYFUNCTION("""COMPUTED_VALUE"""),292857.0)</f>
        <v>292857</v>
      </c>
    </row>
    <row r="2636">
      <c r="A2636" s="2">
        <f>IFERROR(__xludf.DUMMYFUNCTION("""COMPUTED_VALUE"""),42991.66666666667)</f>
        <v>42991.66667</v>
      </c>
      <c r="B2636" s="1">
        <f>IFERROR(__xludf.DUMMYFUNCTION("""COMPUTED_VALUE"""),2.57)</f>
        <v>2.57</v>
      </c>
      <c r="C2636" s="1">
        <f>IFERROR(__xludf.DUMMYFUNCTION("""COMPUTED_VALUE"""),2.59)</f>
        <v>2.59</v>
      </c>
      <c r="D2636" s="1">
        <f>IFERROR(__xludf.DUMMYFUNCTION("""COMPUTED_VALUE"""),2.55)</f>
        <v>2.55</v>
      </c>
      <c r="E2636" s="1">
        <f>IFERROR(__xludf.DUMMYFUNCTION("""COMPUTED_VALUE"""),2.56)</f>
        <v>2.56</v>
      </c>
      <c r="F2636" s="1">
        <f>IFERROR(__xludf.DUMMYFUNCTION("""COMPUTED_VALUE"""),340220.0)</f>
        <v>340220</v>
      </c>
    </row>
    <row r="2637">
      <c r="A2637" s="2">
        <f>IFERROR(__xludf.DUMMYFUNCTION("""COMPUTED_VALUE"""),42992.66666666667)</f>
        <v>42992.66667</v>
      </c>
      <c r="B2637" s="1">
        <f>IFERROR(__xludf.DUMMYFUNCTION("""COMPUTED_VALUE"""),2.56)</f>
        <v>2.56</v>
      </c>
      <c r="C2637" s="1">
        <f>IFERROR(__xludf.DUMMYFUNCTION("""COMPUTED_VALUE"""),2.57)</f>
        <v>2.57</v>
      </c>
      <c r="D2637" s="1">
        <f>IFERROR(__xludf.DUMMYFUNCTION("""COMPUTED_VALUE"""),2.52)</f>
        <v>2.52</v>
      </c>
      <c r="E2637" s="1">
        <f>IFERROR(__xludf.DUMMYFUNCTION("""COMPUTED_VALUE"""),2.53)</f>
        <v>2.53</v>
      </c>
      <c r="F2637" s="1">
        <f>IFERROR(__xludf.DUMMYFUNCTION("""COMPUTED_VALUE"""),359601.0)</f>
        <v>359601</v>
      </c>
    </row>
    <row r="2638">
      <c r="A2638" s="2">
        <f>IFERROR(__xludf.DUMMYFUNCTION("""COMPUTED_VALUE"""),42993.66666666667)</f>
        <v>42993.66667</v>
      </c>
      <c r="B2638" s="1">
        <f>IFERROR(__xludf.DUMMYFUNCTION("""COMPUTED_VALUE"""),2.5)</f>
        <v>2.5</v>
      </c>
      <c r="C2638" s="1">
        <f>IFERROR(__xludf.DUMMYFUNCTION("""COMPUTED_VALUE"""),2.5)</f>
        <v>2.5</v>
      </c>
      <c r="D2638" s="1">
        <f>IFERROR(__xludf.DUMMYFUNCTION("""COMPUTED_VALUE"""),2.3)</f>
        <v>2.3</v>
      </c>
      <c r="E2638" s="1">
        <f>IFERROR(__xludf.DUMMYFUNCTION("""COMPUTED_VALUE"""),2.34)</f>
        <v>2.34</v>
      </c>
      <c r="F2638" s="1">
        <f>IFERROR(__xludf.DUMMYFUNCTION("""COMPUTED_VALUE"""),1600381.0)</f>
        <v>1600381</v>
      </c>
    </row>
    <row r="2639">
      <c r="A2639" s="2">
        <f>IFERROR(__xludf.DUMMYFUNCTION("""COMPUTED_VALUE"""),42996.66666666667)</f>
        <v>42996.66667</v>
      </c>
      <c r="B2639" s="1">
        <f>IFERROR(__xludf.DUMMYFUNCTION("""COMPUTED_VALUE"""),2.3)</f>
        <v>2.3</v>
      </c>
      <c r="C2639" s="1">
        <f>IFERROR(__xludf.DUMMYFUNCTION("""COMPUTED_VALUE"""),2.32)</f>
        <v>2.32</v>
      </c>
      <c r="D2639" s="1">
        <f>IFERROR(__xludf.DUMMYFUNCTION("""COMPUTED_VALUE"""),2.1)</f>
        <v>2.1</v>
      </c>
      <c r="E2639" s="1">
        <f>IFERROR(__xludf.DUMMYFUNCTION("""COMPUTED_VALUE"""),2.12)</f>
        <v>2.12</v>
      </c>
      <c r="F2639" s="1">
        <f>IFERROR(__xludf.DUMMYFUNCTION("""COMPUTED_VALUE"""),1920093.0)</f>
        <v>1920093</v>
      </c>
    </row>
    <row r="2640">
      <c r="A2640" s="2">
        <f>IFERROR(__xludf.DUMMYFUNCTION("""COMPUTED_VALUE"""),42997.66666666667)</f>
        <v>42997.66667</v>
      </c>
      <c r="B2640" s="1">
        <f>IFERROR(__xludf.DUMMYFUNCTION("""COMPUTED_VALUE"""),2.09)</f>
        <v>2.09</v>
      </c>
      <c r="C2640" s="1">
        <f>IFERROR(__xludf.DUMMYFUNCTION("""COMPUTED_VALUE"""),2.12)</f>
        <v>2.12</v>
      </c>
      <c r="D2640" s="1">
        <f>IFERROR(__xludf.DUMMYFUNCTION("""COMPUTED_VALUE"""),2.04)</f>
        <v>2.04</v>
      </c>
      <c r="E2640" s="1">
        <f>IFERROR(__xludf.DUMMYFUNCTION("""COMPUTED_VALUE"""),2.1)</f>
        <v>2.1</v>
      </c>
      <c r="F2640" s="1">
        <f>IFERROR(__xludf.DUMMYFUNCTION("""COMPUTED_VALUE"""),1865005.0)</f>
        <v>1865005</v>
      </c>
    </row>
    <row r="2641">
      <c r="A2641" s="2">
        <f>IFERROR(__xludf.DUMMYFUNCTION("""COMPUTED_VALUE"""),42998.66666666667)</f>
        <v>42998.66667</v>
      </c>
      <c r="B2641" s="1">
        <f>IFERROR(__xludf.DUMMYFUNCTION("""COMPUTED_VALUE"""),2.11)</f>
        <v>2.11</v>
      </c>
      <c r="C2641" s="1">
        <f>IFERROR(__xludf.DUMMYFUNCTION("""COMPUTED_VALUE"""),2.14)</f>
        <v>2.14</v>
      </c>
      <c r="D2641" s="1">
        <f>IFERROR(__xludf.DUMMYFUNCTION("""COMPUTED_VALUE"""),2.08)</f>
        <v>2.08</v>
      </c>
      <c r="E2641" s="1">
        <f>IFERROR(__xludf.DUMMYFUNCTION("""COMPUTED_VALUE"""),2.09)</f>
        <v>2.09</v>
      </c>
      <c r="F2641" s="1">
        <f>IFERROR(__xludf.DUMMYFUNCTION("""COMPUTED_VALUE"""),1182590.0)</f>
        <v>1182590</v>
      </c>
    </row>
    <row r="2642">
      <c r="A2642" s="2">
        <f>IFERROR(__xludf.DUMMYFUNCTION("""COMPUTED_VALUE"""),42999.66666666667)</f>
        <v>42999.66667</v>
      </c>
      <c r="B2642" s="1">
        <f>IFERROR(__xludf.DUMMYFUNCTION("""COMPUTED_VALUE"""),2.07)</f>
        <v>2.07</v>
      </c>
      <c r="C2642" s="1">
        <f>IFERROR(__xludf.DUMMYFUNCTION("""COMPUTED_VALUE"""),2.12)</f>
        <v>2.12</v>
      </c>
      <c r="D2642" s="1">
        <f>IFERROR(__xludf.DUMMYFUNCTION("""COMPUTED_VALUE"""),2.06)</f>
        <v>2.06</v>
      </c>
      <c r="E2642" s="1">
        <f>IFERROR(__xludf.DUMMYFUNCTION("""COMPUTED_VALUE"""),2.12)</f>
        <v>2.12</v>
      </c>
      <c r="F2642" s="1">
        <f>IFERROR(__xludf.DUMMYFUNCTION("""COMPUTED_VALUE"""),785765.0)</f>
        <v>785765</v>
      </c>
    </row>
    <row r="2643">
      <c r="A2643" s="2">
        <f>IFERROR(__xludf.DUMMYFUNCTION("""COMPUTED_VALUE"""),43000.66666666667)</f>
        <v>43000.66667</v>
      </c>
      <c r="B2643" s="1">
        <f>IFERROR(__xludf.DUMMYFUNCTION("""COMPUTED_VALUE"""),2.12)</f>
        <v>2.12</v>
      </c>
      <c r="C2643" s="1">
        <f>IFERROR(__xludf.DUMMYFUNCTION("""COMPUTED_VALUE"""),2.21)</f>
        <v>2.21</v>
      </c>
      <c r="D2643" s="1">
        <f>IFERROR(__xludf.DUMMYFUNCTION("""COMPUTED_VALUE"""),2.12)</f>
        <v>2.12</v>
      </c>
      <c r="E2643" s="1">
        <f>IFERROR(__xludf.DUMMYFUNCTION("""COMPUTED_VALUE"""),2.19)</f>
        <v>2.19</v>
      </c>
      <c r="F2643" s="1">
        <f>IFERROR(__xludf.DUMMYFUNCTION("""COMPUTED_VALUE"""),744512.0)</f>
        <v>744512</v>
      </c>
    </row>
    <row r="2644">
      <c r="A2644" s="2">
        <f>IFERROR(__xludf.DUMMYFUNCTION("""COMPUTED_VALUE"""),43003.66666666667)</f>
        <v>43003.66667</v>
      </c>
      <c r="B2644" s="1">
        <f>IFERROR(__xludf.DUMMYFUNCTION("""COMPUTED_VALUE"""),2.19)</f>
        <v>2.19</v>
      </c>
      <c r="C2644" s="1">
        <f>IFERROR(__xludf.DUMMYFUNCTION("""COMPUTED_VALUE"""),2.2)</f>
        <v>2.2</v>
      </c>
      <c r="D2644" s="1">
        <f>IFERROR(__xludf.DUMMYFUNCTION("""COMPUTED_VALUE"""),2.11)</f>
        <v>2.11</v>
      </c>
      <c r="E2644" s="1">
        <f>IFERROR(__xludf.DUMMYFUNCTION("""COMPUTED_VALUE"""),2.13)</f>
        <v>2.13</v>
      </c>
      <c r="F2644" s="1">
        <f>IFERROR(__xludf.DUMMYFUNCTION("""COMPUTED_VALUE"""),420171.0)</f>
        <v>420171</v>
      </c>
    </row>
    <row r="2645">
      <c r="A2645" s="2">
        <f>IFERROR(__xludf.DUMMYFUNCTION("""COMPUTED_VALUE"""),43004.66666666667)</f>
        <v>43004.66667</v>
      </c>
      <c r="B2645" s="1">
        <f>IFERROR(__xludf.DUMMYFUNCTION("""COMPUTED_VALUE"""),2.14)</f>
        <v>2.14</v>
      </c>
      <c r="C2645" s="1">
        <f>IFERROR(__xludf.DUMMYFUNCTION("""COMPUTED_VALUE"""),2.17)</f>
        <v>2.17</v>
      </c>
      <c r="D2645" s="1">
        <f>IFERROR(__xludf.DUMMYFUNCTION("""COMPUTED_VALUE"""),2.13)</f>
        <v>2.13</v>
      </c>
      <c r="E2645" s="1">
        <f>IFERROR(__xludf.DUMMYFUNCTION("""COMPUTED_VALUE"""),2.17)</f>
        <v>2.17</v>
      </c>
      <c r="F2645" s="1">
        <f>IFERROR(__xludf.DUMMYFUNCTION("""COMPUTED_VALUE"""),354733.0)</f>
        <v>354733</v>
      </c>
    </row>
    <row r="2646">
      <c r="A2646" s="2">
        <f>IFERROR(__xludf.DUMMYFUNCTION("""COMPUTED_VALUE"""),43005.66666666667)</f>
        <v>43005.66667</v>
      </c>
      <c r="B2646" s="1">
        <f>IFERROR(__xludf.DUMMYFUNCTION("""COMPUTED_VALUE"""),2.17)</f>
        <v>2.17</v>
      </c>
      <c r="C2646" s="1">
        <f>IFERROR(__xludf.DUMMYFUNCTION("""COMPUTED_VALUE"""),2.25)</f>
        <v>2.25</v>
      </c>
      <c r="D2646" s="1">
        <f>IFERROR(__xludf.DUMMYFUNCTION("""COMPUTED_VALUE"""),2.17)</f>
        <v>2.17</v>
      </c>
      <c r="E2646" s="1">
        <f>IFERROR(__xludf.DUMMYFUNCTION("""COMPUTED_VALUE"""),2.23)</f>
        <v>2.23</v>
      </c>
      <c r="F2646" s="1">
        <f>IFERROR(__xludf.DUMMYFUNCTION("""COMPUTED_VALUE"""),491556.0)</f>
        <v>491556</v>
      </c>
    </row>
    <row r="2647">
      <c r="A2647" s="2">
        <f>IFERROR(__xludf.DUMMYFUNCTION("""COMPUTED_VALUE"""),43006.66666666667)</f>
        <v>43006.66667</v>
      </c>
      <c r="B2647" s="1">
        <f>IFERROR(__xludf.DUMMYFUNCTION("""COMPUTED_VALUE"""),2.23)</f>
        <v>2.23</v>
      </c>
      <c r="C2647" s="1">
        <f>IFERROR(__xludf.DUMMYFUNCTION("""COMPUTED_VALUE"""),2.25)</f>
        <v>2.25</v>
      </c>
      <c r="D2647" s="1">
        <f>IFERROR(__xludf.DUMMYFUNCTION("""COMPUTED_VALUE"""),2.19)</f>
        <v>2.19</v>
      </c>
      <c r="E2647" s="1">
        <f>IFERROR(__xludf.DUMMYFUNCTION("""COMPUTED_VALUE"""),2.19)</f>
        <v>2.19</v>
      </c>
      <c r="F2647" s="1">
        <f>IFERROR(__xludf.DUMMYFUNCTION("""COMPUTED_VALUE"""),444582.0)</f>
        <v>444582</v>
      </c>
    </row>
    <row r="2648">
      <c r="A2648" s="2">
        <f>IFERROR(__xludf.DUMMYFUNCTION("""COMPUTED_VALUE"""),43007.66666666667)</f>
        <v>43007.66667</v>
      </c>
      <c r="B2648" s="1">
        <f>IFERROR(__xludf.DUMMYFUNCTION("""COMPUTED_VALUE"""),2.19)</f>
        <v>2.19</v>
      </c>
      <c r="C2648" s="1">
        <f>IFERROR(__xludf.DUMMYFUNCTION("""COMPUTED_VALUE"""),2.28)</f>
        <v>2.28</v>
      </c>
      <c r="D2648" s="1">
        <f>IFERROR(__xludf.DUMMYFUNCTION("""COMPUTED_VALUE"""),2.18)</f>
        <v>2.18</v>
      </c>
      <c r="E2648" s="1">
        <f>IFERROR(__xludf.DUMMYFUNCTION("""COMPUTED_VALUE"""),2.21)</f>
        <v>2.21</v>
      </c>
      <c r="F2648" s="1">
        <f>IFERROR(__xludf.DUMMYFUNCTION("""COMPUTED_VALUE"""),1139083.0)</f>
        <v>1139083</v>
      </c>
    </row>
    <row r="2649">
      <c r="A2649" s="2">
        <f>IFERROR(__xludf.DUMMYFUNCTION("""COMPUTED_VALUE"""),43010.66666666667)</f>
        <v>43010.66667</v>
      </c>
      <c r="B2649" s="1">
        <f>IFERROR(__xludf.DUMMYFUNCTION("""COMPUTED_VALUE"""),2.24)</f>
        <v>2.24</v>
      </c>
      <c r="C2649" s="1">
        <f>IFERROR(__xludf.DUMMYFUNCTION("""COMPUTED_VALUE"""),2.33)</f>
        <v>2.33</v>
      </c>
      <c r="D2649" s="1">
        <f>IFERROR(__xludf.DUMMYFUNCTION("""COMPUTED_VALUE"""),2.23)</f>
        <v>2.23</v>
      </c>
      <c r="E2649" s="1">
        <f>IFERROR(__xludf.DUMMYFUNCTION("""COMPUTED_VALUE"""),2.33)</f>
        <v>2.33</v>
      </c>
      <c r="F2649" s="1">
        <f>IFERROR(__xludf.DUMMYFUNCTION("""COMPUTED_VALUE"""),832177.0)</f>
        <v>832177</v>
      </c>
    </row>
    <row r="2650">
      <c r="A2650" s="2">
        <f>IFERROR(__xludf.DUMMYFUNCTION("""COMPUTED_VALUE"""),43011.66666666667)</f>
        <v>43011.66667</v>
      </c>
      <c r="B2650" s="1">
        <f>IFERROR(__xludf.DUMMYFUNCTION("""COMPUTED_VALUE"""),2.31)</f>
        <v>2.31</v>
      </c>
      <c r="C2650" s="1">
        <f>IFERROR(__xludf.DUMMYFUNCTION("""COMPUTED_VALUE"""),2.35)</f>
        <v>2.35</v>
      </c>
      <c r="D2650" s="1">
        <f>IFERROR(__xludf.DUMMYFUNCTION("""COMPUTED_VALUE"""),2.27)</f>
        <v>2.27</v>
      </c>
      <c r="E2650" s="1">
        <f>IFERROR(__xludf.DUMMYFUNCTION("""COMPUTED_VALUE"""),2.28)</f>
        <v>2.28</v>
      </c>
      <c r="F2650" s="1">
        <f>IFERROR(__xludf.DUMMYFUNCTION("""COMPUTED_VALUE"""),638999.0)</f>
        <v>638999</v>
      </c>
    </row>
    <row r="2651">
      <c r="A2651" s="2">
        <f>IFERROR(__xludf.DUMMYFUNCTION("""COMPUTED_VALUE"""),43012.66666666667)</f>
        <v>43012.66667</v>
      </c>
      <c r="B2651" s="1">
        <f>IFERROR(__xludf.DUMMYFUNCTION("""COMPUTED_VALUE"""),2.28)</f>
        <v>2.28</v>
      </c>
      <c r="C2651" s="1">
        <f>IFERROR(__xludf.DUMMYFUNCTION("""COMPUTED_VALUE"""),2.32)</f>
        <v>2.32</v>
      </c>
      <c r="D2651" s="1">
        <f>IFERROR(__xludf.DUMMYFUNCTION("""COMPUTED_VALUE"""),2.28)</f>
        <v>2.28</v>
      </c>
      <c r="E2651" s="1">
        <f>IFERROR(__xludf.DUMMYFUNCTION("""COMPUTED_VALUE"""),2.3)</f>
        <v>2.3</v>
      </c>
      <c r="F2651" s="1">
        <f>IFERROR(__xludf.DUMMYFUNCTION("""COMPUTED_VALUE"""),237922.0)</f>
        <v>237922</v>
      </c>
    </row>
    <row r="2652">
      <c r="A2652" s="2">
        <f>IFERROR(__xludf.DUMMYFUNCTION("""COMPUTED_VALUE"""),43013.66666666667)</f>
        <v>43013.66667</v>
      </c>
      <c r="B2652" s="1">
        <f>IFERROR(__xludf.DUMMYFUNCTION("""COMPUTED_VALUE"""),2.31)</f>
        <v>2.31</v>
      </c>
      <c r="C2652" s="1">
        <f>IFERROR(__xludf.DUMMYFUNCTION("""COMPUTED_VALUE"""),2.32)</f>
        <v>2.32</v>
      </c>
      <c r="D2652" s="1">
        <f>IFERROR(__xludf.DUMMYFUNCTION("""COMPUTED_VALUE"""),2.26)</f>
        <v>2.26</v>
      </c>
      <c r="E2652" s="1">
        <f>IFERROR(__xludf.DUMMYFUNCTION("""COMPUTED_VALUE"""),2.3)</f>
        <v>2.3</v>
      </c>
      <c r="F2652" s="1">
        <f>IFERROR(__xludf.DUMMYFUNCTION("""COMPUTED_VALUE"""),487835.0)</f>
        <v>487835</v>
      </c>
    </row>
    <row r="2653">
      <c r="A2653" s="2">
        <f>IFERROR(__xludf.DUMMYFUNCTION("""COMPUTED_VALUE"""),43014.66666666667)</f>
        <v>43014.66667</v>
      </c>
      <c r="B2653" s="1">
        <f>IFERROR(__xludf.DUMMYFUNCTION("""COMPUTED_VALUE"""),2.29)</f>
        <v>2.29</v>
      </c>
      <c r="C2653" s="1">
        <f>IFERROR(__xludf.DUMMYFUNCTION("""COMPUTED_VALUE"""),2.29)</f>
        <v>2.29</v>
      </c>
      <c r="D2653" s="1">
        <f>IFERROR(__xludf.DUMMYFUNCTION("""COMPUTED_VALUE"""),2.26)</f>
        <v>2.26</v>
      </c>
      <c r="E2653" s="1">
        <f>IFERROR(__xludf.DUMMYFUNCTION("""COMPUTED_VALUE"""),2.28)</f>
        <v>2.28</v>
      </c>
      <c r="F2653" s="1">
        <f>IFERROR(__xludf.DUMMYFUNCTION("""COMPUTED_VALUE"""),342933.0)</f>
        <v>342933</v>
      </c>
    </row>
    <row r="2654">
      <c r="A2654" s="2">
        <f>IFERROR(__xludf.DUMMYFUNCTION("""COMPUTED_VALUE"""),43017.66666666667)</f>
        <v>43017.66667</v>
      </c>
      <c r="B2654" s="1">
        <f>IFERROR(__xludf.DUMMYFUNCTION("""COMPUTED_VALUE"""),2.28)</f>
        <v>2.28</v>
      </c>
      <c r="C2654" s="1">
        <f>IFERROR(__xludf.DUMMYFUNCTION("""COMPUTED_VALUE"""),2.29)</f>
        <v>2.29</v>
      </c>
      <c r="D2654" s="1">
        <f>IFERROR(__xludf.DUMMYFUNCTION("""COMPUTED_VALUE"""),2.26)</f>
        <v>2.26</v>
      </c>
      <c r="E2654" s="1">
        <f>IFERROR(__xludf.DUMMYFUNCTION("""COMPUTED_VALUE"""),2.27)</f>
        <v>2.27</v>
      </c>
      <c r="F2654" s="1">
        <f>IFERROR(__xludf.DUMMYFUNCTION("""COMPUTED_VALUE"""),349207.0)</f>
        <v>349207</v>
      </c>
    </row>
    <row r="2655">
      <c r="A2655" s="2">
        <f>IFERROR(__xludf.DUMMYFUNCTION("""COMPUTED_VALUE"""),43018.66666666667)</f>
        <v>43018.66667</v>
      </c>
      <c r="B2655" s="1">
        <f>IFERROR(__xludf.DUMMYFUNCTION("""COMPUTED_VALUE"""),2.28)</f>
        <v>2.28</v>
      </c>
      <c r="C2655" s="1">
        <f>IFERROR(__xludf.DUMMYFUNCTION("""COMPUTED_VALUE"""),2.29)</f>
        <v>2.29</v>
      </c>
      <c r="D2655" s="1">
        <f>IFERROR(__xludf.DUMMYFUNCTION("""COMPUTED_VALUE"""),2.25)</f>
        <v>2.25</v>
      </c>
      <c r="E2655" s="1">
        <f>IFERROR(__xludf.DUMMYFUNCTION("""COMPUTED_VALUE"""),2.26)</f>
        <v>2.26</v>
      </c>
      <c r="F2655" s="1">
        <f>IFERROR(__xludf.DUMMYFUNCTION("""COMPUTED_VALUE"""),354300.0)</f>
        <v>354300</v>
      </c>
    </row>
    <row r="2656">
      <c r="A2656" s="2">
        <f>IFERROR(__xludf.DUMMYFUNCTION("""COMPUTED_VALUE"""),43019.66666666667)</f>
        <v>43019.66667</v>
      </c>
      <c r="B2656" s="1">
        <f>IFERROR(__xludf.DUMMYFUNCTION("""COMPUTED_VALUE"""),2.24)</f>
        <v>2.24</v>
      </c>
      <c r="C2656" s="1">
        <f>IFERROR(__xludf.DUMMYFUNCTION("""COMPUTED_VALUE"""),2.28)</f>
        <v>2.28</v>
      </c>
      <c r="D2656" s="1">
        <f>IFERROR(__xludf.DUMMYFUNCTION("""COMPUTED_VALUE"""),2.24)</f>
        <v>2.24</v>
      </c>
      <c r="E2656" s="1">
        <f>IFERROR(__xludf.DUMMYFUNCTION("""COMPUTED_VALUE"""),2.25)</f>
        <v>2.25</v>
      </c>
      <c r="F2656" s="1">
        <f>IFERROR(__xludf.DUMMYFUNCTION("""COMPUTED_VALUE"""),387350.0)</f>
        <v>387350</v>
      </c>
    </row>
    <row r="2657">
      <c r="A2657" s="2">
        <f>IFERROR(__xludf.DUMMYFUNCTION("""COMPUTED_VALUE"""),43020.66666666667)</f>
        <v>43020.66667</v>
      </c>
      <c r="B2657" s="1">
        <f>IFERROR(__xludf.DUMMYFUNCTION("""COMPUTED_VALUE"""),2.24)</f>
        <v>2.24</v>
      </c>
      <c r="C2657" s="1">
        <f>IFERROR(__xludf.DUMMYFUNCTION("""COMPUTED_VALUE"""),2.26)</f>
        <v>2.26</v>
      </c>
      <c r="D2657" s="1">
        <f>IFERROR(__xludf.DUMMYFUNCTION("""COMPUTED_VALUE"""),2.23)</f>
        <v>2.23</v>
      </c>
      <c r="E2657" s="1">
        <f>IFERROR(__xludf.DUMMYFUNCTION("""COMPUTED_VALUE"""),2.25)</f>
        <v>2.25</v>
      </c>
      <c r="F2657" s="1">
        <f>IFERROR(__xludf.DUMMYFUNCTION("""COMPUTED_VALUE"""),406019.0)</f>
        <v>406019</v>
      </c>
    </row>
    <row r="2658">
      <c r="A2658" s="2">
        <f>IFERROR(__xludf.DUMMYFUNCTION("""COMPUTED_VALUE"""),43021.66666666667)</f>
        <v>43021.66667</v>
      </c>
      <c r="B2658" s="1">
        <f>IFERROR(__xludf.DUMMYFUNCTION("""COMPUTED_VALUE"""),2.27)</f>
        <v>2.27</v>
      </c>
      <c r="C2658" s="1">
        <f>IFERROR(__xludf.DUMMYFUNCTION("""COMPUTED_VALUE"""),2.31)</f>
        <v>2.31</v>
      </c>
      <c r="D2658" s="1">
        <f>IFERROR(__xludf.DUMMYFUNCTION("""COMPUTED_VALUE"""),2.26)</f>
        <v>2.26</v>
      </c>
      <c r="E2658" s="1">
        <f>IFERROR(__xludf.DUMMYFUNCTION("""COMPUTED_VALUE"""),2.26)</f>
        <v>2.26</v>
      </c>
      <c r="F2658" s="1">
        <f>IFERROR(__xludf.DUMMYFUNCTION("""COMPUTED_VALUE"""),283486.0)</f>
        <v>283486</v>
      </c>
    </row>
    <row r="2659">
      <c r="A2659" s="2">
        <f>IFERROR(__xludf.DUMMYFUNCTION("""COMPUTED_VALUE"""),43024.66666666667)</f>
        <v>43024.66667</v>
      </c>
      <c r="B2659" s="1">
        <f>IFERROR(__xludf.DUMMYFUNCTION("""COMPUTED_VALUE"""),2.26)</f>
        <v>2.26</v>
      </c>
      <c r="C2659" s="1">
        <f>IFERROR(__xludf.DUMMYFUNCTION("""COMPUTED_VALUE"""),2.28)</f>
        <v>2.28</v>
      </c>
      <c r="D2659" s="1">
        <f>IFERROR(__xludf.DUMMYFUNCTION("""COMPUTED_VALUE"""),2.23)</f>
        <v>2.23</v>
      </c>
      <c r="E2659" s="1">
        <f>IFERROR(__xludf.DUMMYFUNCTION("""COMPUTED_VALUE"""),2.25)</f>
        <v>2.25</v>
      </c>
      <c r="F2659" s="1">
        <f>IFERROR(__xludf.DUMMYFUNCTION("""COMPUTED_VALUE"""),228479.0)</f>
        <v>228479</v>
      </c>
    </row>
    <row r="2660">
      <c r="A2660" s="2">
        <f>IFERROR(__xludf.DUMMYFUNCTION("""COMPUTED_VALUE"""),43025.66666666667)</f>
        <v>43025.66667</v>
      </c>
      <c r="B2660" s="1">
        <f>IFERROR(__xludf.DUMMYFUNCTION("""COMPUTED_VALUE"""),2.25)</f>
        <v>2.25</v>
      </c>
      <c r="C2660" s="1">
        <f>IFERROR(__xludf.DUMMYFUNCTION("""COMPUTED_VALUE"""),2.28)</f>
        <v>2.28</v>
      </c>
      <c r="D2660" s="1">
        <f>IFERROR(__xludf.DUMMYFUNCTION("""COMPUTED_VALUE"""),2.21)</f>
        <v>2.21</v>
      </c>
      <c r="E2660" s="1">
        <f>IFERROR(__xludf.DUMMYFUNCTION("""COMPUTED_VALUE"""),2.21)</f>
        <v>2.21</v>
      </c>
      <c r="F2660" s="1">
        <f>IFERROR(__xludf.DUMMYFUNCTION("""COMPUTED_VALUE"""),230816.0)</f>
        <v>230816</v>
      </c>
    </row>
    <row r="2661">
      <c r="A2661" s="2">
        <f>IFERROR(__xludf.DUMMYFUNCTION("""COMPUTED_VALUE"""),43026.66666666667)</f>
        <v>43026.66667</v>
      </c>
      <c r="B2661" s="1">
        <f>IFERROR(__xludf.DUMMYFUNCTION("""COMPUTED_VALUE"""),2.22)</f>
        <v>2.22</v>
      </c>
      <c r="C2661" s="1">
        <f>IFERROR(__xludf.DUMMYFUNCTION("""COMPUTED_VALUE"""),2.24)</f>
        <v>2.24</v>
      </c>
      <c r="D2661" s="1">
        <f>IFERROR(__xludf.DUMMYFUNCTION("""COMPUTED_VALUE"""),2.2)</f>
        <v>2.2</v>
      </c>
      <c r="E2661" s="1">
        <f>IFERROR(__xludf.DUMMYFUNCTION("""COMPUTED_VALUE"""),2.21)</f>
        <v>2.21</v>
      </c>
      <c r="F2661" s="1">
        <f>IFERROR(__xludf.DUMMYFUNCTION("""COMPUTED_VALUE"""),474030.0)</f>
        <v>474030</v>
      </c>
    </row>
    <row r="2662">
      <c r="A2662" s="2">
        <f>IFERROR(__xludf.DUMMYFUNCTION("""COMPUTED_VALUE"""),43027.66666666667)</f>
        <v>43027.66667</v>
      </c>
      <c r="B2662" s="1">
        <f>IFERROR(__xludf.DUMMYFUNCTION("""COMPUTED_VALUE"""),2.2)</f>
        <v>2.2</v>
      </c>
      <c r="C2662" s="1">
        <f>IFERROR(__xludf.DUMMYFUNCTION("""COMPUTED_VALUE"""),2.22)</f>
        <v>2.22</v>
      </c>
      <c r="D2662" s="1">
        <f>IFERROR(__xludf.DUMMYFUNCTION("""COMPUTED_VALUE"""),2.16)</f>
        <v>2.16</v>
      </c>
      <c r="E2662" s="1">
        <f>IFERROR(__xludf.DUMMYFUNCTION("""COMPUTED_VALUE"""),2.18)</f>
        <v>2.18</v>
      </c>
      <c r="F2662" s="1">
        <f>IFERROR(__xludf.DUMMYFUNCTION("""COMPUTED_VALUE"""),439479.0)</f>
        <v>439479</v>
      </c>
    </row>
    <row r="2663">
      <c r="A2663" s="2">
        <f>IFERROR(__xludf.DUMMYFUNCTION("""COMPUTED_VALUE"""),43028.66666666667)</f>
        <v>43028.66667</v>
      </c>
      <c r="B2663" s="1">
        <f>IFERROR(__xludf.DUMMYFUNCTION("""COMPUTED_VALUE"""),2.21)</f>
        <v>2.21</v>
      </c>
      <c r="C2663" s="1">
        <f>IFERROR(__xludf.DUMMYFUNCTION("""COMPUTED_VALUE"""),2.25)</f>
        <v>2.25</v>
      </c>
      <c r="D2663" s="1">
        <f>IFERROR(__xludf.DUMMYFUNCTION("""COMPUTED_VALUE"""),2.19)</f>
        <v>2.19</v>
      </c>
      <c r="E2663" s="1">
        <f>IFERROR(__xludf.DUMMYFUNCTION("""COMPUTED_VALUE"""),2.24)</f>
        <v>2.24</v>
      </c>
      <c r="F2663" s="1">
        <f>IFERROR(__xludf.DUMMYFUNCTION("""COMPUTED_VALUE"""),600102.0)</f>
        <v>600102</v>
      </c>
    </row>
    <row r="2664">
      <c r="A2664" s="2">
        <f>IFERROR(__xludf.DUMMYFUNCTION("""COMPUTED_VALUE"""),43031.66666666667)</f>
        <v>43031.66667</v>
      </c>
      <c r="B2664" s="1">
        <f>IFERROR(__xludf.DUMMYFUNCTION("""COMPUTED_VALUE"""),2.25)</f>
        <v>2.25</v>
      </c>
      <c r="C2664" s="1">
        <f>IFERROR(__xludf.DUMMYFUNCTION("""COMPUTED_VALUE"""),2.27)</f>
        <v>2.27</v>
      </c>
      <c r="D2664" s="1">
        <f>IFERROR(__xludf.DUMMYFUNCTION("""COMPUTED_VALUE"""),2.23)</f>
        <v>2.23</v>
      </c>
      <c r="E2664" s="1">
        <f>IFERROR(__xludf.DUMMYFUNCTION("""COMPUTED_VALUE"""),2.25)</f>
        <v>2.25</v>
      </c>
      <c r="F2664" s="1">
        <f>IFERROR(__xludf.DUMMYFUNCTION("""COMPUTED_VALUE"""),309158.0)</f>
        <v>309158</v>
      </c>
    </row>
    <row r="2665">
      <c r="A2665" s="2">
        <f>IFERROR(__xludf.DUMMYFUNCTION("""COMPUTED_VALUE"""),43032.66666666667)</f>
        <v>43032.66667</v>
      </c>
      <c r="B2665" s="1">
        <f>IFERROR(__xludf.DUMMYFUNCTION("""COMPUTED_VALUE"""),2.25)</f>
        <v>2.25</v>
      </c>
      <c r="C2665" s="1">
        <f>IFERROR(__xludf.DUMMYFUNCTION("""COMPUTED_VALUE"""),2.26)</f>
        <v>2.26</v>
      </c>
      <c r="D2665" s="1">
        <f>IFERROR(__xludf.DUMMYFUNCTION("""COMPUTED_VALUE"""),2.23)</f>
        <v>2.23</v>
      </c>
      <c r="E2665" s="1">
        <f>IFERROR(__xludf.DUMMYFUNCTION("""COMPUTED_VALUE"""),2.25)</f>
        <v>2.25</v>
      </c>
      <c r="F2665" s="1">
        <f>IFERROR(__xludf.DUMMYFUNCTION("""COMPUTED_VALUE"""),259301.0)</f>
        <v>259301</v>
      </c>
    </row>
    <row r="2666">
      <c r="A2666" s="2">
        <f>IFERROR(__xludf.DUMMYFUNCTION("""COMPUTED_VALUE"""),43033.66666666667)</f>
        <v>43033.66667</v>
      </c>
      <c r="B2666" s="1">
        <f>IFERROR(__xludf.DUMMYFUNCTION("""COMPUTED_VALUE"""),2.23)</f>
        <v>2.23</v>
      </c>
      <c r="C2666" s="1">
        <f>IFERROR(__xludf.DUMMYFUNCTION("""COMPUTED_VALUE"""),2.24)</f>
        <v>2.24</v>
      </c>
      <c r="D2666" s="1">
        <f>IFERROR(__xludf.DUMMYFUNCTION("""COMPUTED_VALUE"""),2.18)</f>
        <v>2.18</v>
      </c>
      <c r="E2666" s="1">
        <f>IFERROR(__xludf.DUMMYFUNCTION("""COMPUTED_VALUE"""),2.19)</f>
        <v>2.19</v>
      </c>
      <c r="F2666" s="1">
        <f>IFERROR(__xludf.DUMMYFUNCTION("""COMPUTED_VALUE"""),322098.0)</f>
        <v>322098</v>
      </c>
    </row>
    <row r="2667">
      <c r="A2667" s="2">
        <f>IFERROR(__xludf.DUMMYFUNCTION("""COMPUTED_VALUE"""),43034.66666666667)</f>
        <v>43034.66667</v>
      </c>
      <c r="B2667" s="1">
        <f>IFERROR(__xludf.DUMMYFUNCTION("""COMPUTED_VALUE"""),2.19)</f>
        <v>2.19</v>
      </c>
      <c r="C2667" s="1">
        <f>IFERROR(__xludf.DUMMYFUNCTION("""COMPUTED_VALUE"""),2.19)</f>
        <v>2.19</v>
      </c>
      <c r="D2667" s="1">
        <f>IFERROR(__xludf.DUMMYFUNCTION("""COMPUTED_VALUE"""),2.12)</f>
        <v>2.12</v>
      </c>
      <c r="E2667" s="1">
        <f>IFERROR(__xludf.DUMMYFUNCTION("""COMPUTED_VALUE"""),2.17)</f>
        <v>2.17</v>
      </c>
      <c r="F2667" s="1">
        <f>IFERROR(__xludf.DUMMYFUNCTION("""COMPUTED_VALUE"""),577482.0)</f>
        <v>577482</v>
      </c>
    </row>
    <row r="2668">
      <c r="A2668" s="2">
        <f>IFERROR(__xludf.DUMMYFUNCTION("""COMPUTED_VALUE"""),43035.66666666667)</f>
        <v>43035.66667</v>
      </c>
      <c r="B2668" s="1">
        <f>IFERROR(__xludf.DUMMYFUNCTION("""COMPUTED_VALUE"""),2.05)</f>
        <v>2.05</v>
      </c>
      <c r="C2668" s="1">
        <f>IFERROR(__xludf.DUMMYFUNCTION("""COMPUTED_VALUE"""),2.08)</f>
        <v>2.08</v>
      </c>
      <c r="D2668" s="1">
        <f>IFERROR(__xludf.DUMMYFUNCTION("""COMPUTED_VALUE"""),1.77)</f>
        <v>1.77</v>
      </c>
      <c r="E2668" s="1">
        <f>IFERROR(__xludf.DUMMYFUNCTION("""COMPUTED_VALUE"""),2.05)</f>
        <v>2.05</v>
      </c>
      <c r="F2668" s="1">
        <f>IFERROR(__xludf.DUMMYFUNCTION("""COMPUTED_VALUE"""),2661063.0)</f>
        <v>2661063</v>
      </c>
    </row>
    <row r="2669">
      <c r="A2669" s="2">
        <f>IFERROR(__xludf.DUMMYFUNCTION("""COMPUTED_VALUE"""),43038.66666666667)</f>
        <v>43038.66667</v>
      </c>
      <c r="B2669" s="1">
        <f>IFERROR(__xludf.DUMMYFUNCTION("""COMPUTED_VALUE"""),2.03)</f>
        <v>2.03</v>
      </c>
      <c r="C2669" s="1">
        <f>IFERROR(__xludf.DUMMYFUNCTION("""COMPUTED_VALUE"""),2.03)</f>
        <v>2.03</v>
      </c>
      <c r="D2669" s="1">
        <f>IFERROR(__xludf.DUMMYFUNCTION("""COMPUTED_VALUE"""),1.97)</f>
        <v>1.97</v>
      </c>
      <c r="E2669" s="1">
        <f>IFERROR(__xludf.DUMMYFUNCTION("""COMPUTED_VALUE"""),1.99)</f>
        <v>1.99</v>
      </c>
      <c r="F2669" s="1">
        <f>IFERROR(__xludf.DUMMYFUNCTION("""COMPUTED_VALUE"""),702639.0)</f>
        <v>702639</v>
      </c>
    </row>
    <row r="2670">
      <c r="A2670" s="2">
        <f>IFERROR(__xludf.DUMMYFUNCTION("""COMPUTED_VALUE"""),43039.66666666667)</f>
        <v>43039.66667</v>
      </c>
      <c r="B2670" s="1">
        <f>IFERROR(__xludf.DUMMYFUNCTION("""COMPUTED_VALUE"""),2.0)</f>
        <v>2</v>
      </c>
      <c r="C2670" s="1">
        <f>IFERROR(__xludf.DUMMYFUNCTION("""COMPUTED_VALUE"""),2.02)</f>
        <v>2.02</v>
      </c>
      <c r="D2670" s="1">
        <f>IFERROR(__xludf.DUMMYFUNCTION("""COMPUTED_VALUE"""),1.98)</f>
        <v>1.98</v>
      </c>
      <c r="E2670" s="1">
        <f>IFERROR(__xludf.DUMMYFUNCTION("""COMPUTED_VALUE"""),1.99)</f>
        <v>1.99</v>
      </c>
      <c r="F2670" s="1">
        <f>IFERROR(__xludf.DUMMYFUNCTION("""COMPUTED_VALUE"""),564550.0)</f>
        <v>564550</v>
      </c>
    </row>
    <row r="2671">
      <c r="A2671" s="2">
        <f>IFERROR(__xludf.DUMMYFUNCTION("""COMPUTED_VALUE"""),43040.66666666667)</f>
        <v>43040.66667</v>
      </c>
      <c r="B2671" s="1">
        <f>IFERROR(__xludf.DUMMYFUNCTION("""COMPUTED_VALUE"""),2.01)</f>
        <v>2.01</v>
      </c>
      <c r="C2671" s="1">
        <f>IFERROR(__xludf.DUMMYFUNCTION("""COMPUTED_VALUE"""),2.05)</f>
        <v>2.05</v>
      </c>
      <c r="D2671" s="1">
        <f>IFERROR(__xludf.DUMMYFUNCTION("""COMPUTED_VALUE"""),2.0)</f>
        <v>2</v>
      </c>
      <c r="E2671" s="1">
        <f>IFERROR(__xludf.DUMMYFUNCTION("""COMPUTED_VALUE"""),2.03)</f>
        <v>2.03</v>
      </c>
      <c r="F2671" s="1">
        <f>IFERROR(__xludf.DUMMYFUNCTION("""COMPUTED_VALUE"""),488785.0)</f>
        <v>488785</v>
      </c>
    </row>
    <row r="2672">
      <c r="A2672" s="2">
        <f>IFERROR(__xludf.DUMMYFUNCTION("""COMPUTED_VALUE"""),43041.66666666667)</f>
        <v>43041.66667</v>
      </c>
      <c r="B2672" s="1">
        <f>IFERROR(__xludf.DUMMYFUNCTION("""COMPUTED_VALUE"""),2.04)</f>
        <v>2.04</v>
      </c>
      <c r="C2672" s="1">
        <f>IFERROR(__xludf.DUMMYFUNCTION("""COMPUTED_VALUE"""),2.04)</f>
        <v>2.04</v>
      </c>
      <c r="D2672" s="1">
        <f>IFERROR(__xludf.DUMMYFUNCTION("""COMPUTED_VALUE"""),2.01)</f>
        <v>2.01</v>
      </c>
      <c r="E2672" s="1">
        <f>IFERROR(__xludf.DUMMYFUNCTION("""COMPUTED_VALUE"""),2.03)</f>
        <v>2.03</v>
      </c>
      <c r="F2672" s="1">
        <f>IFERROR(__xludf.DUMMYFUNCTION("""COMPUTED_VALUE"""),404985.0)</f>
        <v>404985</v>
      </c>
    </row>
    <row r="2673">
      <c r="A2673" s="2">
        <f>IFERROR(__xludf.DUMMYFUNCTION("""COMPUTED_VALUE"""),43042.66666666667)</f>
        <v>43042.66667</v>
      </c>
      <c r="B2673" s="1">
        <f>IFERROR(__xludf.DUMMYFUNCTION("""COMPUTED_VALUE"""),2.03)</f>
        <v>2.03</v>
      </c>
      <c r="C2673" s="1">
        <f>IFERROR(__xludf.DUMMYFUNCTION("""COMPUTED_VALUE"""),2.05)</f>
        <v>2.05</v>
      </c>
      <c r="D2673" s="1">
        <f>IFERROR(__xludf.DUMMYFUNCTION("""COMPUTED_VALUE"""),2.01)</f>
        <v>2.01</v>
      </c>
      <c r="E2673" s="1">
        <f>IFERROR(__xludf.DUMMYFUNCTION("""COMPUTED_VALUE"""),2.03)</f>
        <v>2.03</v>
      </c>
      <c r="F2673" s="1">
        <f>IFERROR(__xludf.DUMMYFUNCTION("""COMPUTED_VALUE"""),579595.0)</f>
        <v>579595</v>
      </c>
    </row>
    <row r="2674">
      <c r="A2674" s="2">
        <f>IFERROR(__xludf.DUMMYFUNCTION("""COMPUTED_VALUE"""),43045.66666666667)</f>
        <v>43045.66667</v>
      </c>
      <c r="B2674" s="1">
        <f>IFERROR(__xludf.DUMMYFUNCTION("""COMPUTED_VALUE"""),2.02)</f>
        <v>2.02</v>
      </c>
      <c r="C2674" s="1">
        <f>IFERROR(__xludf.DUMMYFUNCTION("""COMPUTED_VALUE"""),2.06)</f>
        <v>2.06</v>
      </c>
      <c r="D2674" s="1">
        <f>IFERROR(__xludf.DUMMYFUNCTION("""COMPUTED_VALUE"""),2.0)</f>
        <v>2</v>
      </c>
      <c r="E2674" s="1">
        <f>IFERROR(__xludf.DUMMYFUNCTION("""COMPUTED_VALUE"""),2.05)</f>
        <v>2.05</v>
      </c>
      <c r="F2674" s="1">
        <f>IFERROR(__xludf.DUMMYFUNCTION("""COMPUTED_VALUE"""),389589.0)</f>
        <v>389589</v>
      </c>
    </row>
    <row r="2675">
      <c r="A2675" s="2">
        <f>IFERROR(__xludf.DUMMYFUNCTION("""COMPUTED_VALUE"""),43046.66666666667)</f>
        <v>43046.66667</v>
      </c>
      <c r="B2675" s="1">
        <f>IFERROR(__xludf.DUMMYFUNCTION("""COMPUTED_VALUE"""),2.06)</f>
        <v>2.06</v>
      </c>
      <c r="C2675" s="1">
        <f>IFERROR(__xludf.DUMMYFUNCTION("""COMPUTED_VALUE"""),2.06)</f>
        <v>2.06</v>
      </c>
      <c r="D2675" s="1">
        <f>IFERROR(__xludf.DUMMYFUNCTION("""COMPUTED_VALUE"""),1.97)</f>
        <v>1.97</v>
      </c>
      <c r="E2675" s="1">
        <f>IFERROR(__xludf.DUMMYFUNCTION("""COMPUTED_VALUE"""),1.98)</f>
        <v>1.98</v>
      </c>
      <c r="F2675" s="1">
        <f>IFERROR(__xludf.DUMMYFUNCTION("""COMPUTED_VALUE"""),354831.0)</f>
        <v>354831</v>
      </c>
    </row>
    <row r="2676">
      <c r="A2676" s="2">
        <f>IFERROR(__xludf.DUMMYFUNCTION("""COMPUTED_VALUE"""),43047.66666666667)</f>
        <v>43047.66667</v>
      </c>
      <c r="B2676" s="1">
        <f>IFERROR(__xludf.DUMMYFUNCTION("""COMPUTED_VALUE"""),1.98)</f>
        <v>1.98</v>
      </c>
      <c r="C2676" s="1">
        <f>IFERROR(__xludf.DUMMYFUNCTION("""COMPUTED_VALUE"""),1.99)</f>
        <v>1.99</v>
      </c>
      <c r="D2676" s="1">
        <f>IFERROR(__xludf.DUMMYFUNCTION("""COMPUTED_VALUE"""),1.94)</f>
        <v>1.94</v>
      </c>
      <c r="E2676" s="1">
        <f>IFERROR(__xludf.DUMMYFUNCTION("""COMPUTED_VALUE"""),1.98)</f>
        <v>1.98</v>
      </c>
      <c r="F2676" s="1">
        <f>IFERROR(__xludf.DUMMYFUNCTION("""COMPUTED_VALUE"""),305792.0)</f>
        <v>305792</v>
      </c>
    </row>
    <row r="2677">
      <c r="A2677" s="2">
        <f>IFERROR(__xludf.DUMMYFUNCTION("""COMPUTED_VALUE"""),43048.66666666667)</f>
        <v>43048.66667</v>
      </c>
      <c r="B2677" s="1">
        <f>IFERROR(__xludf.DUMMYFUNCTION("""COMPUTED_VALUE"""),1.96)</f>
        <v>1.96</v>
      </c>
      <c r="C2677" s="1">
        <f>IFERROR(__xludf.DUMMYFUNCTION("""COMPUTED_VALUE"""),1.98)</f>
        <v>1.98</v>
      </c>
      <c r="D2677" s="1">
        <f>IFERROR(__xludf.DUMMYFUNCTION("""COMPUTED_VALUE"""),1.92)</f>
        <v>1.92</v>
      </c>
      <c r="E2677" s="1">
        <f>IFERROR(__xludf.DUMMYFUNCTION("""COMPUTED_VALUE"""),1.96)</f>
        <v>1.96</v>
      </c>
      <c r="F2677" s="1">
        <f>IFERROR(__xludf.DUMMYFUNCTION("""COMPUTED_VALUE"""),285603.0)</f>
        <v>285603</v>
      </c>
    </row>
    <row r="2678">
      <c r="A2678" s="2">
        <f>IFERROR(__xludf.DUMMYFUNCTION("""COMPUTED_VALUE"""),43049.66666666667)</f>
        <v>43049.66667</v>
      </c>
      <c r="B2678" s="1">
        <f>IFERROR(__xludf.DUMMYFUNCTION("""COMPUTED_VALUE"""),1.96)</f>
        <v>1.96</v>
      </c>
      <c r="C2678" s="1">
        <f>IFERROR(__xludf.DUMMYFUNCTION("""COMPUTED_VALUE"""),2.03)</f>
        <v>2.03</v>
      </c>
      <c r="D2678" s="1">
        <f>IFERROR(__xludf.DUMMYFUNCTION("""COMPUTED_VALUE"""),1.95)</f>
        <v>1.95</v>
      </c>
      <c r="E2678" s="1">
        <f>IFERROR(__xludf.DUMMYFUNCTION("""COMPUTED_VALUE"""),2.0)</f>
        <v>2</v>
      </c>
      <c r="F2678" s="1">
        <f>IFERROR(__xludf.DUMMYFUNCTION("""COMPUTED_VALUE"""),364303.0)</f>
        <v>364303</v>
      </c>
    </row>
    <row r="2679">
      <c r="A2679" s="2">
        <f>IFERROR(__xludf.DUMMYFUNCTION("""COMPUTED_VALUE"""),43052.66666666667)</f>
        <v>43052.66667</v>
      </c>
      <c r="B2679" s="1">
        <f>IFERROR(__xludf.DUMMYFUNCTION("""COMPUTED_VALUE"""),1.98)</f>
        <v>1.98</v>
      </c>
      <c r="C2679" s="1">
        <f>IFERROR(__xludf.DUMMYFUNCTION("""COMPUTED_VALUE"""),2.01)</f>
        <v>2.01</v>
      </c>
      <c r="D2679" s="1">
        <f>IFERROR(__xludf.DUMMYFUNCTION("""COMPUTED_VALUE"""),1.96)</f>
        <v>1.96</v>
      </c>
      <c r="E2679" s="1">
        <f>IFERROR(__xludf.DUMMYFUNCTION("""COMPUTED_VALUE"""),2.0)</f>
        <v>2</v>
      </c>
      <c r="F2679" s="1">
        <f>IFERROR(__xludf.DUMMYFUNCTION("""COMPUTED_VALUE"""),697778.0)</f>
        <v>697778</v>
      </c>
    </row>
    <row r="2680">
      <c r="A2680" s="2">
        <f>IFERROR(__xludf.DUMMYFUNCTION("""COMPUTED_VALUE"""),43053.66666666667)</f>
        <v>43053.66667</v>
      </c>
      <c r="B2680" s="1">
        <f>IFERROR(__xludf.DUMMYFUNCTION("""COMPUTED_VALUE"""),1.98)</f>
        <v>1.98</v>
      </c>
      <c r="C2680" s="1">
        <f>IFERROR(__xludf.DUMMYFUNCTION("""COMPUTED_VALUE"""),2.02)</f>
        <v>2.02</v>
      </c>
      <c r="D2680" s="1">
        <f>IFERROR(__xludf.DUMMYFUNCTION("""COMPUTED_VALUE"""),1.98)</f>
        <v>1.98</v>
      </c>
      <c r="E2680" s="1">
        <f>IFERROR(__xludf.DUMMYFUNCTION("""COMPUTED_VALUE"""),1.98)</f>
        <v>1.98</v>
      </c>
      <c r="F2680" s="1">
        <f>IFERROR(__xludf.DUMMYFUNCTION("""COMPUTED_VALUE"""),288068.0)</f>
        <v>288068</v>
      </c>
    </row>
    <row r="2681">
      <c r="A2681" s="2">
        <f>IFERROR(__xludf.DUMMYFUNCTION("""COMPUTED_VALUE"""),43054.66666666667)</f>
        <v>43054.66667</v>
      </c>
      <c r="B2681" s="1">
        <f>IFERROR(__xludf.DUMMYFUNCTION("""COMPUTED_VALUE"""),1.96)</f>
        <v>1.96</v>
      </c>
      <c r="C2681" s="1">
        <f>IFERROR(__xludf.DUMMYFUNCTION("""COMPUTED_VALUE"""),2.0)</f>
        <v>2</v>
      </c>
      <c r="D2681" s="1">
        <f>IFERROR(__xludf.DUMMYFUNCTION("""COMPUTED_VALUE"""),1.96)</f>
        <v>1.96</v>
      </c>
      <c r="E2681" s="1">
        <f>IFERROR(__xludf.DUMMYFUNCTION("""COMPUTED_VALUE"""),1.99)</f>
        <v>1.99</v>
      </c>
      <c r="F2681" s="1">
        <f>IFERROR(__xludf.DUMMYFUNCTION("""COMPUTED_VALUE"""),390354.0)</f>
        <v>390354</v>
      </c>
    </row>
    <row r="2682">
      <c r="A2682" s="2">
        <f>IFERROR(__xludf.DUMMYFUNCTION("""COMPUTED_VALUE"""),43055.66666666667)</f>
        <v>43055.66667</v>
      </c>
      <c r="B2682" s="1">
        <f>IFERROR(__xludf.DUMMYFUNCTION("""COMPUTED_VALUE"""),1.99)</f>
        <v>1.99</v>
      </c>
      <c r="C2682" s="1">
        <f>IFERROR(__xludf.DUMMYFUNCTION("""COMPUTED_VALUE"""),2.04)</f>
        <v>2.04</v>
      </c>
      <c r="D2682" s="1">
        <f>IFERROR(__xludf.DUMMYFUNCTION("""COMPUTED_VALUE"""),1.98)</f>
        <v>1.98</v>
      </c>
      <c r="E2682" s="1">
        <f>IFERROR(__xludf.DUMMYFUNCTION("""COMPUTED_VALUE"""),2.03)</f>
        <v>2.03</v>
      </c>
      <c r="F2682" s="1">
        <f>IFERROR(__xludf.DUMMYFUNCTION("""COMPUTED_VALUE"""),452176.0)</f>
        <v>452176</v>
      </c>
    </row>
    <row r="2683">
      <c r="A2683" s="2">
        <f>IFERROR(__xludf.DUMMYFUNCTION("""COMPUTED_VALUE"""),43056.66666666667)</f>
        <v>43056.66667</v>
      </c>
      <c r="B2683" s="1">
        <f>IFERROR(__xludf.DUMMYFUNCTION("""COMPUTED_VALUE"""),2.02)</f>
        <v>2.02</v>
      </c>
      <c r="C2683" s="1">
        <f>IFERROR(__xludf.DUMMYFUNCTION("""COMPUTED_VALUE"""),2.08)</f>
        <v>2.08</v>
      </c>
      <c r="D2683" s="1">
        <f>IFERROR(__xludf.DUMMYFUNCTION("""COMPUTED_VALUE"""),2.02)</f>
        <v>2.02</v>
      </c>
      <c r="E2683" s="1">
        <f>IFERROR(__xludf.DUMMYFUNCTION("""COMPUTED_VALUE"""),2.05)</f>
        <v>2.05</v>
      </c>
      <c r="F2683" s="1">
        <f>IFERROR(__xludf.DUMMYFUNCTION("""COMPUTED_VALUE"""),256346.0)</f>
        <v>256346</v>
      </c>
    </row>
    <row r="2684">
      <c r="A2684" s="2">
        <f>IFERROR(__xludf.DUMMYFUNCTION("""COMPUTED_VALUE"""),43059.66666666667)</f>
        <v>43059.66667</v>
      </c>
      <c r="B2684" s="1">
        <f>IFERROR(__xludf.DUMMYFUNCTION("""COMPUTED_VALUE"""),2.04)</f>
        <v>2.04</v>
      </c>
      <c r="C2684" s="1">
        <f>IFERROR(__xludf.DUMMYFUNCTION("""COMPUTED_VALUE"""),2.14)</f>
        <v>2.14</v>
      </c>
      <c r="D2684" s="1">
        <f>IFERROR(__xludf.DUMMYFUNCTION("""COMPUTED_VALUE"""),2.04)</f>
        <v>2.04</v>
      </c>
      <c r="E2684" s="1">
        <f>IFERROR(__xludf.DUMMYFUNCTION("""COMPUTED_VALUE"""),2.13)</f>
        <v>2.13</v>
      </c>
      <c r="F2684" s="1">
        <f>IFERROR(__xludf.DUMMYFUNCTION("""COMPUTED_VALUE"""),442455.0)</f>
        <v>442455</v>
      </c>
    </row>
    <row r="2685">
      <c r="A2685" s="2">
        <f>IFERROR(__xludf.DUMMYFUNCTION("""COMPUTED_VALUE"""),43060.66666666667)</f>
        <v>43060.66667</v>
      </c>
      <c r="B2685" s="1">
        <f>IFERROR(__xludf.DUMMYFUNCTION("""COMPUTED_VALUE"""),2.15)</f>
        <v>2.15</v>
      </c>
      <c r="C2685" s="1">
        <f>IFERROR(__xludf.DUMMYFUNCTION("""COMPUTED_VALUE"""),2.15)</f>
        <v>2.15</v>
      </c>
      <c r="D2685" s="1">
        <f>IFERROR(__xludf.DUMMYFUNCTION("""COMPUTED_VALUE"""),2.11)</f>
        <v>2.11</v>
      </c>
      <c r="E2685" s="1">
        <f>IFERROR(__xludf.DUMMYFUNCTION("""COMPUTED_VALUE"""),2.15)</f>
        <v>2.15</v>
      </c>
      <c r="F2685" s="1">
        <f>IFERROR(__xludf.DUMMYFUNCTION("""COMPUTED_VALUE"""),424306.0)</f>
        <v>424306</v>
      </c>
    </row>
    <row r="2686">
      <c r="A2686" s="2">
        <f>IFERROR(__xludf.DUMMYFUNCTION("""COMPUTED_VALUE"""),43061.66666666667)</f>
        <v>43061.66667</v>
      </c>
      <c r="B2686" s="1">
        <f>IFERROR(__xludf.DUMMYFUNCTION("""COMPUTED_VALUE"""),2.15)</f>
        <v>2.15</v>
      </c>
      <c r="C2686" s="1">
        <f>IFERROR(__xludf.DUMMYFUNCTION("""COMPUTED_VALUE"""),2.15)</f>
        <v>2.15</v>
      </c>
      <c r="D2686" s="1">
        <f>IFERROR(__xludf.DUMMYFUNCTION("""COMPUTED_VALUE"""),2.11)</f>
        <v>2.11</v>
      </c>
      <c r="E2686" s="1">
        <f>IFERROR(__xludf.DUMMYFUNCTION("""COMPUTED_VALUE"""),2.13)</f>
        <v>2.13</v>
      </c>
      <c r="F2686" s="1">
        <f>IFERROR(__xludf.DUMMYFUNCTION("""COMPUTED_VALUE"""),419777.0)</f>
        <v>419777</v>
      </c>
    </row>
    <row r="2687">
      <c r="A2687" s="2">
        <f>IFERROR(__xludf.DUMMYFUNCTION("""COMPUTED_VALUE"""),43063.54166666667)</f>
        <v>43063.54167</v>
      </c>
      <c r="B2687" s="1">
        <f>IFERROR(__xludf.DUMMYFUNCTION("""COMPUTED_VALUE"""),2.15)</f>
        <v>2.15</v>
      </c>
      <c r="C2687" s="1">
        <f>IFERROR(__xludf.DUMMYFUNCTION("""COMPUTED_VALUE"""),2.15)</f>
        <v>2.15</v>
      </c>
      <c r="D2687" s="1">
        <f>IFERROR(__xludf.DUMMYFUNCTION("""COMPUTED_VALUE"""),2.08)</f>
        <v>2.08</v>
      </c>
      <c r="E2687" s="1">
        <f>IFERROR(__xludf.DUMMYFUNCTION("""COMPUTED_VALUE"""),2.1)</f>
        <v>2.1</v>
      </c>
      <c r="F2687" s="1">
        <f>IFERROR(__xludf.DUMMYFUNCTION("""COMPUTED_VALUE"""),206922.0)</f>
        <v>206922</v>
      </c>
    </row>
    <row r="2688">
      <c r="A2688" s="2">
        <f>IFERROR(__xludf.DUMMYFUNCTION("""COMPUTED_VALUE"""),43066.66666666667)</f>
        <v>43066.66667</v>
      </c>
      <c r="B2688" s="1">
        <f>IFERROR(__xludf.DUMMYFUNCTION("""COMPUTED_VALUE"""),2.11)</f>
        <v>2.11</v>
      </c>
      <c r="C2688" s="1">
        <f>IFERROR(__xludf.DUMMYFUNCTION("""COMPUTED_VALUE"""),2.14)</f>
        <v>2.14</v>
      </c>
      <c r="D2688" s="1">
        <f>IFERROR(__xludf.DUMMYFUNCTION("""COMPUTED_VALUE"""),2.09)</f>
        <v>2.09</v>
      </c>
      <c r="E2688" s="1">
        <f>IFERROR(__xludf.DUMMYFUNCTION("""COMPUTED_VALUE"""),2.13)</f>
        <v>2.13</v>
      </c>
      <c r="F2688" s="1">
        <f>IFERROR(__xludf.DUMMYFUNCTION("""COMPUTED_VALUE"""),237125.0)</f>
        <v>237125</v>
      </c>
    </row>
    <row r="2689">
      <c r="A2689" s="2">
        <f>IFERROR(__xludf.DUMMYFUNCTION("""COMPUTED_VALUE"""),43067.66666666667)</f>
        <v>43067.66667</v>
      </c>
      <c r="B2689" s="1">
        <f>IFERROR(__xludf.DUMMYFUNCTION("""COMPUTED_VALUE"""),2.13)</f>
        <v>2.13</v>
      </c>
      <c r="C2689" s="1">
        <f>IFERROR(__xludf.DUMMYFUNCTION("""COMPUTED_VALUE"""),2.19)</f>
        <v>2.19</v>
      </c>
      <c r="D2689" s="1">
        <f>IFERROR(__xludf.DUMMYFUNCTION("""COMPUTED_VALUE"""),2.1)</f>
        <v>2.1</v>
      </c>
      <c r="E2689" s="1">
        <f>IFERROR(__xludf.DUMMYFUNCTION("""COMPUTED_VALUE"""),2.19)</f>
        <v>2.19</v>
      </c>
      <c r="F2689" s="1">
        <f>IFERROR(__xludf.DUMMYFUNCTION("""COMPUTED_VALUE"""),319397.0)</f>
        <v>319397</v>
      </c>
    </row>
    <row r="2690">
      <c r="A2690" s="2">
        <f>IFERROR(__xludf.DUMMYFUNCTION("""COMPUTED_VALUE"""),43068.66666666667)</f>
        <v>43068.66667</v>
      </c>
      <c r="B2690" s="1">
        <f>IFERROR(__xludf.DUMMYFUNCTION("""COMPUTED_VALUE"""),2.19)</f>
        <v>2.19</v>
      </c>
      <c r="C2690" s="1">
        <f>IFERROR(__xludf.DUMMYFUNCTION("""COMPUTED_VALUE"""),2.23)</f>
        <v>2.23</v>
      </c>
      <c r="D2690" s="1">
        <f>IFERROR(__xludf.DUMMYFUNCTION("""COMPUTED_VALUE"""),2.16)</f>
        <v>2.16</v>
      </c>
      <c r="E2690" s="1">
        <f>IFERROR(__xludf.DUMMYFUNCTION("""COMPUTED_VALUE"""),2.22)</f>
        <v>2.22</v>
      </c>
      <c r="F2690" s="1">
        <f>IFERROR(__xludf.DUMMYFUNCTION("""COMPUTED_VALUE"""),471574.0)</f>
        <v>471574</v>
      </c>
    </row>
    <row r="2691">
      <c r="A2691" s="2">
        <f>IFERROR(__xludf.DUMMYFUNCTION("""COMPUTED_VALUE"""),43069.66666666667)</f>
        <v>43069.66667</v>
      </c>
      <c r="B2691" s="1">
        <f>IFERROR(__xludf.DUMMYFUNCTION("""COMPUTED_VALUE"""),2.23)</f>
        <v>2.23</v>
      </c>
      <c r="C2691" s="1">
        <f>IFERROR(__xludf.DUMMYFUNCTION("""COMPUTED_VALUE"""),2.24)</f>
        <v>2.24</v>
      </c>
      <c r="D2691" s="1">
        <f>IFERROR(__xludf.DUMMYFUNCTION("""COMPUTED_VALUE"""),2.2)</f>
        <v>2.2</v>
      </c>
      <c r="E2691" s="1">
        <f>IFERROR(__xludf.DUMMYFUNCTION("""COMPUTED_VALUE"""),2.21)</f>
        <v>2.21</v>
      </c>
      <c r="F2691" s="1">
        <f>IFERROR(__xludf.DUMMYFUNCTION("""COMPUTED_VALUE"""),604962.0)</f>
        <v>604962</v>
      </c>
    </row>
    <row r="2692">
      <c r="A2692" s="2">
        <f>IFERROR(__xludf.DUMMYFUNCTION("""COMPUTED_VALUE"""),43070.66666666667)</f>
        <v>43070.66667</v>
      </c>
      <c r="B2692" s="1">
        <f>IFERROR(__xludf.DUMMYFUNCTION("""COMPUTED_VALUE"""),2.21)</f>
        <v>2.21</v>
      </c>
      <c r="C2692" s="1">
        <f>IFERROR(__xludf.DUMMYFUNCTION("""COMPUTED_VALUE"""),2.21)</f>
        <v>2.21</v>
      </c>
      <c r="D2692" s="1">
        <f>IFERROR(__xludf.DUMMYFUNCTION("""COMPUTED_VALUE"""),2.13)</f>
        <v>2.13</v>
      </c>
      <c r="E2692" s="1">
        <f>IFERROR(__xludf.DUMMYFUNCTION("""COMPUTED_VALUE"""),2.2)</f>
        <v>2.2</v>
      </c>
      <c r="F2692" s="1">
        <f>IFERROR(__xludf.DUMMYFUNCTION("""COMPUTED_VALUE"""),500174.0)</f>
        <v>500174</v>
      </c>
    </row>
    <row r="2693">
      <c r="A2693" s="2">
        <f>IFERROR(__xludf.DUMMYFUNCTION("""COMPUTED_VALUE"""),43073.66666666667)</f>
        <v>43073.66667</v>
      </c>
      <c r="B2693" s="1">
        <f>IFERROR(__xludf.DUMMYFUNCTION("""COMPUTED_VALUE"""),2.21)</f>
        <v>2.21</v>
      </c>
      <c r="C2693" s="1">
        <f>IFERROR(__xludf.DUMMYFUNCTION("""COMPUTED_VALUE"""),2.24)</f>
        <v>2.24</v>
      </c>
      <c r="D2693" s="1">
        <f>IFERROR(__xludf.DUMMYFUNCTION("""COMPUTED_VALUE"""),2.19)</f>
        <v>2.19</v>
      </c>
      <c r="E2693" s="1">
        <f>IFERROR(__xludf.DUMMYFUNCTION("""COMPUTED_VALUE"""),2.21)</f>
        <v>2.21</v>
      </c>
      <c r="F2693" s="1">
        <f>IFERROR(__xludf.DUMMYFUNCTION("""COMPUTED_VALUE"""),369819.0)</f>
        <v>369819</v>
      </c>
    </row>
    <row r="2694">
      <c r="A2694" s="2">
        <f>IFERROR(__xludf.DUMMYFUNCTION("""COMPUTED_VALUE"""),43074.66666666667)</f>
        <v>43074.66667</v>
      </c>
      <c r="B2694" s="1">
        <f>IFERROR(__xludf.DUMMYFUNCTION("""COMPUTED_VALUE"""),2.21)</f>
        <v>2.21</v>
      </c>
      <c r="C2694" s="1">
        <f>IFERROR(__xludf.DUMMYFUNCTION("""COMPUTED_VALUE"""),2.22)</f>
        <v>2.22</v>
      </c>
      <c r="D2694" s="1">
        <f>IFERROR(__xludf.DUMMYFUNCTION("""COMPUTED_VALUE"""),2.15)</f>
        <v>2.15</v>
      </c>
      <c r="E2694" s="1">
        <f>IFERROR(__xludf.DUMMYFUNCTION("""COMPUTED_VALUE"""),2.15)</f>
        <v>2.15</v>
      </c>
      <c r="F2694" s="1">
        <f>IFERROR(__xludf.DUMMYFUNCTION("""COMPUTED_VALUE"""),546991.0)</f>
        <v>546991</v>
      </c>
    </row>
    <row r="2695">
      <c r="A2695" s="2">
        <f>IFERROR(__xludf.DUMMYFUNCTION("""COMPUTED_VALUE"""),43075.66666666667)</f>
        <v>43075.66667</v>
      </c>
      <c r="B2695" s="1">
        <f>IFERROR(__xludf.DUMMYFUNCTION("""COMPUTED_VALUE"""),2.17)</f>
        <v>2.17</v>
      </c>
      <c r="C2695" s="1">
        <f>IFERROR(__xludf.DUMMYFUNCTION("""COMPUTED_VALUE"""),2.17)</f>
        <v>2.17</v>
      </c>
      <c r="D2695" s="1">
        <f>IFERROR(__xludf.DUMMYFUNCTION("""COMPUTED_VALUE"""),2.13)</f>
        <v>2.13</v>
      </c>
      <c r="E2695" s="1">
        <f>IFERROR(__xludf.DUMMYFUNCTION("""COMPUTED_VALUE"""),2.15)</f>
        <v>2.15</v>
      </c>
      <c r="F2695" s="1">
        <f>IFERROR(__xludf.DUMMYFUNCTION("""COMPUTED_VALUE"""),236075.0)</f>
        <v>236075</v>
      </c>
    </row>
    <row r="2696">
      <c r="A2696" s="2">
        <f>IFERROR(__xludf.DUMMYFUNCTION("""COMPUTED_VALUE"""),43076.66666666667)</f>
        <v>43076.66667</v>
      </c>
      <c r="B2696" s="1">
        <f>IFERROR(__xludf.DUMMYFUNCTION("""COMPUTED_VALUE"""),2.14)</f>
        <v>2.14</v>
      </c>
      <c r="C2696" s="1">
        <f>IFERROR(__xludf.DUMMYFUNCTION("""COMPUTED_VALUE"""),2.18)</f>
        <v>2.18</v>
      </c>
      <c r="D2696" s="1">
        <f>IFERROR(__xludf.DUMMYFUNCTION("""COMPUTED_VALUE"""),2.14)</f>
        <v>2.14</v>
      </c>
      <c r="E2696" s="1">
        <f>IFERROR(__xludf.DUMMYFUNCTION("""COMPUTED_VALUE"""),2.15)</f>
        <v>2.15</v>
      </c>
      <c r="F2696" s="1">
        <f>IFERROR(__xludf.DUMMYFUNCTION("""COMPUTED_VALUE"""),213582.0)</f>
        <v>213582</v>
      </c>
    </row>
    <row r="2697">
      <c r="A2697" s="2">
        <f>IFERROR(__xludf.DUMMYFUNCTION("""COMPUTED_VALUE"""),43077.66666666667)</f>
        <v>43077.66667</v>
      </c>
      <c r="B2697" s="1">
        <f>IFERROR(__xludf.DUMMYFUNCTION("""COMPUTED_VALUE"""),2.17)</f>
        <v>2.17</v>
      </c>
      <c r="C2697" s="1">
        <f>IFERROR(__xludf.DUMMYFUNCTION("""COMPUTED_VALUE"""),2.19)</f>
        <v>2.19</v>
      </c>
      <c r="D2697" s="1">
        <f>IFERROR(__xludf.DUMMYFUNCTION("""COMPUTED_VALUE"""),2.15)</f>
        <v>2.15</v>
      </c>
      <c r="E2697" s="1">
        <f>IFERROR(__xludf.DUMMYFUNCTION("""COMPUTED_VALUE"""),2.16)</f>
        <v>2.16</v>
      </c>
      <c r="F2697" s="1">
        <f>IFERROR(__xludf.DUMMYFUNCTION("""COMPUTED_VALUE"""),241433.0)</f>
        <v>241433</v>
      </c>
    </row>
    <row r="2698">
      <c r="A2698" s="2">
        <f>IFERROR(__xludf.DUMMYFUNCTION("""COMPUTED_VALUE"""),43080.66666666667)</f>
        <v>43080.66667</v>
      </c>
      <c r="B2698" s="1">
        <f>IFERROR(__xludf.DUMMYFUNCTION("""COMPUTED_VALUE"""),2.16)</f>
        <v>2.16</v>
      </c>
      <c r="C2698" s="1">
        <f>IFERROR(__xludf.DUMMYFUNCTION("""COMPUTED_VALUE"""),2.21)</f>
        <v>2.21</v>
      </c>
      <c r="D2698" s="1">
        <f>IFERROR(__xludf.DUMMYFUNCTION("""COMPUTED_VALUE"""),2.15)</f>
        <v>2.15</v>
      </c>
      <c r="E2698" s="1">
        <f>IFERROR(__xludf.DUMMYFUNCTION("""COMPUTED_VALUE"""),2.19)</f>
        <v>2.19</v>
      </c>
      <c r="F2698" s="1">
        <f>IFERROR(__xludf.DUMMYFUNCTION("""COMPUTED_VALUE"""),210657.0)</f>
        <v>210657</v>
      </c>
    </row>
    <row r="2699">
      <c r="A2699" s="2">
        <f>IFERROR(__xludf.DUMMYFUNCTION("""COMPUTED_VALUE"""),43081.66666666667)</f>
        <v>43081.66667</v>
      </c>
      <c r="B2699" s="1">
        <f>IFERROR(__xludf.DUMMYFUNCTION("""COMPUTED_VALUE"""),2.19)</f>
        <v>2.19</v>
      </c>
      <c r="C2699" s="1">
        <f>IFERROR(__xludf.DUMMYFUNCTION("""COMPUTED_VALUE"""),2.21)</f>
        <v>2.21</v>
      </c>
      <c r="D2699" s="1">
        <f>IFERROR(__xludf.DUMMYFUNCTION("""COMPUTED_VALUE"""),2.18)</f>
        <v>2.18</v>
      </c>
      <c r="E2699" s="1">
        <f>IFERROR(__xludf.DUMMYFUNCTION("""COMPUTED_VALUE"""),2.2)</f>
        <v>2.2</v>
      </c>
      <c r="F2699" s="1">
        <f>IFERROR(__xludf.DUMMYFUNCTION("""COMPUTED_VALUE"""),171004.0)</f>
        <v>171004</v>
      </c>
    </row>
    <row r="2700">
      <c r="A2700" s="2">
        <f>IFERROR(__xludf.DUMMYFUNCTION("""COMPUTED_VALUE"""),43082.66666666667)</f>
        <v>43082.66667</v>
      </c>
      <c r="B2700" s="1">
        <f>IFERROR(__xludf.DUMMYFUNCTION("""COMPUTED_VALUE"""),2.19)</f>
        <v>2.19</v>
      </c>
      <c r="C2700" s="1">
        <f>IFERROR(__xludf.DUMMYFUNCTION("""COMPUTED_VALUE"""),2.21)</f>
        <v>2.21</v>
      </c>
      <c r="D2700" s="1">
        <f>IFERROR(__xludf.DUMMYFUNCTION("""COMPUTED_VALUE"""),2.17)</f>
        <v>2.17</v>
      </c>
      <c r="E2700" s="1">
        <f>IFERROR(__xludf.DUMMYFUNCTION("""COMPUTED_VALUE"""),2.21)</f>
        <v>2.21</v>
      </c>
      <c r="F2700" s="1">
        <f>IFERROR(__xludf.DUMMYFUNCTION("""COMPUTED_VALUE"""),542801.0)</f>
        <v>542801</v>
      </c>
    </row>
    <row r="2701">
      <c r="A2701" s="2">
        <f>IFERROR(__xludf.DUMMYFUNCTION("""COMPUTED_VALUE"""),43083.66666666667)</f>
        <v>43083.66667</v>
      </c>
      <c r="B2701" s="1">
        <f>IFERROR(__xludf.DUMMYFUNCTION("""COMPUTED_VALUE"""),2.2)</f>
        <v>2.2</v>
      </c>
      <c r="C2701" s="1">
        <f>IFERROR(__xludf.DUMMYFUNCTION("""COMPUTED_VALUE"""),2.22)</f>
        <v>2.22</v>
      </c>
      <c r="D2701" s="1">
        <f>IFERROR(__xludf.DUMMYFUNCTION("""COMPUTED_VALUE"""),2.15)</f>
        <v>2.15</v>
      </c>
      <c r="E2701" s="1">
        <f>IFERROR(__xludf.DUMMYFUNCTION("""COMPUTED_VALUE"""),2.17)</f>
        <v>2.17</v>
      </c>
      <c r="F2701" s="1">
        <f>IFERROR(__xludf.DUMMYFUNCTION("""COMPUTED_VALUE"""),306550.0)</f>
        <v>306550</v>
      </c>
    </row>
    <row r="2702">
      <c r="A2702" s="2">
        <f>IFERROR(__xludf.DUMMYFUNCTION("""COMPUTED_VALUE"""),43084.66666666667)</f>
        <v>43084.66667</v>
      </c>
      <c r="B2702" s="1">
        <f>IFERROR(__xludf.DUMMYFUNCTION("""COMPUTED_VALUE"""),2.17)</f>
        <v>2.17</v>
      </c>
      <c r="C2702" s="1">
        <f>IFERROR(__xludf.DUMMYFUNCTION("""COMPUTED_VALUE"""),2.23)</f>
        <v>2.23</v>
      </c>
      <c r="D2702" s="1">
        <f>IFERROR(__xludf.DUMMYFUNCTION("""COMPUTED_VALUE"""),2.13)</f>
        <v>2.13</v>
      </c>
      <c r="E2702" s="1">
        <f>IFERROR(__xludf.DUMMYFUNCTION("""COMPUTED_VALUE"""),2.2)</f>
        <v>2.2</v>
      </c>
      <c r="F2702" s="1">
        <f>IFERROR(__xludf.DUMMYFUNCTION("""COMPUTED_VALUE"""),1249073.0)</f>
        <v>1249073</v>
      </c>
    </row>
    <row r="2703">
      <c r="A2703" s="2">
        <f>IFERROR(__xludf.DUMMYFUNCTION("""COMPUTED_VALUE"""),43087.66666666667)</f>
        <v>43087.66667</v>
      </c>
      <c r="B2703" s="1">
        <f>IFERROR(__xludf.DUMMYFUNCTION("""COMPUTED_VALUE"""),2.21)</f>
        <v>2.21</v>
      </c>
      <c r="C2703" s="1">
        <f>IFERROR(__xludf.DUMMYFUNCTION("""COMPUTED_VALUE"""),2.23)</f>
        <v>2.23</v>
      </c>
      <c r="D2703" s="1">
        <f>IFERROR(__xludf.DUMMYFUNCTION("""COMPUTED_VALUE"""),2.18)</f>
        <v>2.18</v>
      </c>
      <c r="E2703" s="1">
        <f>IFERROR(__xludf.DUMMYFUNCTION("""COMPUTED_VALUE"""),2.2)</f>
        <v>2.2</v>
      </c>
      <c r="F2703" s="1">
        <f>IFERROR(__xludf.DUMMYFUNCTION("""COMPUTED_VALUE"""),316334.0)</f>
        <v>316334</v>
      </c>
    </row>
    <row r="2704">
      <c r="A2704" s="2">
        <f>IFERROR(__xludf.DUMMYFUNCTION("""COMPUTED_VALUE"""),43088.66666666667)</f>
        <v>43088.66667</v>
      </c>
      <c r="B2704" s="1">
        <f>IFERROR(__xludf.DUMMYFUNCTION("""COMPUTED_VALUE"""),2.2)</f>
        <v>2.2</v>
      </c>
      <c r="C2704" s="1">
        <f>IFERROR(__xludf.DUMMYFUNCTION("""COMPUTED_VALUE"""),2.23)</f>
        <v>2.23</v>
      </c>
      <c r="D2704" s="1">
        <f>IFERROR(__xludf.DUMMYFUNCTION("""COMPUTED_VALUE"""),2.19)</f>
        <v>2.19</v>
      </c>
      <c r="E2704" s="1">
        <f>IFERROR(__xludf.DUMMYFUNCTION("""COMPUTED_VALUE"""),2.22)</f>
        <v>2.22</v>
      </c>
      <c r="F2704" s="1">
        <f>IFERROR(__xludf.DUMMYFUNCTION("""COMPUTED_VALUE"""),620846.0)</f>
        <v>620846</v>
      </c>
    </row>
    <row r="2705">
      <c r="A2705" s="2">
        <f>IFERROR(__xludf.DUMMYFUNCTION("""COMPUTED_VALUE"""),43089.66666666667)</f>
        <v>43089.66667</v>
      </c>
      <c r="B2705" s="1">
        <f>IFERROR(__xludf.DUMMYFUNCTION("""COMPUTED_VALUE"""),2.22)</f>
        <v>2.22</v>
      </c>
      <c r="C2705" s="1">
        <f>IFERROR(__xludf.DUMMYFUNCTION("""COMPUTED_VALUE"""),2.23)</f>
        <v>2.23</v>
      </c>
      <c r="D2705" s="1">
        <f>IFERROR(__xludf.DUMMYFUNCTION("""COMPUTED_VALUE"""),2.16)</f>
        <v>2.16</v>
      </c>
      <c r="E2705" s="1">
        <f>IFERROR(__xludf.DUMMYFUNCTION("""COMPUTED_VALUE"""),2.17)</f>
        <v>2.17</v>
      </c>
      <c r="F2705" s="1">
        <f>IFERROR(__xludf.DUMMYFUNCTION("""COMPUTED_VALUE"""),434670.0)</f>
        <v>434670</v>
      </c>
    </row>
    <row r="2706">
      <c r="A2706" s="2">
        <f>IFERROR(__xludf.DUMMYFUNCTION("""COMPUTED_VALUE"""),43090.66666666667)</f>
        <v>43090.66667</v>
      </c>
      <c r="B2706" s="1">
        <f>IFERROR(__xludf.DUMMYFUNCTION("""COMPUTED_VALUE"""),2.16)</f>
        <v>2.16</v>
      </c>
      <c r="C2706" s="1">
        <f>IFERROR(__xludf.DUMMYFUNCTION("""COMPUTED_VALUE"""),2.17)</f>
        <v>2.17</v>
      </c>
      <c r="D2706" s="1">
        <f>IFERROR(__xludf.DUMMYFUNCTION("""COMPUTED_VALUE"""),2.12)</f>
        <v>2.12</v>
      </c>
      <c r="E2706" s="1">
        <f>IFERROR(__xludf.DUMMYFUNCTION("""COMPUTED_VALUE"""),2.13)</f>
        <v>2.13</v>
      </c>
      <c r="F2706" s="1">
        <f>IFERROR(__xludf.DUMMYFUNCTION("""COMPUTED_VALUE"""),474908.0)</f>
        <v>474908</v>
      </c>
    </row>
    <row r="2707">
      <c r="A2707" s="2">
        <f>IFERROR(__xludf.DUMMYFUNCTION("""COMPUTED_VALUE"""),43091.66666666667)</f>
        <v>43091.66667</v>
      </c>
      <c r="B2707" s="1">
        <f>IFERROR(__xludf.DUMMYFUNCTION("""COMPUTED_VALUE"""),2.14)</f>
        <v>2.14</v>
      </c>
      <c r="C2707" s="1">
        <f>IFERROR(__xludf.DUMMYFUNCTION("""COMPUTED_VALUE"""),2.14)</f>
        <v>2.14</v>
      </c>
      <c r="D2707" s="1">
        <f>IFERROR(__xludf.DUMMYFUNCTION("""COMPUTED_VALUE"""),2.1)</f>
        <v>2.1</v>
      </c>
      <c r="E2707" s="1">
        <f>IFERROR(__xludf.DUMMYFUNCTION("""COMPUTED_VALUE"""),2.1)</f>
        <v>2.1</v>
      </c>
      <c r="F2707" s="1">
        <f>IFERROR(__xludf.DUMMYFUNCTION("""COMPUTED_VALUE"""),271960.0)</f>
        <v>271960</v>
      </c>
    </row>
    <row r="2708">
      <c r="A2708" s="2">
        <f>IFERROR(__xludf.DUMMYFUNCTION("""COMPUTED_VALUE"""),43095.66666666667)</f>
        <v>43095.66667</v>
      </c>
      <c r="B2708" s="1">
        <f>IFERROR(__xludf.DUMMYFUNCTION("""COMPUTED_VALUE"""),2.08)</f>
        <v>2.08</v>
      </c>
      <c r="C2708" s="1">
        <f>IFERROR(__xludf.DUMMYFUNCTION("""COMPUTED_VALUE"""),2.12)</f>
        <v>2.12</v>
      </c>
      <c r="D2708" s="1">
        <f>IFERROR(__xludf.DUMMYFUNCTION("""COMPUTED_VALUE"""),2.04)</f>
        <v>2.04</v>
      </c>
      <c r="E2708" s="1">
        <f>IFERROR(__xludf.DUMMYFUNCTION("""COMPUTED_VALUE"""),2.08)</f>
        <v>2.08</v>
      </c>
      <c r="F2708" s="1">
        <f>IFERROR(__xludf.DUMMYFUNCTION("""COMPUTED_VALUE"""),182499.0)</f>
        <v>182499</v>
      </c>
    </row>
    <row r="2709">
      <c r="A2709" s="2">
        <f>IFERROR(__xludf.DUMMYFUNCTION("""COMPUTED_VALUE"""),43096.66666666667)</f>
        <v>43096.66667</v>
      </c>
      <c r="B2709" s="1">
        <f>IFERROR(__xludf.DUMMYFUNCTION("""COMPUTED_VALUE"""),2.08)</f>
        <v>2.08</v>
      </c>
      <c r="C2709" s="1">
        <f>IFERROR(__xludf.DUMMYFUNCTION("""COMPUTED_VALUE"""),2.11)</f>
        <v>2.11</v>
      </c>
      <c r="D2709" s="1">
        <f>IFERROR(__xludf.DUMMYFUNCTION("""COMPUTED_VALUE"""),2.06)</f>
        <v>2.06</v>
      </c>
      <c r="E2709" s="1">
        <f>IFERROR(__xludf.DUMMYFUNCTION("""COMPUTED_VALUE"""),2.1)</f>
        <v>2.1</v>
      </c>
      <c r="F2709" s="1">
        <f>IFERROR(__xludf.DUMMYFUNCTION("""COMPUTED_VALUE"""),344347.0)</f>
        <v>344347</v>
      </c>
    </row>
    <row r="2710">
      <c r="A2710" s="2">
        <f>IFERROR(__xludf.DUMMYFUNCTION("""COMPUTED_VALUE"""),43097.66666666667)</f>
        <v>43097.66667</v>
      </c>
      <c r="B2710" s="1">
        <f>IFERROR(__xludf.DUMMYFUNCTION("""COMPUTED_VALUE"""),2.09)</f>
        <v>2.09</v>
      </c>
      <c r="C2710" s="1">
        <f>IFERROR(__xludf.DUMMYFUNCTION("""COMPUTED_VALUE"""),2.12)</f>
        <v>2.12</v>
      </c>
      <c r="D2710" s="1">
        <f>IFERROR(__xludf.DUMMYFUNCTION("""COMPUTED_VALUE"""),2.07)</f>
        <v>2.07</v>
      </c>
      <c r="E2710" s="1">
        <f>IFERROR(__xludf.DUMMYFUNCTION("""COMPUTED_VALUE"""),2.1)</f>
        <v>2.1</v>
      </c>
      <c r="F2710" s="1">
        <f>IFERROR(__xludf.DUMMYFUNCTION("""COMPUTED_VALUE"""),447741.0)</f>
        <v>447741</v>
      </c>
    </row>
    <row r="2711">
      <c r="A2711" s="2">
        <f>IFERROR(__xludf.DUMMYFUNCTION("""COMPUTED_VALUE"""),43098.66666666667)</f>
        <v>43098.66667</v>
      </c>
      <c r="B2711" s="1">
        <f>IFERROR(__xludf.DUMMYFUNCTION("""COMPUTED_VALUE"""),2.1)</f>
        <v>2.1</v>
      </c>
      <c r="C2711" s="1">
        <f>IFERROR(__xludf.DUMMYFUNCTION("""COMPUTED_VALUE"""),2.12)</f>
        <v>2.12</v>
      </c>
      <c r="D2711" s="1">
        <f>IFERROR(__xludf.DUMMYFUNCTION("""COMPUTED_VALUE"""),2.08)</f>
        <v>2.08</v>
      </c>
      <c r="E2711" s="1">
        <f>IFERROR(__xludf.DUMMYFUNCTION("""COMPUTED_VALUE"""),2.09)</f>
        <v>2.09</v>
      </c>
      <c r="F2711" s="1">
        <f>IFERROR(__xludf.DUMMYFUNCTION("""COMPUTED_VALUE"""),399309.0)</f>
        <v>399309</v>
      </c>
    </row>
    <row r="2712">
      <c r="A2712" s="2">
        <f>IFERROR(__xludf.DUMMYFUNCTION("""COMPUTED_VALUE"""),43102.66666666667)</f>
        <v>43102.66667</v>
      </c>
      <c r="B2712" s="1">
        <f>IFERROR(__xludf.DUMMYFUNCTION("""COMPUTED_VALUE"""),2.09)</f>
        <v>2.09</v>
      </c>
      <c r="C2712" s="1">
        <f>IFERROR(__xludf.DUMMYFUNCTION("""COMPUTED_VALUE"""),2.17)</f>
        <v>2.17</v>
      </c>
      <c r="D2712" s="1">
        <f>IFERROR(__xludf.DUMMYFUNCTION("""COMPUTED_VALUE"""),2.09)</f>
        <v>2.09</v>
      </c>
      <c r="E2712" s="1">
        <f>IFERROR(__xludf.DUMMYFUNCTION("""COMPUTED_VALUE"""),2.15)</f>
        <v>2.15</v>
      </c>
      <c r="F2712" s="1">
        <f>IFERROR(__xludf.DUMMYFUNCTION("""COMPUTED_VALUE"""),434529.0)</f>
        <v>434529</v>
      </c>
    </row>
    <row r="2713">
      <c r="A2713" s="2">
        <f>IFERROR(__xludf.DUMMYFUNCTION("""COMPUTED_VALUE"""),43103.66666666667)</f>
        <v>43103.66667</v>
      </c>
      <c r="B2713" s="1">
        <f>IFERROR(__xludf.DUMMYFUNCTION("""COMPUTED_VALUE"""),2.13)</f>
        <v>2.13</v>
      </c>
      <c r="C2713" s="1">
        <f>IFERROR(__xludf.DUMMYFUNCTION("""COMPUTED_VALUE"""),2.15)</f>
        <v>2.15</v>
      </c>
      <c r="D2713" s="1">
        <f>IFERROR(__xludf.DUMMYFUNCTION("""COMPUTED_VALUE"""),2.11)</f>
        <v>2.11</v>
      </c>
      <c r="E2713" s="1">
        <f>IFERROR(__xludf.DUMMYFUNCTION("""COMPUTED_VALUE"""),2.15)</f>
        <v>2.15</v>
      </c>
      <c r="F2713" s="1">
        <f>IFERROR(__xludf.DUMMYFUNCTION("""COMPUTED_VALUE"""),409711.0)</f>
        <v>409711</v>
      </c>
    </row>
    <row r="2714">
      <c r="A2714" s="2">
        <f>IFERROR(__xludf.DUMMYFUNCTION("""COMPUTED_VALUE"""),43104.66666666667)</f>
        <v>43104.66667</v>
      </c>
      <c r="B2714" s="1">
        <f>IFERROR(__xludf.DUMMYFUNCTION("""COMPUTED_VALUE"""),2.15)</f>
        <v>2.15</v>
      </c>
      <c r="C2714" s="1">
        <f>IFERROR(__xludf.DUMMYFUNCTION("""COMPUTED_VALUE"""),2.19)</f>
        <v>2.19</v>
      </c>
      <c r="D2714" s="1">
        <f>IFERROR(__xludf.DUMMYFUNCTION("""COMPUTED_VALUE"""),2.14)</f>
        <v>2.14</v>
      </c>
      <c r="E2714" s="1">
        <f>IFERROR(__xludf.DUMMYFUNCTION("""COMPUTED_VALUE"""),2.17)</f>
        <v>2.17</v>
      </c>
      <c r="F2714" s="1">
        <f>IFERROR(__xludf.DUMMYFUNCTION("""COMPUTED_VALUE"""),363089.0)</f>
        <v>363089</v>
      </c>
    </row>
    <row r="2715">
      <c r="A2715" s="2">
        <f>IFERROR(__xludf.DUMMYFUNCTION("""COMPUTED_VALUE"""),43105.66666666667)</f>
        <v>43105.66667</v>
      </c>
      <c r="B2715" s="1">
        <f>IFERROR(__xludf.DUMMYFUNCTION("""COMPUTED_VALUE"""),2.18)</f>
        <v>2.18</v>
      </c>
      <c r="C2715" s="1">
        <f>IFERROR(__xludf.DUMMYFUNCTION("""COMPUTED_VALUE"""),2.19)</f>
        <v>2.19</v>
      </c>
      <c r="D2715" s="1">
        <f>IFERROR(__xludf.DUMMYFUNCTION("""COMPUTED_VALUE"""),2.14)</f>
        <v>2.14</v>
      </c>
      <c r="E2715" s="1">
        <f>IFERROR(__xludf.DUMMYFUNCTION("""COMPUTED_VALUE"""),2.17)</f>
        <v>2.17</v>
      </c>
      <c r="F2715" s="1">
        <f>IFERROR(__xludf.DUMMYFUNCTION("""COMPUTED_VALUE"""),217818.0)</f>
        <v>217818</v>
      </c>
    </row>
    <row r="2716">
      <c r="A2716" s="2">
        <f>IFERROR(__xludf.DUMMYFUNCTION("""COMPUTED_VALUE"""),43108.66666666667)</f>
        <v>43108.66667</v>
      </c>
      <c r="B2716" s="1">
        <f>IFERROR(__xludf.DUMMYFUNCTION("""COMPUTED_VALUE"""),2.17)</f>
        <v>2.17</v>
      </c>
      <c r="C2716" s="1">
        <f>IFERROR(__xludf.DUMMYFUNCTION("""COMPUTED_VALUE"""),2.18)</f>
        <v>2.18</v>
      </c>
      <c r="D2716" s="1">
        <f>IFERROR(__xludf.DUMMYFUNCTION("""COMPUTED_VALUE"""),2.15)</f>
        <v>2.15</v>
      </c>
      <c r="E2716" s="1">
        <f>IFERROR(__xludf.DUMMYFUNCTION("""COMPUTED_VALUE"""),2.18)</f>
        <v>2.18</v>
      </c>
      <c r="F2716" s="1">
        <f>IFERROR(__xludf.DUMMYFUNCTION("""COMPUTED_VALUE"""),348690.0)</f>
        <v>348690</v>
      </c>
    </row>
    <row r="2717">
      <c r="A2717" s="2">
        <f>IFERROR(__xludf.DUMMYFUNCTION("""COMPUTED_VALUE"""),43109.66666666667)</f>
        <v>43109.66667</v>
      </c>
      <c r="B2717" s="1">
        <f>IFERROR(__xludf.DUMMYFUNCTION("""COMPUTED_VALUE"""),2.18)</f>
        <v>2.18</v>
      </c>
      <c r="C2717" s="1">
        <f>IFERROR(__xludf.DUMMYFUNCTION("""COMPUTED_VALUE"""),2.18)</f>
        <v>2.18</v>
      </c>
      <c r="D2717" s="1">
        <f>IFERROR(__xludf.DUMMYFUNCTION("""COMPUTED_VALUE"""),2.12)</f>
        <v>2.12</v>
      </c>
      <c r="E2717" s="1">
        <f>IFERROR(__xludf.DUMMYFUNCTION("""COMPUTED_VALUE"""),2.13)</f>
        <v>2.13</v>
      </c>
      <c r="F2717" s="1">
        <f>IFERROR(__xludf.DUMMYFUNCTION("""COMPUTED_VALUE"""),311580.0)</f>
        <v>311580</v>
      </c>
    </row>
    <row r="2718">
      <c r="A2718" s="2">
        <f>IFERROR(__xludf.DUMMYFUNCTION("""COMPUTED_VALUE"""),43110.66666666667)</f>
        <v>43110.66667</v>
      </c>
      <c r="B2718" s="1">
        <f>IFERROR(__xludf.DUMMYFUNCTION("""COMPUTED_VALUE"""),2.11)</f>
        <v>2.11</v>
      </c>
      <c r="C2718" s="1">
        <f>IFERROR(__xludf.DUMMYFUNCTION("""COMPUTED_VALUE"""),2.15)</f>
        <v>2.15</v>
      </c>
      <c r="D2718" s="1">
        <f>IFERROR(__xludf.DUMMYFUNCTION("""COMPUTED_VALUE"""),2.1)</f>
        <v>2.1</v>
      </c>
      <c r="E2718" s="1">
        <f>IFERROR(__xludf.DUMMYFUNCTION("""COMPUTED_VALUE"""),2.13)</f>
        <v>2.13</v>
      </c>
      <c r="F2718" s="1">
        <f>IFERROR(__xludf.DUMMYFUNCTION("""COMPUTED_VALUE"""),260167.0)</f>
        <v>260167</v>
      </c>
    </row>
    <row r="2719">
      <c r="A2719" s="2">
        <f>IFERROR(__xludf.DUMMYFUNCTION("""COMPUTED_VALUE"""),43111.66666666667)</f>
        <v>43111.66667</v>
      </c>
      <c r="B2719" s="1">
        <f>IFERROR(__xludf.DUMMYFUNCTION("""COMPUTED_VALUE"""),2.13)</f>
        <v>2.13</v>
      </c>
      <c r="C2719" s="1">
        <f>IFERROR(__xludf.DUMMYFUNCTION("""COMPUTED_VALUE"""),2.19)</f>
        <v>2.19</v>
      </c>
      <c r="D2719" s="1">
        <f>IFERROR(__xludf.DUMMYFUNCTION("""COMPUTED_VALUE"""),2.12)</f>
        <v>2.12</v>
      </c>
      <c r="E2719" s="1">
        <f>IFERROR(__xludf.DUMMYFUNCTION("""COMPUTED_VALUE"""),2.17)</f>
        <v>2.17</v>
      </c>
      <c r="F2719" s="1">
        <f>IFERROR(__xludf.DUMMYFUNCTION("""COMPUTED_VALUE"""),211680.0)</f>
        <v>211680</v>
      </c>
    </row>
    <row r="2720">
      <c r="A2720" s="2">
        <f>IFERROR(__xludf.DUMMYFUNCTION("""COMPUTED_VALUE"""),43112.66666666667)</f>
        <v>43112.66667</v>
      </c>
      <c r="B2720" s="1">
        <f>IFERROR(__xludf.DUMMYFUNCTION("""COMPUTED_VALUE"""),2.17)</f>
        <v>2.17</v>
      </c>
      <c r="C2720" s="1">
        <f>IFERROR(__xludf.DUMMYFUNCTION("""COMPUTED_VALUE"""),2.18)</f>
        <v>2.18</v>
      </c>
      <c r="D2720" s="1">
        <f>IFERROR(__xludf.DUMMYFUNCTION("""COMPUTED_VALUE"""),2.13)</f>
        <v>2.13</v>
      </c>
      <c r="E2720" s="1">
        <f>IFERROR(__xludf.DUMMYFUNCTION("""COMPUTED_VALUE"""),2.15)</f>
        <v>2.15</v>
      </c>
      <c r="F2720" s="1">
        <f>IFERROR(__xludf.DUMMYFUNCTION("""COMPUTED_VALUE"""),307110.0)</f>
        <v>307110</v>
      </c>
    </row>
    <row r="2721">
      <c r="A2721" s="2">
        <f>IFERROR(__xludf.DUMMYFUNCTION("""COMPUTED_VALUE"""),43116.66666666667)</f>
        <v>43116.66667</v>
      </c>
      <c r="B2721" s="1">
        <f>IFERROR(__xludf.DUMMYFUNCTION("""COMPUTED_VALUE"""),2.15)</f>
        <v>2.15</v>
      </c>
      <c r="C2721" s="1">
        <f>IFERROR(__xludf.DUMMYFUNCTION("""COMPUTED_VALUE"""),2.19)</f>
        <v>2.19</v>
      </c>
      <c r="D2721" s="1">
        <f>IFERROR(__xludf.DUMMYFUNCTION("""COMPUTED_VALUE"""),2.13)</f>
        <v>2.13</v>
      </c>
      <c r="E2721" s="1">
        <f>IFERROR(__xludf.DUMMYFUNCTION("""COMPUTED_VALUE"""),2.15)</f>
        <v>2.15</v>
      </c>
      <c r="F2721" s="1">
        <f>IFERROR(__xludf.DUMMYFUNCTION("""COMPUTED_VALUE"""),322103.0)</f>
        <v>322103</v>
      </c>
    </row>
    <row r="2722">
      <c r="A2722" s="2">
        <f>IFERROR(__xludf.DUMMYFUNCTION("""COMPUTED_VALUE"""),43117.66666666667)</f>
        <v>43117.66667</v>
      </c>
      <c r="B2722" s="1">
        <f>IFERROR(__xludf.DUMMYFUNCTION("""COMPUTED_VALUE"""),2.17)</f>
        <v>2.17</v>
      </c>
      <c r="C2722" s="1">
        <f>IFERROR(__xludf.DUMMYFUNCTION("""COMPUTED_VALUE"""),2.17)</f>
        <v>2.17</v>
      </c>
      <c r="D2722" s="1">
        <f>IFERROR(__xludf.DUMMYFUNCTION("""COMPUTED_VALUE"""),2.13)</f>
        <v>2.13</v>
      </c>
      <c r="E2722" s="1">
        <f>IFERROR(__xludf.DUMMYFUNCTION("""COMPUTED_VALUE"""),2.17)</f>
        <v>2.17</v>
      </c>
      <c r="F2722" s="1">
        <f>IFERROR(__xludf.DUMMYFUNCTION("""COMPUTED_VALUE"""),429974.0)</f>
        <v>429974</v>
      </c>
    </row>
    <row r="2723">
      <c r="A2723" s="2">
        <f>IFERROR(__xludf.DUMMYFUNCTION("""COMPUTED_VALUE"""),43118.66666666667)</f>
        <v>43118.66667</v>
      </c>
      <c r="B2723" s="1">
        <f>IFERROR(__xludf.DUMMYFUNCTION("""COMPUTED_VALUE"""),2.17)</f>
        <v>2.17</v>
      </c>
      <c r="C2723" s="1">
        <f>IFERROR(__xludf.DUMMYFUNCTION("""COMPUTED_VALUE"""),2.19)</f>
        <v>2.19</v>
      </c>
      <c r="D2723" s="1">
        <f>IFERROR(__xludf.DUMMYFUNCTION("""COMPUTED_VALUE"""),2.15)</f>
        <v>2.15</v>
      </c>
      <c r="E2723" s="1">
        <f>IFERROR(__xludf.DUMMYFUNCTION("""COMPUTED_VALUE"""),2.15)</f>
        <v>2.15</v>
      </c>
      <c r="F2723" s="1">
        <f>IFERROR(__xludf.DUMMYFUNCTION("""COMPUTED_VALUE"""),177510.0)</f>
        <v>177510</v>
      </c>
    </row>
    <row r="2724">
      <c r="A2724" s="2">
        <f>IFERROR(__xludf.DUMMYFUNCTION("""COMPUTED_VALUE"""),43119.66666666667)</f>
        <v>43119.66667</v>
      </c>
      <c r="B2724" s="1">
        <f>IFERROR(__xludf.DUMMYFUNCTION("""COMPUTED_VALUE"""),2.15)</f>
        <v>2.15</v>
      </c>
      <c r="C2724" s="1">
        <f>IFERROR(__xludf.DUMMYFUNCTION("""COMPUTED_VALUE"""),2.3)</f>
        <v>2.3</v>
      </c>
      <c r="D2724" s="1">
        <f>IFERROR(__xludf.DUMMYFUNCTION("""COMPUTED_VALUE"""),2.15)</f>
        <v>2.15</v>
      </c>
      <c r="E2724" s="1">
        <f>IFERROR(__xludf.DUMMYFUNCTION("""COMPUTED_VALUE"""),2.28)</f>
        <v>2.28</v>
      </c>
      <c r="F2724" s="1">
        <f>IFERROR(__xludf.DUMMYFUNCTION("""COMPUTED_VALUE"""),549551.0)</f>
        <v>549551</v>
      </c>
    </row>
    <row r="2725">
      <c r="A2725" s="2">
        <f>IFERROR(__xludf.DUMMYFUNCTION("""COMPUTED_VALUE"""),43122.66666666667)</f>
        <v>43122.66667</v>
      </c>
      <c r="B2725" s="1">
        <f>IFERROR(__xludf.DUMMYFUNCTION("""COMPUTED_VALUE"""),2.29)</f>
        <v>2.29</v>
      </c>
      <c r="C2725" s="1">
        <f>IFERROR(__xludf.DUMMYFUNCTION("""COMPUTED_VALUE"""),2.35)</f>
        <v>2.35</v>
      </c>
      <c r="D2725" s="1">
        <f>IFERROR(__xludf.DUMMYFUNCTION("""COMPUTED_VALUE"""),2.28)</f>
        <v>2.28</v>
      </c>
      <c r="E2725" s="1">
        <f>IFERROR(__xludf.DUMMYFUNCTION("""COMPUTED_VALUE"""),2.34)</f>
        <v>2.34</v>
      </c>
      <c r="F2725" s="1">
        <f>IFERROR(__xludf.DUMMYFUNCTION("""COMPUTED_VALUE"""),786170.0)</f>
        <v>786170</v>
      </c>
    </row>
    <row r="2726">
      <c r="A2726" s="2">
        <f>IFERROR(__xludf.DUMMYFUNCTION("""COMPUTED_VALUE"""),43123.66666666667)</f>
        <v>43123.66667</v>
      </c>
      <c r="B2726" s="1">
        <f>IFERROR(__xludf.DUMMYFUNCTION("""COMPUTED_VALUE"""),2.35)</f>
        <v>2.35</v>
      </c>
      <c r="C2726" s="1">
        <f>IFERROR(__xludf.DUMMYFUNCTION("""COMPUTED_VALUE"""),2.35)</f>
        <v>2.35</v>
      </c>
      <c r="D2726" s="1">
        <f>IFERROR(__xludf.DUMMYFUNCTION("""COMPUTED_VALUE"""),2.27)</f>
        <v>2.27</v>
      </c>
      <c r="E2726" s="1">
        <f>IFERROR(__xludf.DUMMYFUNCTION("""COMPUTED_VALUE"""),2.29)</f>
        <v>2.29</v>
      </c>
      <c r="F2726" s="1">
        <f>IFERROR(__xludf.DUMMYFUNCTION("""COMPUTED_VALUE"""),377141.0)</f>
        <v>377141</v>
      </c>
    </row>
    <row r="2727">
      <c r="A2727" s="2">
        <f>IFERROR(__xludf.DUMMYFUNCTION("""COMPUTED_VALUE"""),43124.66666666667)</f>
        <v>43124.66667</v>
      </c>
      <c r="B2727" s="1">
        <f>IFERROR(__xludf.DUMMYFUNCTION("""COMPUTED_VALUE"""),2.3)</f>
        <v>2.3</v>
      </c>
      <c r="C2727" s="1">
        <f>IFERROR(__xludf.DUMMYFUNCTION("""COMPUTED_VALUE"""),2.32)</f>
        <v>2.32</v>
      </c>
      <c r="D2727" s="1">
        <f>IFERROR(__xludf.DUMMYFUNCTION("""COMPUTED_VALUE"""),2.26)</f>
        <v>2.26</v>
      </c>
      <c r="E2727" s="1">
        <f>IFERROR(__xludf.DUMMYFUNCTION("""COMPUTED_VALUE"""),2.28)</f>
        <v>2.28</v>
      </c>
      <c r="F2727" s="1">
        <f>IFERROR(__xludf.DUMMYFUNCTION("""COMPUTED_VALUE"""),812442.0)</f>
        <v>812442</v>
      </c>
    </row>
    <row r="2728">
      <c r="A2728" s="2">
        <f>IFERROR(__xludf.DUMMYFUNCTION("""COMPUTED_VALUE"""),43125.66666666667)</f>
        <v>43125.66667</v>
      </c>
      <c r="B2728" s="1">
        <f>IFERROR(__xludf.DUMMYFUNCTION("""COMPUTED_VALUE"""),2.28)</f>
        <v>2.28</v>
      </c>
      <c r="C2728" s="1">
        <f>IFERROR(__xludf.DUMMYFUNCTION("""COMPUTED_VALUE"""),2.3)</f>
        <v>2.3</v>
      </c>
      <c r="D2728" s="1">
        <f>IFERROR(__xludf.DUMMYFUNCTION("""COMPUTED_VALUE"""),2.23)</f>
        <v>2.23</v>
      </c>
      <c r="E2728" s="1">
        <f>IFERROR(__xludf.DUMMYFUNCTION("""COMPUTED_VALUE"""),2.27)</f>
        <v>2.27</v>
      </c>
      <c r="F2728" s="1">
        <f>IFERROR(__xludf.DUMMYFUNCTION("""COMPUTED_VALUE"""),485014.0)</f>
        <v>485014</v>
      </c>
    </row>
    <row r="2729">
      <c r="A2729" s="2">
        <f>IFERROR(__xludf.DUMMYFUNCTION("""COMPUTED_VALUE"""),43126.66666666667)</f>
        <v>43126.66667</v>
      </c>
      <c r="B2729" s="1">
        <f>IFERROR(__xludf.DUMMYFUNCTION("""COMPUTED_VALUE"""),2.3)</f>
        <v>2.3</v>
      </c>
      <c r="C2729" s="1">
        <f>IFERROR(__xludf.DUMMYFUNCTION("""COMPUTED_VALUE"""),2.4)</f>
        <v>2.4</v>
      </c>
      <c r="D2729" s="1">
        <f>IFERROR(__xludf.DUMMYFUNCTION("""COMPUTED_VALUE"""),2.28)</f>
        <v>2.28</v>
      </c>
      <c r="E2729" s="1">
        <f>IFERROR(__xludf.DUMMYFUNCTION("""COMPUTED_VALUE"""),2.38)</f>
        <v>2.38</v>
      </c>
      <c r="F2729" s="1">
        <f>IFERROR(__xludf.DUMMYFUNCTION("""COMPUTED_VALUE"""),556721.0)</f>
        <v>556721</v>
      </c>
    </row>
    <row r="2730">
      <c r="A2730" s="2">
        <f>IFERROR(__xludf.DUMMYFUNCTION("""COMPUTED_VALUE"""),43129.66666666667)</f>
        <v>43129.66667</v>
      </c>
      <c r="B2730" s="1">
        <f>IFERROR(__xludf.DUMMYFUNCTION("""COMPUTED_VALUE"""),2.38)</f>
        <v>2.38</v>
      </c>
      <c r="C2730" s="1">
        <f>IFERROR(__xludf.DUMMYFUNCTION("""COMPUTED_VALUE"""),2.48)</f>
        <v>2.48</v>
      </c>
      <c r="D2730" s="1">
        <f>IFERROR(__xludf.DUMMYFUNCTION("""COMPUTED_VALUE"""),2.37)</f>
        <v>2.37</v>
      </c>
      <c r="E2730" s="1">
        <f>IFERROR(__xludf.DUMMYFUNCTION("""COMPUTED_VALUE"""),2.45)</f>
        <v>2.45</v>
      </c>
      <c r="F2730" s="1">
        <f>IFERROR(__xludf.DUMMYFUNCTION("""COMPUTED_VALUE"""),1083443.0)</f>
        <v>1083443</v>
      </c>
    </row>
    <row r="2731">
      <c r="A2731" s="2">
        <f>IFERROR(__xludf.DUMMYFUNCTION("""COMPUTED_VALUE"""),43130.66666666667)</f>
        <v>43130.66667</v>
      </c>
      <c r="B2731" s="1">
        <f>IFERROR(__xludf.DUMMYFUNCTION("""COMPUTED_VALUE"""),2.44)</f>
        <v>2.44</v>
      </c>
      <c r="C2731" s="1">
        <f>IFERROR(__xludf.DUMMYFUNCTION("""COMPUTED_VALUE"""),2.48)</f>
        <v>2.48</v>
      </c>
      <c r="D2731" s="1">
        <f>IFERROR(__xludf.DUMMYFUNCTION("""COMPUTED_VALUE"""),2.38)</f>
        <v>2.38</v>
      </c>
      <c r="E2731" s="1">
        <f>IFERROR(__xludf.DUMMYFUNCTION("""COMPUTED_VALUE"""),2.47)</f>
        <v>2.47</v>
      </c>
      <c r="F2731" s="1">
        <f>IFERROR(__xludf.DUMMYFUNCTION("""COMPUTED_VALUE"""),1027934.0)</f>
        <v>1027934</v>
      </c>
    </row>
    <row r="2732">
      <c r="A2732" s="2">
        <f>IFERROR(__xludf.DUMMYFUNCTION("""COMPUTED_VALUE"""),43131.66666666667)</f>
        <v>43131.66667</v>
      </c>
      <c r="B2732" s="1">
        <f>IFERROR(__xludf.DUMMYFUNCTION("""COMPUTED_VALUE"""),2.29)</f>
        <v>2.29</v>
      </c>
      <c r="C2732" s="1">
        <f>IFERROR(__xludf.DUMMYFUNCTION("""COMPUTED_VALUE"""),2.38)</f>
        <v>2.38</v>
      </c>
      <c r="D2732" s="1">
        <f>IFERROR(__xludf.DUMMYFUNCTION("""COMPUTED_VALUE"""),2.22)</f>
        <v>2.22</v>
      </c>
      <c r="E2732" s="1">
        <f>IFERROR(__xludf.DUMMYFUNCTION("""COMPUTED_VALUE"""),2.28)</f>
        <v>2.28</v>
      </c>
      <c r="F2732" s="1">
        <f>IFERROR(__xludf.DUMMYFUNCTION("""COMPUTED_VALUE"""),1476873.0)</f>
        <v>1476873</v>
      </c>
    </row>
    <row r="2733">
      <c r="A2733" s="2">
        <f>IFERROR(__xludf.DUMMYFUNCTION("""COMPUTED_VALUE"""),43132.66666666667)</f>
        <v>43132.66667</v>
      </c>
      <c r="B2733" s="1">
        <f>IFERROR(__xludf.DUMMYFUNCTION("""COMPUTED_VALUE"""),2.27)</f>
        <v>2.27</v>
      </c>
      <c r="C2733" s="1">
        <f>IFERROR(__xludf.DUMMYFUNCTION("""COMPUTED_VALUE"""),2.27)</f>
        <v>2.27</v>
      </c>
      <c r="D2733" s="1">
        <f>IFERROR(__xludf.DUMMYFUNCTION("""COMPUTED_VALUE"""),2.23)</f>
        <v>2.23</v>
      </c>
      <c r="E2733" s="1">
        <f>IFERROR(__xludf.DUMMYFUNCTION("""COMPUTED_VALUE"""),2.26)</f>
        <v>2.26</v>
      </c>
      <c r="F2733" s="1">
        <f>IFERROR(__xludf.DUMMYFUNCTION("""COMPUTED_VALUE"""),696027.0)</f>
        <v>696027</v>
      </c>
    </row>
    <row r="2734">
      <c r="A2734" s="2">
        <f>IFERROR(__xludf.DUMMYFUNCTION("""COMPUTED_VALUE"""),43133.66666666667)</f>
        <v>43133.66667</v>
      </c>
      <c r="B2734" s="1">
        <f>IFERROR(__xludf.DUMMYFUNCTION("""COMPUTED_VALUE"""),2.24)</f>
        <v>2.24</v>
      </c>
      <c r="C2734" s="1">
        <f>IFERROR(__xludf.DUMMYFUNCTION("""COMPUTED_VALUE"""),2.26)</f>
        <v>2.26</v>
      </c>
      <c r="D2734" s="1">
        <f>IFERROR(__xludf.DUMMYFUNCTION("""COMPUTED_VALUE"""),2.06)</f>
        <v>2.06</v>
      </c>
      <c r="E2734" s="1">
        <f>IFERROR(__xludf.DUMMYFUNCTION("""COMPUTED_VALUE"""),2.06)</f>
        <v>2.06</v>
      </c>
      <c r="F2734" s="1">
        <f>IFERROR(__xludf.DUMMYFUNCTION("""COMPUTED_VALUE"""),948740.0)</f>
        <v>948740</v>
      </c>
    </row>
    <row r="2735">
      <c r="A2735" s="2">
        <f>IFERROR(__xludf.DUMMYFUNCTION("""COMPUTED_VALUE"""),43136.66666666667)</f>
        <v>43136.66667</v>
      </c>
      <c r="B2735" s="1">
        <f>IFERROR(__xludf.DUMMYFUNCTION("""COMPUTED_VALUE"""),2.04)</f>
        <v>2.04</v>
      </c>
      <c r="C2735" s="1">
        <f>IFERROR(__xludf.DUMMYFUNCTION("""COMPUTED_VALUE"""),2.09)</f>
        <v>2.09</v>
      </c>
      <c r="D2735" s="1">
        <f>IFERROR(__xludf.DUMMYFUNCTION("""COMPUTED_VALUE"""),1.93)</f>
        <v>1.93</v>
      </c>
      <c r="E2735" s="1">
        <f>IFERROR(__xludf.DUMMYFUNCTION("""COMPUTED_VALUE"""),1.93)</f>
        <v>1.93</v>
      </c>
      <c r="F2735" s="1">
        <f>IFERROR(__xludf.DUMMYFUNCTION("""COMPUTED_VALUE"""),1172935.0)</f>
        <v>1172935</v>
      </c>
    </row>
    <row r="2736">
      <c r="A2736" s="2">
        <f>IFERROR(__xludf.DUMMYFUNCTION("""COMPUTED_VALUE"""),43137.66666666667)</f>
        <v>43137.66667</v>
      </c>
      <c r="B2736" s="1">
        <f>IFERROR(__xludf.DUMMYFUNCTION("""COMPUTED_VALUE"""),1.9)</f>
        <v>1.9</v>
      </c>
      <c r="C2736" s="1">
        <f>IFERROR(__xludf.DUMMYFUNCTION("""COMPUTED_VALUE"""),1.98)</f>
        <v>1.98</v>
      </c>
      <c r="D2736" s="1">
        <f>IFERROR(__xludf.DUMMYFUNCTION("""COMPUTED_VALUE"""),1.89)</f>
        <v>1.89</v>
      </c>
      <c r="E2736" s="1">
        <f>IFERROR(__xludf.DUMMYFUNCTION("""COMPUTED_VALUE"""),1.96)</f>
        <v>1.96</v>
      </c>
      <c r="F2736" s="1">
        <f>IFERROR(__xludf.DUMMYFUNCTION("""COMPUTED_VALUE"""),841259.0)</f>
        <v>841259</v>
      </c>
    </row>
    <row r="2737">
      <c r="A2737" s="2">
        <f>IFERROR(__xludf.DUMMYFUNCTION("""COMPUTED_VALUE"""),43138.66666666667)</f>
        <v>43138.66667</v>
      </c>
      <c r="B2737" s="1">
        <f>IFERROR(__xludf.DUMMYFUNCTION("""COMPUTED_VALUE"""),1.96)</f>
        <v>1.96</v>
      </c>
      <c r="C2737" s="1">
        <f>IFERROR(__xludf.DUMMYFUNCTION("""COMPUTED_VALUE"""),2.01)</f>
        <v>2.01</v>
      </c>
      <c r="D2737" s="1">
        <f>IFERROR(__xludf.DUMMYFUNCTION("""COMPUTED_VALUE"""),1.94)</f>
        <v>1.94</v>
      </c>
      <c r="E2737" s="1">
        <f>IFERROR(__xludf.DUMMYFUNCTION("""COMPUTED_VALUE"""),1.98)</f>
        <v>1.98</v>
      </c>
      <c r="F2737" s="1">
        <f>IFERROR(__xludf.DUMMYFUNCTION("""COMPUTED_VALUE"""),481001.0)</f>
        <v>481001</v>
      </c>
    </row>
    <row r="2738">
      <c r="A2738" s="2">
        <f>IFERROR(__xludf.DUMMYFUNCTION("""COMPUTED_VALUE"""),43139.66666666667)</f>
        <v>43139.66667</v>
      </c>
      <c r="B2738" s="1">
        <f>IFERROR(__xludf.DUMMYFUNCTION("""COMPUTED_VALUE"""),1.99)</f>
        <v>1.99</v>
      </c>
      <c r="C2738" s="1">
        <f>IFERROR(__xludf.DUMMYFUNCTION("""COMPUTED_VALUE"""),2.06)</f>
        <v>2.06</v>
      </c>
      <c r="D2738" s="1">
        <f>IFERROR(__xludf.DUMMYFUNCTION("""COMPUTED_VALUE"""),1.86)</f>
        <v>1.86</v>
      </c>
      <c r="E2738" s="1">
        <f>IFERROR(__xludf.DUMMYFUNCTION("""COMPUTED_VALUE"""),1.86)</f>
        <v>1.86</v>
      </c>
      <c r="F2738" s="1">
        <f>IFERROR(__xludf.DUMMYFUNCTION("""COMPUTED_VALUE"""),560832.0)</f>
        <v>560832</v>
      </c>
    </row>
    <row r="2739">
      <c r="A2739" s="2">
        <f>IFERROR(__xludf.DUMMYFUNCTION("""COMPUTED_VALUE"""),43140.66666666667)</f>
        <v>43140.66667</v>
      </c>
      <c r="B2739" s="1">
        <f>IFERROR(__xludf.DUMMYFUNCTION("""COMPUTED_VALUE"""),1.88)</f>
        <v>1.88</v>
      </c>
      <c r="C2739" s="1">
        <f>IFERROR(__xludf.DUMMYFUNCTION("""COMPUTED_VALUE"""),1.92)</f>
        <v>1.92</v>
      </c>
      <c r="D2739" s="1">
        <f>IFERROR(__xludf.DUMMYFUNCTION("""COMPUTED_VALUE"""),1.84)</f>
        <v>1.84</v>
      </c>
      <c r="E2739" s="1">
        <f>IFERROR(__xludf.DUMMYFUNCTION("""COMPUTED_VALUE"""),1.89)</f>
        <v>1.89</v>
      </c>
      <c r="F2739" s="1">
        <f>IFERROR(__xludf.DUMMYFUNCTION("""COMPUTED_VALUE"""),655015.0)</f>
        <v>655015</v>
      </c>
    </row>
    <row r="2740">
      <c r="A2740" s="2">
        <f>IFERROR(__xludf.DUMMYFUNCTION("""COMPUTED_VALUE"""),43143.66666666667)</f>
        <v>43143.66667</v>
      </c>
      <c r="B2740" s="1">
        <f>IFERROR(__xludf.DUMMYFUNCTION("""COMPUTED_VALUE"""),1.89)</f>
        <v>1.89</v>
      </c>
      <c r="C2740" s="1">
        <f>IFERROR(__xludf.DUMMYFUNCTION("""COMPUTED_VALUE"""),1.93)</f>
        <v>1.93</v>
      </c>
      <c r="D2740" s="1">
        <f>IFERROR(__xludf.DUMMYFUNCTION("""COMPUTED_VALUE"""),1.87)</f>
        <v>1.87</v>
      </c>
      <c r="E2740" s="1">
        <f>IFERROR(__xludf.DUMMYFUNCTION("""COMPUTED_VALUE"""),1.88)</f>
        <v>1.88</v>
      </c>
      <c r="F2740" s="1">
        <f>IFERROR(__xludf.DUMMYFUNCTION("""COMPUTED_VALUE"""),382743.0)</f>
        <v>382743</v>
      </c>
    </row>
    <row r="2741">
      <c r="A2741" s="2">
        <f>IFERROR(__xludf.DUMMYFUNCTION("""COMPUTED_VALUE"""),43144.66666666667)</f>
        <v>43144.66667</v>
      </c>
      <c r="B2741" s="1">
        <f>IFERROR(__xludf.DUMMYFUNCTION("""COMPUTED_VALUE"""),1.88)</f>
        <v>1.88</v>
      </c>
      <c r="C2741" s="1">
        <f>IFERROR(__xludf.DUMMYFUNCTION("""COMPUTED_VALUE"""),1.89)</f>
        <v>1.89</v>
      </c>
      <c r="D2741" s="1">
        <f>IFERROR(__xludf.DUMMYFUNCTION("""COMPUTED_VALUE"""),1.82)</f>
        <v>1.82</v>
      </c>
      <c r="E2741" s="1">
        <f>IFERROR(__xludf.DUMMYFUNCTION("""COMPUTED_VALUE"""),1.84)</f>
        <v>1.84</v>
      </c>
      <c r="F2741" s="1">
        <f>IFERROR(__xludf.DUMMYFUNCTION("""COMPUTED_VALUE"""),441226.0)</f>
        <v>441226</v>
      </c>
    </row>
    <row r="2742">
      <c r="A2742" s="2">
        <f>IFERROR(__xludf.DUMMYFUNCTION("""COMPUTED_VALUE"""),43145.66666666667)</f>
        <v>43145.66667</v>
      </c>
      <c r="B2742" s="1">
        <f>IFERROR(__xludf.DUMMYFUNCTION("""COMPUTED_VALUE"""),1.82)</f>
        <v>1.82</v>
      </c>
      <c r="C2742" s="1">
        <f>IFERROR(__xludf.DUMMYFUNCTION("""COMPUTED_VALUE"""),1.93)</f>
        <v>1.93</v>
      </c>
      <c r="D2742" s="1">
        <f>IFERROR(__xludf.DUMMYFUNCTION("""COMPUTED_VALUE"""),1.82)</f>
        <v>1.82</v>
      </c>
      <c r="E2742" s="1">
        <f>IFERROR(__xludf.DUMMYFUNCTION("""COMPUTED_VALUE"""),1.93)</f>
        <v>1.93</v>
      </c>
      <c r="F2742" s="1">
        <f>IFERROR(__xludf.DUMMYFUNCTION("""COMPUTED_VALUE"""),506442.0)</f>
        <v>506442</v>
      </c>
    </row>
    <row r="2743">
      <c r="A2743" s="2">
        <f>IFERROR(__xludf.DUMMYFUNCTION("""COMPUTED_VALUE"""),43146.66666666667)</f>
        <v>43146.66667</v>
      </c>
      <c r="B2743" s="1">
        <f>IFERROR(__xludf.DUMMYFUNCTION("""COMPUTED_VALUE"""),1.94)</f>
        <v>1.94</v>
      </c>
      <c r="C2743" s="1">
        <f>IFERROR(__xludf.DUMMYFUNCTION("""COMPUTED_VALUE"""),1.96)</f>
        <v>1.96</v>
      </c>
      <c r="D2743" s="1">
        <f>IFERROR(__xludf.DUMMYFUNCTION("""COMPUTED_VALUE"""),1.9)</f>
        <v>1.9</v>
      </c>
      <c r="E2743" s="1">
        <f>IFERROR(__xludf.DUMMYFUNCTION("""COMPUTED_VALUE"""),1.95)</f>
        <v>1.95</v>
      </c>
      <c r="F2743" s="1">
        <f>IFERROR(__xludf.DUMMYFUNCTION("""COMPUTED_VALUE"""),431254.0)</f>
        <v>431254</v>
      </c>
    </row>
    <row r="2744">
      <c r="A2744" s="2">
        <f>IFERROR(__xludf.DUMMYFUNCTION("""COMPUTED_VALUE"""),43147.66666666667)</f>
        <v>43147.66667</v>
      </c>
      <c r="B2744" s="1">
        <f>IFERROR(__xludf.DUMMYFUNCTION("""COMPUTED_VALUE"""),1.95)</f>
        <v>1.95</v>
      </c>
      <c r="C2744" s="1">
        <f>IFERROR(__xludf.DUMMYFUNCTION("""COMPUTED_VALUE"""),1.97)</f>
        <v>1.97</v>
      </c>
      <c r="D2744" s="1">
        <f>IFERROR(__xludf.DUMMYFUNCTION("""COMPUTED_VALUE"""),1.91)</f>
        <v>1.91</v>
      </c>
      <c r="E2744" s="1">
        <f>IFERROR(__xludf.DUMMYFUNCTION("""COMPUTED_VALUE"""),1.91)</f>
        <v>1.91</v>
      </c>
      <c r="F2744" s="1">
        <f>IFERROR(__xludf.DUMMYFUNCTION("""COMPUTED_VALUE"""),476482.0)</f>
        <v>476482</v>
      </c>
    </row>
    <row r="2745">
      <c r="A2745" s="2">
        <f>IFERROR(__xludf.DUMMYFUNCTION("""COMPUTED_VALUE"""),43151.66666666667)</f>
        <v>43151.66667</v>
      </c>
      <c r="B2745" s="1">
        <f>IFERROR(__xludf.DUMMYFUNCTION("""COMPUTED_VALUE"""),1.9)</f>
        <v>1.9</v>
      </c>
      <c r="C2745" s="1">
        <f>IFERROR(__xludf.DUMMYFUNCTION("""COMPUTED_VALUE"""),1.93)</f>
        <v>1.93</v>
      </c>
      <c r="D2745" s="1">
        <f>IFERROR(__xludf.DUMMYFUNCTION("""COMPUTED_VALUE"""),1.87)</f>
        <v>1.87</v>
      </c>
      <c r="E2745" s="1">
        <f>IFERROR(__xludf.DUMMYFUNCTION("""COMPUTED_VALUE"""),1.89)</f>
        <v>1.89</v>
      </c>
      <c r="F2745" s="1">
        <f>IFERROR(__xludf.DUMMYFUNCTION("""COMPUTED_VALUE"""),378503.0)</f>
        <v>378503</v>
      </c>
    </row>
    <row r="2746">
      <c r="A2746" s="2">
        <f>IFERROR(__xludf.DUMMYFUNCTION("""COMPUTED_VALUE"""),43152.66666666667)</f>
        <v>43152.66667</v>
      </c>
      <c r="B2746" s="1">
        <f>IFERROR(__xludf.DUMMYFUNCTION("""COMPUTED_VALUE"""),1.89)</f>
        <v>1.89</v>
      </c>
      <c r="C2746" s="1">
        <f>IFERROR(__xludf.DUMMYFUNCTION("""COMPUTED_VALUE"""),1.93)</f>
        <v>1.93</v>
      </c>
      <c r="D2746" s="1">
        <f>IFERROR(__xludf.DUMMYFUNCTION("""COMPUTED_VALUE"""),1.81)</f>
        <v>1.81</v>
      </c>
      <c r="E2746" s="1">
        <f>IFERROR(__xludf.DUMMYFUNCTION("""COMPUTED_VALUE"""),1.82)</f>
        <v>1.82</v>
      </c>
      <c r="F2746" s="1">
        <f>IFERROR(__xludf.DUMMYFUNCTION("""COMPUTED_VALUE"""),645263.0)</f>
        <v>645263</v>
      </c>
    </row>
    <row r="2747">
      <c r="A2747" s="2">
        <f>IFERROR(__xludf.DUMMYFUNCTION("""COMPUTED_VALUE"""),43153.66666666667)</f>
        <v>43153.66667</v>
      </c>
      <c r="B2747" s="1">
        <f>IFERROR(__xludf.DUMMYFUNCTION("""COMPUTED_VALUE"""),1.83)</f>
        <v>1.83</v>
      </c>
      <c r="C2747" s="1">
        <f>IFERROR(__xludf.DUMMYFUNCTION("""COMPUTED_VALUE"""),1.86)</f>
        <v>1.86</v>
      </c>
      <c r="D2747" s="1">
        <f>IFERROR(__xludf.DUMMYFUNCTION("""COMPUTED_VALUE"""),1.81)</f>
        <v>1.81</v>
      </c>
      <c r="E2747" s="1">
        <f>IFERROR(__xludf.DUMMYFUNCTION("""COMPUTED_VALUE"""),1.84)</f>
        <v>1.84</v>
      </c>
      <c r="F2747" s="1">
        <f>IFERROR(__xludf.DUMMYFUNCTION("""COMPUTED_VALUE"""),684646.0)</f>
        <v>684646</v>
      </c>
    </row>
    <row r="2748">
      <c r="A2748" s="2">
        <f>IFERROR(__xludf.DUMMYFUNCTION("""COMPUTED_VALUE"""),43154.66666666667)</f>
        <v>43154.66667</v>
      </c>
      <c r="B2748" s="1">
        <f>IFERROR(__xludf.DUMMYFUNCTION("""COMPUTED_VALUE"""),1.86)</f>
        <v>1.86</v>
      </c>
      <c r="C2748" s="1">
        <f>IFERROR(__xludf.DUMMYFUNCTION("""COMPUTED_VALUE"""),1.88)</f>
        <v>1.88</v>
      </c>
      <c r="D2748" s="1">
        <f>IFERROR(__xludf.DUMMYFUNCTION("""COMPUTED_VALUE"""),1.83)</f>
        <v>1.83</v>
      </c>
      <c r="E2748" s="1">
        <f>IFERROR(__xludf.DUMMYFUNCTION("""COMPUTED_VALUE"""),1.85)</f>
        <v>1.85</v>
      </c>
      <c r="F2748" s="1">
        <f>IFERROR(__xludf.DUMMYFUNCTION("""COMPUTED_VALUE"""),374126.0)</f>
        <v>374126</v>
      </c>
    </row>
    <row r="2749">
      <c r="A2749" s="2">
        <f>IFERROR(__xludf.DUMMYFUNCTION("""COMPUTED_VALUE"""),43157.66666666667)</f>
        <v>43157.66667</v>
      </c>
      <c r="B2749" s="1">
        <f>IFERROR(__xludf.DUMMYFUNCTION("""COMPUTED_VALUE"""),1.86)</f>
        <v>1.86</v>
      </c>
      <c r="C2749" s="1">
        <f>IFERROR(__xludf.DUMMYFUNCTION("""COMPUTED_VALUE"""),1.91)</f>
        <v>1.91</v>
      </c>
      <c r="D2749" s="1">
        <f>IFERROR(__xludf.DUMMYFUNCTION("""COMPUTED_VALUE"""),1.86)</f>
        <v>1.86</v>
      </c>
      <c r="E2749" s="1">
        <f>IFERROR(__xludf.DUMMYFUNCTION("""COMPUTED_VALUE"""),1.89)</f>
        <v>1.89</v>
      </c>
      <c r="F2749" s="1">
        <f>IFERROR(__xludf.DUMMYFUNCTION("""COMPUTED_VALUE"""),371370.0)</f>
        <v>371370</v>
      </c>
    </row>
    <row r="2750">
      <c r="A2750" s="2">
        <f>IFERROR(__xludf.DUMMYFUNCTION("""COMPUTED_VALUE"""),43158.66666666667)</f>
        <v>43158.66667</v>
      </c>
      <c r="B2750" s="1">
        <f>IFERROR(__xludf.DUMMYFUNCTION("""COMPUTED_VALUE"""),1.9)</f>
        <v>1.9</v>
      </c>
      <c r="C2750" s="1">
        <f>IFERROR(__xludf.DUMMYFUNCTION("""COMPUTED_VALUE"""),1.92)</f>
        <v>1.92</v>
      </c>
      <c r="D2750" s="1">
        <f>IFERROR(__xludf.DUMMYFUNCTION("""COMPUTED_VALUE"""),1.86)</f>
        <v>1.86</v>
      </c>
      <c r="E2750" s="1">
        <f>IFERROR(__xludf.DUMMYFUNCTION("""COMPUTED_VALUE"""),1.86)</f>
        <v>1.86</v>
      </c>
      <c r="F2750" s="1">
        <f>IFERROR(__xludf.DUMMYFUNCTION("""COMPUTED_VALUE"""),306506.0)</f>
        <v>306506</v>
      </c>
    </row>
    <row r="2751">
      <c r="A2751" s="2">
        <f>IFERROR(__xludf.DUMMYFUNCTION("""COMPUTED_VALUE"""),43159.66666666667)</f>
        <v>43159.66667</v>
      </c>
      <c r="B2751" s="1">
        <f>IFERROR(__xludf.DUMMYFUNCTION("""COMPUTED_VALUE"""),1.88)</f>
        <v>1.88</v>
      </c>
      <c r="C2751" s="1">
        <f>IFERROR(__xludf.DUMMYFUNCTION("""COMPUTED_VALUE"""),1.88)</f>
        <v>1.88</v>
      </c>
      <c r="D2751" s="1">
        <f>IFERROR(__xludf.DUMMYFUNCTION("""COMPUTED_VALUE"""),1.81)</f>
        <v>1.81</v>
      </c>
      <c r="E2751" s="1">
        <f>IFERROR(__xludf.DUMMYFUNCTION("""COMPUTED_VALUE"""),1.81)</f>
        <v>1.81</v>
      </c>
      <c r="F2751" s="1">
        <f>IFERROR(__xludf.DUMMYFUNCTION("""COMPUTED_VALUE"""),558850.0)</f>
        <v>558850</v>
      </c>
    </row>
    <row r="2752">
      <c r="A2752" s="2">
        <f>IFERROR(__xludf.DUMMYFUNCTION("""COMPUTED_VALUE"""),43160.66666666667)</f>
        <v>43160.66667</v>
      </c>
      <c r="B2752" s="1">
        <f>IFERROR(__xludf.DUMMYFUNCTION("""COMPUTED_VALUE"""),1.82)</f>
        <v>1.82</v>
      </c>
      <c r="C2752" s="1">
        <f>IFERROR(__xludf.DUMMYFUNCTION("""COMPUTED_VALUE"""),1.85)</f>
        <v>1.85</v>
      </c>
      <c r="D2752" s="1">
        <f>IFERROR(__xludf.DUMMYFUNCTION("""COMPUTED_VALUE"""),1.8)</f>
        <v>1.8</v>
      </c>
      <c r="E2752" s="1">
        <f>IFERROR(__xludf.DUMMYFUNCTION("""COMPUTED_VALUE"""),1.81)</f>
        <v>1.81</v>
      </c>
      <c r="F2752" s="1">
        <f>IFERROR(__xludf.DUMMYFUNCTION("""COMPUTED_VALUE"""),531192.0)</f>
        <v>531192</v>
      </c>
    </row>
    <row r="2753">
      <c r="A2753" s="2">
        <f>IFERROR(__xludf.DUMMYFUNCTION("""COMPUTED_VALUE"""),43161.66666666667)</f>
        <v>43161.66667</v>
      </c>
      <c r="B2753" s="1">
        <f>IFERROR(__xludf.DUMMYFUNCTION("""COMPUTED_VALUE"""),1.79)</f>
        <v>1.79</v>
      </c>
      <c r="C2753" s="1">
        <f>IFERROR(__xludf.DUMMYFUNCTION("""COMPUTED_VALUE"""),1.84)</f>
        <v>1.84</v>
      </c>
      <c r="D2753" s="1">
        <f>IFERROR(__xludf.DUMMYFUNCTION("""COMPUTED_VALUE"""),1.76)</f>
        <v>1.76</v>
      </c>
      <c r="E2753" s="1">
        <f>IFERROR(__xludf.DUMMYFUNCTION("""COMPUTED_VALUE"""),1.83)</f>
        <v>1.83</v>
      </c>
      <c r="F2753" s="1">
        <f>IFERROR(__xludf.DUMMYFUNCTION("""COMPUTED_VALUE"""),397413.0)</f>
        <v>397413</v>
      </c>
    </row>
    <row r="2754">
      <c r="A2754" s="2">
        <f>IFERROR(__xludf.DUMMYFUNCTION("""COMPUTED_VALUE"""),43164.66666666667)</f>
        <v>43164.66667</v>
      </c>
      <c r="B2754" s="1">
        <f>IFERROR(__xludf.DUMMYFUNCTION("""COMPUTED_VALUE"""),1.82)</f>
        <v>1.82</v>
      </c>
      <c r="C2754" s="1">
        <f>IFERROR(__xludf.DUMMYFUNCTION("""COMPUTED_VALUE"""),1.9)</f>
        <v>1.9</v>
      </c>
      <c r="D2754" s="1">
        <f>IFERROR(__xludf.DUMMYFUNCTION("""COMPUTED_VALUE"""),1.82)</f>
        <v>1.82</v>
      </c>
      <c r="E2754" s="1">
        <f>IFERROR(__xludf.DUMMYFUNCTION("""COMPUTED_VALUE"""),1.89)</f>
        <v>1.89</v>
      </c>
      <c r="F2754" s="1">
        <f>IFERROR(__xludf.DUMMYFUNCTION("""COMPUTED_VALUE"""),381122.0)</f>
        <v>381122</v>
      </c>
    </row>
    <row r="2755">
      <c r="A2755" s="2">
        <f>IFERROR(__xludf.DUMMYFUNCTION("""COMPUTED_VALUE"""),43165.66666666667)</f>
        <v>43165.66667</v>
      </c>
      <c r="B2755" s="1">
        <f>IFERROR(__xludf.DUMMYFUNCTION("""COMPUTED_VALUE"""),1.89)</f>
        <v>1.89</v>
      </c>
      <c r="C2755" s="1">
        <f>IFERROR(__xludf.DUMMYFUNCTION("""COMPUTED_VALUE"""),1.95)</f>
        <v>1.95</v>
      </c>
      <c r="D2755" s="1">
        <f>IFERROR(__xludf.DUMMYFUNCTION("""COMPUTED_VALUE"""),1.89)</f>
        <v>1.89</v>
      </c>
      <c r="E2755" s="1">
        <f>IFERROR(__xludf.DUMMYFUNCTION("""COMPUTED_VALUE"""),1.94)</f>
        <v>1.94</v>
      </c>
      <c r="F2755" s="1">
        <f>IFERROR(__xludf.DUMMYFUNCTION("""COMPUTED_VALUE"""),469142.0)</f>
        <v>469142</v>
      </c>
    </row>
    <row r="2756">
      <c r="A2756" s="2">
        <f>IFERROR(__xludf.DUMMYFUNCTION("""COMPUTED_VALUE"""),43166.66666666667)</f>
        <v>43166.66667</v>
      </c>
      <c r="B2756" s="1">
        <f>IFERROR(__xludf.DUMMYFUNCTION("""COMPUTED_VALUE"""),1.92)</f>
        <v>1.92</v>
      </c>
      <c r="C2756" s="1">
        <f>IFERROR(__xludf.DUMMYFUNCTION("""COMPUTED_VALUE"""),1.98)</f>
        <v>1.98</v>
      </c>
      <c r="D2756" s="1">
        <f>IFERROR(__xludf.DUMMYFUNCTION("""COMPUTED_VALUE"""),1.9)</f>
        <v>1.9</v>
      </c>
      <c r="E2756" s="1">
        <f>IFERROR(__xludf.DUMMYFUNCTION("""COMPUTED_VALUE"""),1.96)</f>
        <v>1.96</v>
      </c>
      <c r="F2756" s="1">
        <f>IFERROR(__xludf.DUMMYFUNCTION("""COMPUTED_VALUE"""),371990.0)</f>
        <v>371990</v>
      </c>
    </row>
    <row r="2757">
      <c r="A2757" s="2">
        <f>IFERROR(__xludf.DUMMYFUNCTION("""COMPUTED_VALUE"""),43167.66666666667)</f>
        <v>43167.66667</v>
      </c>
      <c r="B2757" s="1">
        <f>IFERROR(__xludf.DUMMYFUNCTION("""COMPUTED_VALUE"""),1.95)</f>
        <v>1.95</v>
      </c>
      <c r="C2757" s="1">
        <f>IFERROR(__xludf.DUMMYFUNCTION("""COMPUTED_VALUE"""),1.97)</f>
        <v>1.97</v>
      </c>
      <c r="D2757" s="1">
        <f>IFERROR(__xludf.DUMMYFUNCTION("""COMPUTED_VALUE"""),1.91)</f>
        <v>1.91</v>
      </c>
      <c r="E2757" s="1">
        <f>IFERROR(__xludf.DUMMYFUNCTION("""COMPUTED_VALUE"""),1.94)</f>
        <v>1.94</v>
      </c>
      <c r="F2757" s="1">
        <f>IFERROR(__xludf.DUMMYFUNCTION("""COMPUTED_VALUE"""),364483.0)</f>
        <v>364483</v>
      </c>
    </row>
    <row r="2758">
      <c r="A2758" s="2">
        <f>IFERROR(__xludf.DUMMYFUNCTION("""COMPUTED_VALUE"""),43168.66666666667)</f>
        <v>43168.66667</v>
      </c>
      <c r="B2758" s="1">
        <f>IFERROR(__xludf.DUMMYFUNCTION("""COMPUTED_VALUE"""),1.96)</f>
        <v>1.96</v>
      </c>
      <c r="C2758" s="1">
        <f>IFERROR(__xludf.DUMMYFUNCTION("""COMPUTED_VALUE"""),1.99)</f>
        <v>1.99</v>
      </c>
      <c r="D2758" s="1">
        <f>IFERROR(__xludf.DUMMYFUNCTION("""COMPUTED_VALUE"""),1.91)</f>
        <v>1.91</v>
      </c>
      <c r="E2758" s="1">
        <f>IFERROR(__xludf.DUMMYFUNCTION("""COMPUTED_VALUE"""),1.98)</f>
        <v>1.98</v>
      </c>
      <c r="F2758" s="1">
        <f>IFERROR(__xludf.DUMMYFUNCTION("""COMPUTED_VALUE"""),482359.0)</f>
        <v>482359</v>
      </c>
    </row>
    <row r="2759">
      <c r="A2759" s="2">
        <f>IFERROR(__xludf.DUMMYFUNCTION("""COMPUTED_VALUE"""),43171.66666666667)</f>
        <v>43171.66667</v>
      </c>
      <c r="B2759" s="1">
        <f>IFERROR(__xludf.DUMMYFUNCTION("""COMPUTED_VALUE"""),1.99)</f>
        <v>1.99</v>
      </c>
      <c r="C2759" s="1">
        <f>IFERROR(__xludf.DUMMYFUNCTION("""COMPUTED_VALUE"""),2.0)</f>
        <v>2</v>
      </c>
      <c r="D2759" s="1">
        <f>IFERROR(__xludf.DUMMYFUNCTION("""COMPUTED_VALUE"""),1.94)</f>
        <v>1.94</v>
      </c>
      <c r="E2759" s="1">
        <f>IFERROR(__xludf.DUMMYFUNCTION("""COMPUTED_VALUE"""),1.95)</f>
        <v>1.95</v>
      </c>
      <c r="F2759" s="1">
        <f>IFERROR(__xludf.DUMMYFUNCTION("""COMPUTED_VALUE"""),629039.0)</f>
        <v>629039</v>
      </c>
    </row>
    <row r="2760">
      <c r="A2760" s="2">
        <f>IFERROR(__xludf.DUMMYFUNCTION("""COMPUTED_VALUE"""),43172.66666666667)</f>
        <v>43172.66667</v>
      </c>
      <c r="B2760" s="1">
        <f>IFERROR(__xludf.DUMMYFUNCTION("""COMPUTED_VALUE"""),1.96)</f>
        <v>1.96</v>
      </c>
      <c r="C2760" s="1">
        <f>IFERROR(__xludf.DUMMYFUNCTION("""COMPUTED_VALUE"""),1.99)</f>
        <v>1.99</v>
      </c>
      <c r="D2760" s="1">
        <f>IFERROR(__xludf.DUMMYFUNCTION("""COMPUTED_VALUE"""),1.94)</f>
        <v>1.94</v>
      </c>
      <c r="E2760" s="1">
        <f>IFERROR(__xludf.DUMMYFUNCTION("""COMPUTED_VALUE"""),1.96)</f>
        <v>1.96</v>
      </c>
      <c r="F2760" s="1">
        <f>IFERROR(__xludf.DUMMYFUNCTION("""COMPUTED_VALUE"""),321472.0)</f>
        <v>321472</v>
      </c>
    </row>
    <row r="2761">
      <c r="A2761" s="2">
        <f>IFERROR(__xludf.DUMMYFUNCTION("""COMPUTED_VALUE"""),43173.66666666667)</f>
        <v>43173.66667</v>
      </c>
      <c r="B2761" s="1">
        <f>IFERROR(__xludf.DUMMYFUNCTION("""COMPUTED_VALUE"""),1.98)</f>
        <v>1.98</v>
      </c>
      <c r="C2761" s="1">
        <f>IFERROR(__xludf.DUMMYFUNCTION("""COMPUTED_VALUE"""),1.98)</f>
        <v>1.98</v>
      </c>
      <c r="D2761" s="1">
        <f>IFERROR(__xludf.DUMMYFUNCTION("""COMPUTED_VALUE"""),1.92)</f>
        <v>1.92</v>
      </c>
      <c r="E2761" s="1">
        <f>IFERROR(__xludf.DUMMYFUNCTION("""COMPUTED_VALUE"""),1.96)</f>
        <v>1.96</v>
      </c>
      <c r="F2761" s="1">
        <f>IFERROR(__xludf.DUMMYFUNCTION("""COMPUTED_VALUE"""),255789.0)</f>
        <v>255789</v>
      </c>
    </row>
    <row r="2762">
      <c r="A2762" s="2">
        <f>IFERROR(__xludf.DUMMYFUNCTION("""COMPUTED_VALUE"""),43174.66666666667)</f>
        <v>43174.66667</v>
      </c>
      <c r="B2762" s="1">
        <f>IFERROR(__xludf.DUMMYFUNCTION("""COMPUTED_VALUE"""),1.97)</f>
        <v>1.97</v>
      </c>
      <c r="C2762" s="1">
        <f>IFERROR(__xludf.DUMMYFUNCTION("""COMPUTED_VALUE"""),1.99)</f>
        <v>1.99</v>
      </c>
      <c r="D2762" s="1">
        <f>IFERROR(__xludf.DUMMYFUNCTION("""COMPUTED_VALUE"""),1.94)</f>
        <v>1.94</v>
      </c>
      <c r="E2762" s="1">
        <f>IFERROR(__xludf.DUMMYFUNCTION("""COMPUTED_VALUE"""),1.97)</f>
        <v>1.97</v>
      </c>
      <c r="F2762" s="1">
        <f>IFERROR(__xludf.DUMMYFUNCTION("""COMPUTED_VALUE"""),397009.0)</f>
        <v>397009</v>
      </c>
    </row>
    <row r="2763">
      <c r="A2763" s="2">
        <f>IFERROR(__xludf.DUMMYFUNCTION("""COMPUTED_VALUE"""),43175.66666666667)</f>
        <v>43175.66667</v>
      </c>
      <c r="B2763" s="1">
        <f>IFERROR(__xludf.DUMMYFUNCTION("""COMPUTED_VALUE"""),1.96)</f>
        <v>1.96</v>
      </c>
      <c r="C2763" s="1">
        <f>IFERROR(__xludf.DUMMYFUNCTION("""COMPUTED_VALUE"""),1.98)</f>
        <v>1.98</v>
      </c>
      <c r="D2763" s="1">
        <f>IFERROR(__xludf.DUMMYFUNCTION("""COMPUTED_VALUE"""),1.93)</f>
        <v>1.93</v>
      </c>
      <c r="E2763" s="1">
        <f>IFERROR(__xludf.DUMMYFUNCTION("""COMPUTED_VALUE"""),1.97)</f>
        <v>1.97</v>
      </c>
      <c r="F2763" s="1">
        <f>IFERROR(__xludf.DUMMYFUNCTION("""COMPUTED_VALUE"""),749453.0)</f>
        <v>749453</v>
      </c>
    </row>
    <row r="2764">
      <c r="A2764" s="2">
        <f>IFERROR(__xludf.DUMMYFUNCTION("""COMPUTED_VALUE"""),43178.66666666667)</f>
        <v>43178.66667</v>
      </c>
      <c r="B2764" s="1">
        <f>IFERROR(__xludf.DUMMYFUNCTION("""COMPUTED_VALUE"""),1.95)</f>
        <v>1.95</v>
      </c>
      <c r="C2764" s="1">
        <f>IFERROR(__xludf.DUMMYFUNCTION("""COMPUTED_VALUE"""),1.95)</f>
        <v>1.95</v>
      </c>
      <c r="D2764" s="1">
        <f>IFERROR(__xludf.DUMMYFUNCTION("""COMPUTED_VALUE"""),1.85)</f>
        <v>1.85</v>
      </c>
      <c r="E2764" s="1">
        <f>IFERROR(__xludf.DUMMYFUNCTION("""COMPUTED_VALUE"""),1.87)</f>
        <v>1.87</v>
      </c>
      <c r="F2764" s="1">
        <f>IFERROR(__xludf.DUMMYFUNCTION("""COMPUTED_VALUE"""),616868.0)</f>
        <v>616868</v>
      </c>
    </row>
    <row r="2765">
      <c r="A2765" s="2">
        <f>IFERROR(__xludf.DUMMYFUNCTION("""COMPUTED_VALUE"""),43179.66666666667)</f>
        <v>43179.66667</v>
      </c>
      <c r="B2765" s="1">
        <f>IFERROR(__xludf.DUMMYFUNCTION("""COMPUTED_VALUE"""),1.87)</f>
        <v>1.87</v>
      </c>
      <c r="C2765" s="1">
        <f>IFERROR(__xludf.DUMMYFUNCTION("""COMPUTED_VALUE"""),1.89)</f>
        <v>1.89</v>
      </c>
      <c r="D2765" s="1">
        <f>IFERROR(__xludf.DUMMYFUNCTION("""COMPUTED_VALUE"""),1.85)</f>
        <v>1.85</v>
      </c>
      <c r="E2765" s="1">
        <f>IFERROR(__xludf.DUMMYFUNCTION("""COMPUTED_VALUE"""),1.87)</f>
        <v>1.87</v>
      </c>
      <c r="F2765" s="1">
        <f>IFERROR(__xludf.DUMMYFUNCTION("""COMPUTED_VALUE"""),298460.0)</f>
        <v>298460</v>
      </c>
    </row>
    <row r="2766">
      <c r="A2766" s="2">
        <f>IFERROR(__xludf.DUMMYFUNCTION("""COMPUTED_VALUE"""),43180.66666666667)</f>
        <v>43180.66667</v>
      </c>
      <c r="B2766" s="1">
        <f>IFERROR(__xludf.DUMMYFUNCTION("""COMPUTED_VALUE"""),1.88)</f>
        <v>1.88</v>
      </c>
      <c r="C2766" s="1">
        <f>IFERROR(__xludf.DUMMYFUNCTION("""COMPUTED_VALUE"""),1.88)</f>
        <v>1.88</v>
      </c>
      <c r="D2766" s="1">
        <f>IFERROR(__xludf.DUMMYFUNCTION("""COMPUTED_VALUE"""),1.81)</f>
        <v>1.81</v>
      </c>
      <c r="E2766" s="1">
        <f>IFERROR(__xludf.DUMMYFUNCTION("""COMPUTED_VALUE"""),1.83)</f>
        <v>1.83</v>
      </c>
      <c r="F2766" s="1">
        <f>IFERROR(__xludf.DUMMYFUNCTION("""COMPUTED_VALUE"""),493735.0)</f>
        <v>493735</v>
      </c>
    </row>
    <row r="2767">
      <c r="A2767" s="2">
        <f>IFERROR(__xludf.DUMMYFUNCTION("""COMPUTED_VALUE"""),43181.66666666667)</f>
        <v>43181.66667</v>
      </c>
      <c r="B2767" s="1">
        <f>IFERROR(__xludf.DUMMYFUNCTION("""COMPUTED_VALUE"""),1.81)</f>
        <v>1.81</v>
      </c>
      <c r="C2767" s="1">
        <f>IFERROR(__xludf.DUMMYFUNCTION("""COMPUTED_VALUE"""),1.84)</f>
        <v>1.84</v>
      </c>
      <c r="D2767" s="1">
        <f>IFERROR(__xludf.DUMMYFUNCTION("""COMPUTED_VALUE"""),1.77)</f>
        <v>1.77</v>
      </c>
      <c r="E2767" s="1">
        <f>IFERROR(__xludf.DUMMYFUNCTION("""COMPUTED_VALUE"""),1.77)</f>
        <v>1.77</v>
      </c>
      <c r="F2767" s="1">
        <f>IFERROR(__xludf.DUMMYFUNCTION("""COMPUTED_VALUE"""),389304.0)</f>
        <v>389304</v>
      </c>
    </row>
    <row r="2768">
      <c r="A2768" s="2">
        <f>IFERROR(__xludf.DUMMYFUNCTION("""COMPUTED_VALUE"""),43182.66666666667)</f>
        <v>43182.66667</v>
      </c>
      <c r="B2768" s="1">
        <f>IFERROR(__xludf.DUMMYFUNCTION("""COMPUTED_VALUE"""),1.78)</f>
        <v>1.78</v>
      </c>
      <c r="C2768" s="1">
        <f>IFERROR(__xludf.DUMMYFUNCTION("""COMPUTED_VALUE"""),1.79)</f>
        <v>1.79</v>
      </c>
      <c r="D2768" s="1">
        <f>IFERROR(__xludf.DUMMYFUNCTION("""COMPUTED_VALUE"""),1.72)</f>
        <v>1.72</v>
      </c>
      <c r="E2768" s="1">
        <f>IFERROR(__xludf.DUMMYFUNCTION("""COMPUTED_VALUE"""),1.73)</f>
        <v>1.73</v>
      </c>
      <c r="F2768" s="1">
        <f>IFERROR(__xludf.DUMMYFUNCTION("""COMPUTED_VALUE"""),461849.0)</f>
        <v>461849</v>
      </c>
    </row>
    <row r="2769">
      <c r="A2769" s="2">
        <f>IFERROR(__xludf.DUMMYFUNCTION("""COMPUTED_VALUE"""),43185.66666666667)</f>
        <v>43185.66667</v>
      </c>
      <c r="B2769" s="1">
        <f>IFERROR(__xludf.DUMMYFUNCTION("""COMPUTED_VALUE"""),1.75)</f>
        <v>1.75</v>
      </c>
      <c r="C2769" s="1">
        <f>IFERROR(__xludf.DUMMYFUNCTION("""COMPUTED_VALUE"""),1.76)</f>
        <v>1.76</v>
      </c>
      <c r="D2769" s="1">
        <f>IFERROR(__xludf.DUMMYFUNCTION("""COMPUTED_VALUE"""),1.7)</f>
        <v>1.7</v>
      </c>
      <c r="E2769" s="1">
        <f>IFERROR(__xludf.DUMMYFUNCTION("""COMPUTED_VALUE"""),1.71)</f>
        <v>1.71</v>
      </c>
      <c r="F2769" s="1">
        <f>IFERROR(__xludf.DUMMYFUNCTION("""COMPUTED_VALUE"""),428906.0)</f>
        <v>428906</v>
      </c>
    </row>
    <row r="2770">
      <c r="A2770" s="2">
        <f>IFERROR(__xludf.DUMMYFUNCTION("""COMPUTED_VALUE"""),43186.66666666667)</f>
        <v>43186.66667</v>
      </c>
      <c r="B2770" s="1">
        <f>IFERROR(__xludf.DUMMYFUNCTION("""COMPUTED_VALUE"""),1.71)</f>
        <v>1.71</v>
      </c>
      <c r="C2770" s="1">
        <f>IFERROR(__xludf.DUMMYFUNCTION("""COMPUTED_VALUE"""),1.71)</f>
        <v>1.71</v>
      </c>
      <c r="D2770" s="1">
        <f>IFERROR(__xludf.DUMMYFUNCTION("""COMPUTED_VALUE"""),1.61)</f>
        <v>1.61</v>
      </c>
      <c r="E2770" s="1">
        <f>IFERROR(__xludf.DUMMYFUNCTION("""COMPUTED_VALUE"""),1.66)</f>
        <v>1.66</v>
      </c>
      <c r="F2770" s="1">
        <f>IFERROR(__xludf.DUMMYFUNCTION("""COMPUTED_VALUE"""),1185936.0)</f>
        <v>1185936</v>
      </c>
    </row>
    <row r="2771">
      <c r="A2771" s="2">
        <f>IFERROR(__xludf.DUMMYFUNCTION("""COMPUTED_VALUE"""),43187.66666666667)</f>
        <v>43187.66667</v>
      </c>
      <c r="B2771" s="1">
        <f>IFERROR(__xludf.DUMMYFUNCTION("""COMPUTED_VALUE"""),1.67)</f>
        <v>1.67</v>
      </c>
      <c r="C2771" s="1">
        <f>IFERROR(__xludf.DUMMYFUNCTION("""COMPUTED_VALUE"""),1.7)</f>
        <v>1.7</v>
      </c>
      <c r="D2771" s="1">
        <f>IFERROR(__xludf.DUMMYFUNCTION("""COMPUTED_VALUE"""),1.64)</f>
        <v>1.64</v>
      </c>
      <c r="E2771" s="1">
        <f>IFERROR(__xludf.DUMMYFUNCTION("""COMPUTED_VALUE"""),1.67)</f>
        <v>1.67</v>
      </c>
      <c r="F2771" s="1">
        <f>IFERROR(__xludf.DUMMYFUNCTION("""COMPUTED_VALUE"""),326948.0)</f>
        <v>326948</v>
      </c>
    </row>
    <row r="2772">
      <c r="A2772" s="2">
        <f>IFERROR(__xludf.DUMMYFUNCTION("""COMPUTED_VALUE"""),43188.66666666667)</f>
        <v>43188.66667</v>
      </c>
      <c r="B2772" s="1">
        <f>IFERROR(__xludf.DUMMYFUNCTION("""COMPUTED_VALUE"""),1.67)</f>
        <v>1.67</v>
      </c>
      <c r="C2772" s="1">
        <f>IFERROR(__xludf.DUMMYFUNCTION("""COMPUTED_VALUE"""),1.73)</f>
        <v>1.73</v>
      </c>
      <c r="D2772" s="1">
        <f>IFERROR(__xludf.DUMMYFUNCTION("""COMPUTED_VALUE"""),1.67)</f>
        <v>1.67</v>
      </c>
      <c r="E2772" s="1">
        <f>IFERROR(__xludf.DUMMYFUNCTION("""COMPUTED_VALUE"""),1.7)</f>
        <v>1.7</v>
      </c>
      <c r="F2772" s="1">
        <f>IFERROR(__xludf.DUMMYFUNCTION("""COMPUTED_VALUE"""),489531.0)</f>
        <v>489531</v>
      </c>
    </row>
    <row r="2773">
      <c r="A2773" s="2">
        <f>IFERROR(__xludf.DUMMYFUNCTION("""COMPUTED_VALUE"""),43192.66666666667)</f>
        <v>43192.66667</v>
      </c>
      <c r="B2773" s="1">
        <f>IFERROR(__xludf.DUMMYFUNCTION("""COMPUTED_VALUE"""),1.7)</f>
        <v>1.7</v>
      </c>
      <c r="C2773" s="1">
        <f>IFERROR(__xludf.DUMMYFUNCTION("""COMPUTED_VALUE"""),1.7)</f>
        <v>1.7</v>
      </c>
      <c r="D2773" s="1">
        <f>IFERROR(__xludf.DUMMYFUNCTION("""COMPUTED_VALUE"""),1.63)</f>
        <v>1.63</v>
      </c>
      <c r="E2773" s="1">
        <f>IFERROR(__xludf.DUMMYFUNCTION("""COMPUTED_VALUE"""),1.64)</f>
        <v>1.64</v>
      </c>
      <c r="F2773" s="1">
        <f>IFERROR(__xludf.DUMMYFUNCTION("""COMPUTED_VALUE"""),458442.0)</f>
        <v>458442</v>
      </c>
    </row>
    <row r="2774">
      <c r="A2774" s="2">
        <f>IFERROR(__xludf.DUMMYFUNCTION("""COMPUTED_VALUE"""),43193.66666666667)</f>
        <v>43193.66667</v>
      </c>
      <c r="B2774" s="1">
        <f>IFERROR(__xludf.DUMMYFUNCTION("""COMPUTED_VALUE"""),1.64)</f>
        <v>1.64</v>
      </c>
      <c r="C2774" s="1">
        <f>IFERROR(__xludf.DUMMYFUNCTION("""COMPUTED_VALUE"""),1.68)</f>
        <v>1.68</v>
      </c>
      <c r="D2774" s="1">
        <f>IFERROR(__xludf.DUMMYFUNCTION("""COMPUTED_VALUE"""),1.64)</f>
        <v>1.64</v>
      </c>
      <c r="E2774" s="1">
        <f>IFERROR(__xludf.DUMMYFUNCTION("""COMPUTED_VALUE"""),1.66)</f>
        <v>1.66</v>
      </c>
      <c r="F2774" s="1">
        <f>IFERROR(__xludf.DUMMYFUNCTION("""COMPUTED_VALUE"""),402127.0)</f>
        <v>402127</v>
      </c>
    </row>
    <row r="2775">
      <c r="A2775" s="2">
        <f>IFERROR(__xludf.DUMMYFUNCTION("""COMPUTED_VALUE"""),43194.66666666667)</f>
        <v>43194.66667</v>
      </c>
      <c r="B2775" s="1">
        <f>IFERROR(__xludf.DUMMYFUNCTION("""COMPUTED_VALUE"""),1.64)</f>
        <v>1.64</v>
      </c>
      <c r="C2775" s="1">
        <f>IFERROR(__xludf.DUMMYFUNCTION("""COMPUTED_VALUE"""),1.69)</f>
        <v>1.69</v>
      </c>
      <c r="D2775" s="1">
        <f>IFERROR(__xludf.DUMMYFUNCTION("""COMPUTED_VALUE"""),1.64)</f>
        <v>1.64</v>
      </c>
      <c r="E2775" s="1">
        <f>IFERROR(__xludf.DUMMYFUNCTION("""COMPUTED_VALUE"""),1.68)</f>
        <v>1.68</v>
      </c>
      <c r="F2775" s="1">
        <f>IFERROR(__xludf.DUMMYFUNCTION("""COMPUTED_VALUE"""),456905.0)</f>
        <v>456905</v>
      </c>
    </row>
    <row r="2776">
      <c r="A2776" s="2">
        <f>IFERROR(__xludf.DUMMYFUNCTION("""COMPUTED_VALUE"""),43195.66666666667)</f>
        <v>43195.66667</v>
      </c>
      <c r="B2776" s="1">
        <f>IFERROR(__xludf.DUMMYFUNCTION("""COMPUTED_VALUE"""),1.69)</f>
        <v>1.69</v>
      </c>
      <c r="C2776" s="1">
        <f>IFERROR(__xludf.DUMMYFUNCTION("""COMPUTED_VALUE"""),1.7)</f>
        <v>1.7</v>
      </c>
      <c r="D2776" s="1">
        <f>IFERROR(__xludf.DUMMYFUNCTION("""COMPUTED_VALUE"""),1.67)</f>
        <v>1.67</v>
      </c>
      <c r="E2776" s="1">
        <f>IFERROR(__xludf.DUMMYFUNCTION("""COMPUTED_VALUE"""),1.68)</f>
        <v>1.68</v>
      </c>
      <c r="F2776" s="1">
        <f>IFERROR(__xludf.DUMMYFUNCTION("""COMPUTED_VALUE"""),219334.0)</f>
        <v>219334</v>
      </c>
    </row>
    <row r="2777">
      <c r="A2777" s="2">
        <f>IFERROR(__xludf.DUMMYFUNCTION("""COMPUTED_VALUE"""),43196.66666666667)</f>
        <v>43196.66667</v>
      </c>
      <c r="B2777" s="1">
        <f>IFERROR(__xludf.DUMMYFUNCTION("""COMPUTED_VALUE"""),1.66)</f>
        <v>1.66</v>
      </c>
      <c r="C2777" s="1">
        <f>IFERROR(__xludf.DUMMYFUNCTION("""COMPUTED_VALUE"""),1.68)</f>
        <v>1.68</v>
      </c>
      <c r="D2777" s="1">
        <f>IFERROR(__xludf.DUMMYFUNCTION("""COMPUTED_VALUE"""),1.64)</f>
        <v>1.64</v>
      </c>
      <c r="E2777" s="1">
        <f>IFERROR(__xludf.DUMMYFUNCTION("""COMPUTED_VALUE"""),1.66)</f>
        <v>1.66</v>
      </c>
      <c r="F2777" s="1">
        <f>IFERROR(__xludf.DUMMYFUNCTION("""COMPUTED_VALUE"""),342242.0)</f>
        <v>342242</v>
      </c>
    </row>
    <row r="2778">
      <c r="A2778" s="2">
        <f>IFERROR(__xludf.DUMMYFUNCTION("""COMPUTED_VALUE"""),43199.66666666667)</f>
        <v>43199.66667</v>
      </c>
      <c r="B2778" s="1">
        <f>IFERROR(__xludf.DUMMYFUNCTION("""COMPUTED_VALUE"""),1.66)</f>
        <v>1.66</v>
      </c>
      <c r="C2778" s="1">
        <f>IFERROR(__xludf.DUMMYFUNCTION("""COMPUTED_VALUE"""),1.68)</f>
        <v>1.68</v>
      </c>
      <c r="D2778" s="1">
        <f>IFERROR(__xludf.DUMMYFUNCTION("""COMPUTED_VALUE"""),1.64)</f>
        <v>1.64</v>
      </c>
      <c r="E2778" s="1">
        <f>IFERROR(__xludf.DUMMYFUNCTION("""COMPUTED_VALUE"""),1.64)</f>
        <v>1.64</v>
      </c>
      <c r="F2778" s="1">
        <f>IFERROR(__xludf.DUMMYFUNCTION("""COMPUTED_VALUE"""),259845.0)</f>
        <v>259845</v>
      </c>
    </row>
    <row r="2779">
      <c r="A2779" s="2">
        <f>IFERROR(__xludf.DUMMYFUNCTION("""COMPUTED_VALUE"""),43200.66666666667)</f>
        <v>43200.66667</v>
      </c>
      <c r="B2779" s="1">
        <f>IFERROR(__xludf.DUMMYFUNCTION("""COMPUTED_VALUE"""),1.67)</f>
        <v>1.67</v>
      </c>
      <c r="C2779" s="1">
        <f>IFERROR(__xludf.DUMMYFUNCTION("""COMPUTED_VALUE"""),1.71)</f>
        <v>1.71</v>
      </c>
      <c r="D2779" s="1">
        <f>IFERROR(__xludf.DUMMYFUNCTION("""COMPUTED_VALUE"""),1.64)</f>
        <v>1.64</v>
      </c>
      <c r="E2779" s="1">
        <f>IFERROR(__xludf.DUMMYFUNCTION("""COMPUTED_VALUE"""),1.71)</f>
        <v>1.71</v>
      </c>
      <c r="F2779" s="1">
        <f>IFERROR(__xludf.DUMMYFUNCTION("""COMPUTED_VALUE"""),295025.0)</f>
        <v>295025</v>
      </c>
    </row>
    <row r="2780">
      <c r="A2780" s="2">
        <f>IFERROR(__xludf.DUMMYFUNCTION("""COMPUTED_VALUE"""),43201.66666666667)</f>
        <v>43201.66667</v>
      </c>
      <c r="B2780" s="1">
        <f>IFERROR(__xludf.DUMMYFUNCTION("""COMPUTED_VALUE"""),1.7)</f>
        <v>1.7</v>
      </c>
      <c r="C2780" s="1">
        <f>IFERROR(__xludf.DUMMYFUNCTION("""COMPUTED_VALUE"""),1.75)</f>
        <v>1.75</v>
      </c>
      <c r="D2780" s="1">
        <f>IFERROR(__xludf.DUMMYFUNCTION("""COMPUTED_VALUE"""),1.69)</f>
        <v>1.69</v>
      </c>
      <c r="E2780" s="1">
        <f>IFERROR(__xludf.DUMMYFUNCTION("""COMPUTED_VALUE"""),1.73)</f>
        <v>1.73</v>
      </c>
      <c r="F2780" s="1">
        <f>IFERROR(__xludf.DUMMYFUNCTION("""COMPUTED_VALUE"""),252848.0)</f>
        <v>252848</v>
      </c>
    </row>
    <row r="2781">
      <c r="A2781" s="2">
        <f>IFERROR(__xludf.DUMMYFUNCTION("""COMPUTED_VALUE"""),43202.66666666667)</f>
        <v>43202.66667</v>
      </c>
      <c r="B2781" s="1">
        <f>IFERROR(__xludf.DUMMYFUNCTION("""COMPUTED_VALUE"""),1.73)</f>
        <v>1.73</v>
      </c>
      <c r="C2781" s="1">
        <f>IFERROR(__xludf.DUMMYFUNCTION("""COMPUTED_VALUE"""),1.78)</f>
        <v>1.78</v>
      </c>
      <c r="D2781" s="1">
        <f>IFERROR(__xludf.DUMMYFUNCTION("""COMPUTED_VALUE"""),1.73)</f>
        <v>1.73</v>
      </c>
      <c r="E2781" s="1">
        <f>IFERROR(__xludf.DUMMYFUNCTION("""COMPUTED_VALUE"""),1.76)</f>
        <v>1.76</v>
      </c>
      <c r="F2781" s="1">
        <f>IFERROR(__xludf.DUMMYFUNCTION("""COMPUTED_VALUE"""),466827.0)</f>
        <v>466827</v>
      </c>
    </row>
    <row r="2782">
      <c r="A2782" s="2">
        <f>IFERROR(__xludf.DUMMYFUNCTION("""COMPUTED_VALUE"""),43203.66666666667)</f>
        <v>43203.66667</v>
      </c>
      <c r="B2782" s="1">
        <f>IFERROR(__xludf.DUMMYFUNCTION("""COMPUTED_VALUE"""),1.76)</f>
        <v>1.76</v>
      </c>
      <c r="C2782" s="1">
        <f>IFERROR(__xludf.DUMMYFUNCTION("""COMPUTED_VALUE"""),1.77)</f>
        <v>1.77</v>
      </c>
      <c r="D2782" s="1">
        <f>IFERROR(__xludf.DUMMYFUNCTION("""COMPUTED_VALUE"""),1.72)</f>
        <v>1.72</v>
      </c>
      <c r="E2782" s="1">
        <f>IFERROR(__xludf.DUMMYFUNCTION("""COMPUTED_VALUE"""),1.74)</f>
        <v>1.74</v>
      </c>
      <c r="F2782" s="1">
        <f>IFERROR(__xludf.DUMMYFUNCTION("""COMPUTED_VALUE"""),134109.0)</f>
        <v>134109</v>
      </c>
    </row>
    <row r="2783">
      <c r="A2783" s="2">
        <f>IFERROR(__xludf.DUMMYFUNCTION("""COMPUTED_VALUE"""),43206.66666666667)</f>
        <v>43206.66667</v>
      </c>
      <c r="B2783" s="1">
        <f>IFERROR(__xludf.DUMMYFUNCTION("""COMPUTED_VALUE"""),1.75)</f>
        <v>1.75</v>
      </c>
      <c r="C2783" s="1">
        <f>IFERROR(__xludf.DUMMYFUNCTION("""COMPUTED_VALUE"""),1.81)</f>
        <v>1.81</v>
      </c>
      <c r="D2783" s="1">
        <f>IFERROR(__xludf.DUMMYFUNCTION("""COMPUTED_VALUE"""),1.72)</f>
        <v>1.72</v>
      </c>
      <c r="E2783" s="1">
        <f>IFERROR(__xludf.DUMMYFUNCTION("""COMPUTED_VALUE"""),1.77)</f>
        <v>1.77</v>
      </c>
      <c r="F2783" s="1">
        <f>IFERROR(__xludf.DUMMYFUNCTION("""COMPUTED_VALUE"""),269463.0)</f>
        <v>269463</v>
      </c>
    </row>
    <row r="2784">
      <c r="A2784" s="2">
        <f>IFERROR(__xludf.DUMMYFUNCTION("""COMPUTED_VALUE"""),43207.66666666667)</f>
        <v>43207.66667</v>
      </c>
      <c r="B2784" s="1">
        <f>IFERROR(__xludf.DUMMYFUNCTION("""COMPUTED_VALUE"""),1.78)</f>
        <v>1.78</v>
      </c>
      <c r="C2784" s="1">
        <f>IFERROR(__xludf.DUMMYFUNCTION("""COMPUTED_VALUE"""),1.84)</f>
        <v>1.84</v>
      </c>
      <c r="D2784" s="1">
        <f>IFERROR(__xludf.DUMMYFUNCTION("""COMPUTED_VALUE"""),1.78)</f>
        <v>1.78</v>
      </c>
      <c r="E2784" s="1">
        <f>IFERROR(__xludf.DUMMYFUNCTION("""COMPUTED_VALUE"""),1.83)</f>
        <v>1.83</v>
      </c>
      <c r="F2784" s="1">
        <f>IFERROR(__xludf.DUMMYFUNCTION("""COMPUTED_VALUE"""),481588.0)</f>
        <v>481588</v>
      </c>
    </row>
    <row r="2785">
      <c r="A2785" s="2">
        <f>IFERROR(__xludf.DUMMYFUNCTION("""COMPUTED_VALUE"""),43208.66666666667)</f>
        <v>43208.66667</v>
      </c>
      <c r="B2785" s="1">
        <f>IFERROR(__xludf.DUMMYFUNCTION("""COMPUTED_VALUE"""),1.84)</f>
        <v>1.84</v>
      </c>
      <c r="C2785" s="1">
        <f>IFERROR(__xludf.DUMMYFUNCTION("""COMPUTED_VALUE"""),1.84)</f>
        <v>1.84</v>
      </c>
      <c r="D2785" s="1">
        <f>IFERROR(__xludf.DUMMYFUNCTION("""COMPUTED_VALUE"""),1.8)</f>
        <v>1.8</v>
      </c>
      <c r="E2785" s="1">
        <f>IFERROR(__xludf.DUMMYFUNCTION("""COMPUTED_VALUE"""),1.8)</f>
        <v>1.8</v>
      </c>
      <c r="F2785" s="1">
        <f>IFERROR(__xludf.DUMMYFUNCTION("""COMPUTED_VALUE"""),208678.0)</f>
        <v>208678</v>
      </c>
    </row>
    <row r="2786">
      <c r="A2786" s="2">
        <f>IFERROR(__xludf.DUMMYFUNCTION("""COMPUTED_VALUE"""),43209.66666666667)</f>
        <v>43209.66667</v>
      </c>
      <c r="B2786" s="1">
        <f>IFERROR(__xludf.DUMMYFUNCTION("""COMPUTED_VALUE"""),1.8)</f>
        <v>1.8</v>
      </c>
      <c r="C2786" s="1">
        <f>IFERROR(__xludf.DUMMYFUNCTION("""COMPUTED_VALUE"""),1.8)</f>
        <v>1.8</v>
      </c>
      <c r="D2786" s="1">
        <f>IFERROR(__xludf.DUMMYFUNCTION("""COMPUTED_VALUE"""),1.77)</f>
        <v>1.77</v>
      </c>
      <c r="E2786" s="1">
        <f>IFERROR(__xludf.DUMMYFUNCTION("""COMPUTED_VALUE"""),1.78)</f>
        <v>1.78</v>
      </c>
      <c r="F2786" s="1">
        <f>IFERROR(__xludf.DUMMYFUNCTION("""COMPUTED_VALUE"""),226894.0)</f>
        <v>226894</v>
      </c>
    </row>
    <row r="2787">
      <c r="A2787" s="2">
        <f>IFERROR(__xludf.DUMMYFUNCTION("""COMPUTED_VALUE"""),43210.66666666667)</f>
        <v>43210.66667</v>
      </c>
      <c r="B2787" s="1">
        <f>IFERROR(__xludf.DUMMYFUNCTION("""COMPUTED_VALUE"""),1.78)</f>
        <v>1.78</v>
      </c>
      <c r="C2787" s="1">
        <f>IFERROR(__xludf.DUMMYFUNCTION("""COMPUTED_VALUE"""),1.8)</f>
        <v>1.8</v>
      </c>
      <c r="D2787" s="1">
        <f>IFERROR(__xludf.DUMMYFUNCTION("""COMPUTED_VALUE"""),1.74)</f>
        <v>1.74</v>
      </c>
      <c r="E2787" s="1">
        <f>IFERROR(__xludf.DUMMYFUNCTION("""COMPUTED_VALUE"""),1.75)</f>
        <v>1.75</v>
      </c>
      <c r="F2787" s="1">
        <f>IFERROR(__xludf.DUMMYFUNCTION("""COMPUTED_VALUE"""),172350.0)</f>
        <v>172350</v>
      </c>
    </row>
    <row r="2788">
      <c r="A2788" s="2">
        <f>IFERROR(__xludf.DUMMYFUNCTION("""COMPUTED_VALUE"""),43213.66666666667)</f>
        <v>43213.66667</v>
      </c>
      <c r="B2788" s="1">
        <f>IFERROR(__xludf.DUMMYFUNCTION("""COMPUTED_VALUE"""),1.76)</f>
        <v>1.76</v>
      </c>
      <c r="C2788" s="1">
        <f>IFERROR(__xludf.DUMMYFUNCTION("""COMPUTED_VALUE"""),1.77)</f>
        <v>1.77</v>
      </c>
      <c r="D2788" s="1">
        <f>IFERROR(__xludf.DUMMYFUNCTION("""COMPUTED_VALUE"""),1.73)</f>
        <v>1.73</v>
      </c>
      <c r="E2788" s="1">
        <f>IFERROR(__xludf.DUMMYFUNCTION("""COMPUTED_VALUE"""),1.74)</f>
        <v>1.74</v>
      </c>
      <c r="F2788" s="1">
        <f>IFERROR(__xludf.DUMMYFUNCTION("""COMPUTED_VALUE"""),154061.0)</f>
        <v>154061</v>
      </c>
    </row>
    <row r="2789">
      <c r="A2789" s="2">
        <f>IFERROR(__xludf.DUMMYFUNCTION("""COMPUTED_VALUE"""),43214.66666666667)</f>
        <v>43214.66667</v>
      </c>
      <c r="B2789" s="1">
        <f>IFERROR(__xludf.DUMMYFUNCTION("""COMPUTED_VALUE"""),1.76)</f>
        <v>1.76</v>
      </c>
      <c r="C2789" s="1">
        <f>IFERROR(__xludf.DUMMYFUNCTION("""COMPUTED_VALUE"""),1.78)</f>
        <v>1.78</v>
      </c>
      <c r="D2789" s="1">
        <f>IFERROR(__xludf.DUMMYFUNCTION("""COMPUTED_VALUE"""),1.74)</f>
        <v>1.74</v>
      </c>
      <c r="E2789" s="1">
        <f>IFERROR(__xludf.DUMMYFUNCTION("""COMPUTED_VALUE"""),1.76)</f>
        <v>1.76</v>
      </c>
      <c r="F2789" s="1">
        <f>IFERROR(__xludf.DUMMYFUNCTION("""COMPUTED_VALUE"""),417433.0)</f>
        <v>417433</v>
      </c>
    </row>
    <row r="2790">
      <c r="A2790" s="2">
        <f>IFERROR(__xludf.DUMMYFUNCTION("""COMPUTED_VALUE"""),43215.66666666667)</f>
        <v>43215.66667</v>
      </c>
      <c r="B2790" s="1">
        <f>IFERROR(__xludf.DUMMYFUNCTION("""COMPUTED_VALUE"""),1.76)</f>
        <v>1.76</v>
      </c>
      <c r="C2790" s="1">
        <f>IFERROR(__xludf.DUMMYFUNCTION("""COMPUTED_VALUE"""),1.78)</f>
        <v>1.78</v>
      </c>
      <c r="D2790" s="1">
        <f>IFERROR(__xludf.DUMMYFUNCTION("""COMPUTED_VALUE"""),1.74)</f>
        <v>1.74</v>
      </c>
      <c r="E2790" s="1">
        <f>IFERROR(__xludf.DUMMYFUNCTION("""COMPUTED_VALUE"""),1.76)</f>
        <v>1.76</v>
      </c>
      <c r="F2790" s="1">
        <f>IFERROR(__xludf.DUMMYFUNCTION("""COMPUTED_VALUE"""),154250.0)</f>
        <v>154250</v>
      </c>
    </row>
    <row r="2791">
      <c r="A2791" s="2">
        <f>IFERROR(__xludf.DUMMYFUNCTION("""COMPUTED_VALUE"""),43216.66666666667)</f>
        <v>43216.66667</v>
      </c>
      <c r="B2791" s="1">
        <f>IFERROR(__xludf.DUMMYFUNCTION("""COMPUTED_VALUE"""),1.77)</f>
        <v>1.77</v>
      </c>
      <c r="C2791" s="1">
        <f>IFERROR(__xludf.DUMMYFUNCTION("""COMPUTED_VALUE"""),1.78)</f>
        <v>1.78</v>
      </c>
      <c r="D2791" s="1">
        <f>IFERROR(__xludf.DUMMYFUNCTION("""COMPUTED_VALUE"""),1.75)</f>
        <v>1.75</v>
      </c>
      <c r="E2791" s="1">
        <f>IFERROR(__xludf.DUMMYFUNCTION("""COMPUTED_VALUE"""),1.77)</f>
        <v>1.77</v>
      </c>
      <c r="F2791" s="1">
        <f>IFERROR(__xludf.DUMMYFUNCTION("""COMPUTED_VALUE"""),131635.0)</f>
        <v>131635</v>
      </c>
    </row>
    <row r="2792">
      <c r="A2792" s="2">
        <f>IFERROR(__xludf.DUMMYFUNCTION("""COMPUTED_VALUE"""),43217.66666666667)</f>
        <v>43217.66667</v>
      </c>
      <c r="B2792" s="1">
        <f>IFERROR(__xludf.DUMMYFUNCTION("""COMPUTED_VALUE"""),1.78)</f>
        <v>1.78</v>
      </c>
      <c r="C2792" s="1">
        <f>IFERROR(__xludf.DUMMYFUNCTION("""COMPUTED_VALUE"""),1.83)</f>
        <v>1.83</v>
      </c>
      <c r="D2792" s="1">
        <f>IFERROR(__xludf.DUMMYFUNCTION("""COMPUTED_VALUE"""),1.77)</f>
        <v>1.77</v>
      </c>
      <c r="E2792" s="1">
        <f>IFERROR(__xludf.DUMMYFUNCTION("""COMPUTED_VALUE"""),1.81)</f>
        <v>1.81</v>
      </c>
      <c r="F2792" s="1">
        <f>IFERROR(__xludf.DUMMYFUNCTION("""COMPUTED_VALUE"""),271101.0)</f>
        <v>271101</v>
      </c>
    </row>
    <row r="2793">
      <c r="A2793" s="2">
        <f>IFERROR(__xludf.DUMMYFUNCTION("""COMPUTED_VALUE"""),43220.66666666667)</f>
        <v>43220.66667</v>
      </c>
      <c r="B2793" s="1">
        <f>IFERROR(__xludf.DUMMYFUNCTION("""COMPUTED_VALUE"""),1.81)</f>
        <v>1.81</v>
      </c>
      <c r="C2793" s="1">
        <f>IFERROR(__xludf.DUMMYFUNCTION("""COMPUTED_VALUE"""),1.82)</f>
        <v>1.82</v>
      </c>
      <c r="D2793" s="1">
        <f>IFERROR(__xludf.DUMMYFUNCTION("""COMPUTED_VALUE"""),1.76)</f>
        <v>1.76</v>
      </c>
      <c r="E2793" s="1">
        <f>IFERROR(__xludf.DUMMYFUNCTION("""COMPUTED_VALUE"""),1.77)</f>
        <v>1.77</v>
      </c>
      <c r="F2793" s="1">
        <f>IFERROR(__xludf.DUMMYFUNCTION("""COMPUTED_VALUE"""),235805.0)</f>
        <v>235805</v>
      </c>
    </row>
    <row r="2794">
      <c r="A2794" s="2">
        <f>IFERROR(__xludf.DUMMYFUNCTION("""COMPUTED_VALUE"""),43221.66666666667)</f>
        <v>43221.66667</v>
      </c>
      <c r="B2794" s="1">
        <f>IFERROR(__xludf.DUMMYFUNCTION("""COMPUTED_VALUE"""),1.76)</f>
        <v>1.76</v>
      </c>
      <c r="C2794" s="1">
        <f>IFERROR(__xludf.DUMMYFUNCTION("""COMPUTED_VALUE"""),1.83)</f>
        <v>1.83</v>
      </c>
      <c r="D2794" s="1">
        <f>IFERROR(__xludf.DUMMYFUNCTION("""COMPUTED_VALUE"""),1.76)</f>
        <v>1.76</v>
      </c>
      <c r="E2794" s="1">
        <f>IFERROR(__xludf.DUMMYFUNCTION("""COMPUTED_VALUE"""),1.83)</f>
        <v>1.83</v>
      </c>
      <c r="F2794" s="1">
        <f>IFERROR(__xludf.DUMMYFUNCTION("""COMPUTED_VALUE"""),374274.0)</f>
        <v>374274</v>
      </c>
    </row>
    <row r="2795">
      <c r="A2795" s="2">
        <f>IFERROR(__xludf.DUMMYFUNCTION("""COMPUTED_VALUE"""),43222.66666666667)</f>
        <v>43222.66667</v>
      </c>
      <c r="B2795" s="1">
        <f>IFERROR(__xludf.DUMMYFUNCTION("""COMPUTED_VALUE"""),1.83)</f>
        <v>1.83</v>
      </c>
      <c r="C2795" s="1">
        <f>IFERROR(__xludf.DUMMYFUNCTION("""COMPUTED_VALUE"""),1.83)</f>
        <v>1.83</v>
      </c>
      <c r="D2795" s="1">
        <f>IFERROR(__xludf.DUMMYFUNCTION("""COMPUTED_VALUE"""),1.79)</f>
        <v>1.79</v>
      </c>
      <c r="E2795" s="1">
        <f>IFERROR(__xludf.DUMMYFUNCTION("""COMPUTED_VALUE"""),1.8)</f>
        <v>1.8</v>
      </c>
      <c r="F2795" s="1">
        <f>IFERROR(__xludf.DUMMYFUNCTION("""COMPUTED_VALUE"""),379524.0)</f>
        <v>379524</v>
      </c>
    </row>
    <row r="2796">
      <c r="A2796" s="2">
        <f>IFERROR(__xludf.DUMMYFUNCTION("""COMPUTED_VALUE"""),43223.66666666667)</f>
        <v>43223.66667</v>
      </c>
      <c r="B2796" s="1">
        <f>IFERROR(__xludf.DUMMYFUNCTION("""COMPUTED_VALUE"""),1.8)</f>
        <v>1.8</v>
      </c>
      <c r="C2796" s="1">
        <f>IFERROR(__xludf.DUMMYFUNCTION("""COMPUTED_VALUE"""),1.82)</f>
        <v>1.82</v>
      </c>
      <c r="D2796" s="1">
        <f>IFERROR(__xludf.DUMMYFUNCTION("""COMPUTED_VALUE"""),1.77)</f>
        <v>1.77</v>
      </c>
      <c r="E2796" s="1">
        <f>IFERROR(__xludf.DUMMYFUNCTION("""COMPUTED_VALUE"""),1.81)</f>
        <v>1.81</v>
      </c>
      <c r="F2796" s="1">
        <f>IFERROR(__xludf.DUMMYFUNCTION("""COMPUTED_VALUE"""),711618.0)</f>
        <v>711618</v>
      </c>
    </row>
    <row r="2797">
      <c r="A2797" s="2">
        <f>IFERROR(__xludf.DUMMYFUNCTION("""COMPUTED_VALUE"""),43224.66666666667)</f>
        <v>43224.66667</v>
      </c>
      <c r="B2797" s="1">
        <f>IFERROR(__xludf.DUMMYFUNCTION("""COMPUTED_VALUE"""),2.06)</f>
        <v>2.06</v>
      </c>
      <c r="C2797" s="1">
        <f>IFERROR(__xludf.DUMMYFUNCTION("""COMPUTED_VALUE"""),2.17)</f>
        <v>2.17</v>
      </c>
      <c r="D2797" s="1">
        <f>IFERROR(__xludf.DUMMYFUNCTION("""COMPUTED_VALUE"""),1.97)</f>
        <v>1.97</v>
      </c>
      <c r="E2797" s="1">
        <f>IFERROR(__xludf.DUMMYFUNCTION("""COMPUTED_VALUE"""),2.13)</f>
        <v>2.13</v>
      </c>
      <c r="F2797" s="1">
        <f>IFERROR(__xludf.DUMMYFUNCTION("""COMPUTED_VALUE"""),1287959.0)</f>
        <v>1287959</v>
      </c>
    </row>
    <row r="2798">
      <c r="A2798" s="2">
        <f>IFERROR(__xludf.DUMMYFUNCTION("""COMPUTED_VALUE"""),43227.66666666667)</f>
        <v>43227.66667</v>
      </c>
      <c r="B2798" s="1">
        <f>IFERROR(__xludf.DUMMYFUNCTION("""COMPUTED_VALUE"""),2.15)</f>
        <v>2.15</v>
      </c>
      <c r="C2798" s="1">
        <f>IFERROR(__xludf.DUMMYFUNCTION("""COMPUTED_VALUE"""),2.34)</f>
        <v>2.34</v>
      </c>
      <c r="D2798" s="1">
        <f>IFERROR(__xludf.DUMMYFUNCTION("""COMPUTED_VALUE"""),2.13)</f>
        <v>2.13</v>
      </c>
      <c r="E2798" s="1">
        <f>IFERROR(__xludf.DUMMYFUNCTION("""COMPUTED_VALUE"""),2.31)</f>
        <v>2.31</v>
      </c>
      <c r="F2798" s="1">
        <f>IFERROR(__xludf.DUMMYFUNCTION("""COMPUTED_VALUE"""),973216.0)</f>
        <v>973216</v>
      </c>
    </row>
    <row r="2799">
      <c r="A2799" s="2">
        <f>IFERROR(__xludf.DUMMYFUNCTION("""COMPUTED_VALUE"""),43228.66666666667)</f>
        <v>43228.66667</v>
      </c>
      <c r="B2799" s="1">
        <f>IFERROR(__xludf.DUMMYFUNCTION("""COMPUTED_VALUE"""),2.3)</f>
        <v>2.3</v>
      </c>
      <c r="C2799" s="1">
        <f>IFERROR(__xludf.DUMMYFUNCTION("""COMPUTED_VALUE"""),2.4)</f>
        <v>2.4</v>
      </c>
      <c r="D2799" s="1">
        <f>IFERROR(__xludf.DUMMYFUNCTION("""COMPUTED_VALUE"""),2.28)</f>
        <v>2.28</v>
      </c>
      <c r="E2799" s="1">
        <f>IFERROR(__xludf.DUMMYFUNCTION("""COMPUTED_VALUE"""),2.4)</f>
        <v>2.4</v>
      </c>
      <c r="F2799" s="1">
        <f>IFERROR(__xludf.DUMMYFUNCTION("""COMPUTED_VALUE"""),623184.0)</f>
        <v>623184</v>
      </c>
    </row>
    <row r="2800">
      <c r="A2800" s="2">
        <f>IFERROR(__xludf.DUMMYFUNCTION("""COMPUTED_VALUE"""),43229.66666666667)</f>
        <v>43229.66667</v>
      </c>
      <c r="B2800" s="1">
        <f>IFERROR(__xludf.DUMMYFUNCTION("""COMPUTED_VALUE"""),2.4)</f>
        <v>2.4</v>
      </c>
      <c r="C2800" s="1">
        <f>IFERROR(__xludf.DUMMYFUNCTION("""COMPUTED_VALUE"""),2.43)</f>
        <v>2.43</v>
      </c>
      <c r="D2800" s="1">
        <f>IFERROR(__xludf.DUMMYFUNCTION("""COMPUTED_VALUE"""),2.32)</f>
        <v>2.32</v>
      </c>
      <c r="E2800" s="1">
        <f>IFERROR(__xludf.DUMMYFUNCTION("""COMPUTED_VALUE"""),2.4)</f>
        <v>2.4</v>
      </c>
      <c r="F2800" s="1">
        <f>IFERROR(__xludf.DUMMYFUNCTION("""COMPUTED_VALUE"""),629816.0)</f>
        <v>629816</v>
      </c>
    </row>
    <row r="2801">
      <c r="A2801" s="2">
        <f>IFERROR(__xludf.DUMMYFUNCTION("""COMPUTED_VALUE"""),43230.66666666667)</f>
        <v>43230.66667</v>
      </c>
      <c r="B2801" s="1">
        <f>IFERROR(__xludf.DUMMYFUNCTION("""COMPUTED_VALUE"""),2.41)</f>
        <v>2.41</v>
      </c>
      <c r="C2801" s="1">
        <f>IFERROR(__xludf.DUMMYFUNCTION("""COMPUTED_VALUE"""),2.42)</f>
        <v>2.42</v>
      </c>
      <c r="D2801" s="1">
        <f>IFERROR(__xludf.DUMMYFUNCTION("""COMPUTED_VALUE"""),2.34)</f>
        <v>2.34</v>
      </c>
      <c r="E2801" s="1">
        <f>IFERROR(__xludf.DUMMYFUNCTION("""COMPUTED_VALUE"""),2.38)</f>
        <v>2.38</v>
      </c>
      <c r="F2801" s="1">
        <f>IFERROR(__xludf.DUMMYFUNCTION("""COMPUTED_VALUE"""),559841.0)</f>
        <v>559841</v>
      </c>
    </row>
    <row r="2802">
      <c r="A2802" s="2">
        <f>IFERROR(__xludf.DUMMYFUNCTION("""COMPUTED_VALUE"""),43231.66666666667)</f>
        <v>43231.66667</v>
      </c>
      <c r="B2802" s="1">
        <f>IFERROR(__xludf.DUMMYFUNCTION("""COMPUTED_VALUE"""),2.38)</f>
        <v>2.38</v>
      </c>
      <c r="C2802" s="1">
        <f>IFERROR(__xludf.DUMMYFUNCTION("""COMPUTED_VALUE"""),2.4)</f>
        <v>2.4</v>
      </c>
      <c r="D2802" s="1">
        <f>IFERROR(__xludf.DUMMYFUNCTION("""COMPUTED_VALUE"""),2.34)</f>
        <v>2.34</v>
      </c>
      <c r="E2802" s="1">
        <f>IFERROR(__xludf.DUMMYFUNCTION("""COMPUTED_VALUE"""),2.34)</f>
        <v>2.34</v>
      </c>
      <c r="F2802" s="1">
        <f>IFERROR(__xludf.DUMMYFUNCTION("""COMPUTED_VALUE"""),351047.0)</f>
        <v>351047</v>
      </c>
    </row>
    <row r="2803">
      <c r="A2803" s="2">
        <f>IFERROR(__xludf.DUMMYFUNCTION("""COMPUTED_VALUE"""),43234.66666666667)</f>
        <v>43234.66667</v>
      </c>
      <c r="B2803" s="1">
        <f>IFERROR(__xludf.DUMMYFUNCTION("""COMPUTED_VALUE"""),2.34)</f>
        <v>2.34</v>
      </c>
      <c r="C2803" s="1">
        <f>IFERROR(__xludf.DUMMYFUNCTION("""COMPUTED_VALUE"""),2.39)</f>
        <v>2.39</v>
      </c>
      <c r="D2803" s="1">
        <f>IFERROR(__xludf.DUMMYFUNCTION("""COMPUTED_VALUE"""),2.33)</f>
        <v>2.33</v>
      </c>
      <c r="E2803" s="1">
        <f>IFERROR(__xludf.DUMMYFUNCTION("""COMPUTED_VALUE"""),2.36)</f>
        <v>2.36</v>
      </c>
      <c r="F2803" s="1">
        <f>IFERROR(__xludf.DUMMYFUNCTION("""COMPUTED_VALUE"""),422934.0)</f>
        <v>422934</v>
      </c>
    </row>
    <row r="2804">
      <c r="A2804" s="2">
        <f>IFERROR(__xludf.DUMMYFUNCTION("""COMPUTED_VALUE"""),43235.66666666667)</f>
        <v>43235.66667</v>
      </c>
      <c r="B2804" s="1">
        <f>IFERROR(__xludf.DUMMYFUNCTION("""COMPUTED_VALUE"""),2.36)</f>
        <v>2.36</v>
      </c>
      <c r="C2804" s="1">
        <f>IFERROR(__xludf.DUMMYFUNCTION("""COMPUTED_VALUE"""),2.38)</f>
        <v>2.38</v>
      </c>
      <c r="D2804" s="1">
        <f>IFERROR(__xludf.DUMMYFUNCTION("""COMPUTED_VALUE"""),2.35)</f>
        <v>2.35</v>
      </c>
      <c r="E2804" s="1">
        <f>IFERROR(__xludf.DUMMYFUNCTION("""COMPUTED_VALUE"""),2.38)</f>
        <v>2.38</v>
      </c>
      <c r="F2804" s="1">
        <f>IFERROR(__xludf.DUMMYFUNCTION("""COMPUTED_VALUE"""),479069.0)</f>
        <v>479069</v>
      </c>
    </row>
    <row r="2805">
      <c r="A2805" s="2">
        <f>IFERROR(__xludf.DUMMYFUNCTION("""COMPUTED_VALUE"""),43236.66666666667)</f>
        <v>43236.66667</v>
      </c>
      <c r="B2805" s="1">
        <f>IFERROR(__xludf.DUMMYFUNCTION("""COMPUTED_VALUE"""),2.38)</f>
        <v>2.38</v>
      </c>
      <c r="C2805" s="1">
        <f>IFERROR(__xludf.DUMMYFUNCTION("""COMPUTED_VALUE"""),2.4)</f>
        <v>2.4</v>
      </c>
      <c r="D2805" s="1">
        <f>IFERROR(__xludf.DUMMYFUNCTION("""COMPUTED_VALUE"""),2.37)</f>
        <v>2.37</v>
      </c>
      <c r="E2805" s="1">
        <f>IFERROR(__xludf.DUMMYFUNCTION("""COMPUTED_VALUE"""),2.39)</f>
        <v>2.39</v>
      </c>
      <c r="F2805" s="1">
        <f>IFERROR(__xludf.DUMMYFUNCTION("""COMPUTED_VALUE"""),384141.0)</f>
        <v>384141</v>
      </c>
    </row>
    <row r="2806">
      <c r="A2806" s="2">
        <f>IFERROR(__xludf.DUMMYFUNCTION("""COMPUTED_VALUE"""),43237.66666666667)</f>
        <v>43237.66667</v>
      </c>
      <c r="B2806" s="1">
        <f>IFERROR(__xludf.DUMMYFUNCTION("""COMPUTED_VALUE"""),2.39)</f>
        <v>2.39</v>
      </c>
      <c r="C2806" s="1">
        <f>IFERROR(__xludf.DUMMYFUNCTION("""COMPUTED_VALUE"""),2.42)</f>
        <v>2.42</v>
      </c>
      <c r="D2806" s="1">
        <f>IFERROR(__xludf.DUMMYFUNCTION("""COMPUTED_VALUE"""),2.39)</f>
        <v>2.39</v>
      </c>
      <c r="E2806" s="1">
        <f>IFERROR(__xludf.DUMMYFUNCTION("""COMPUTED_VALUE"""),2.4)</f>
        <v>2.4</v>
      </c>
      <c r="F2806" s="1">
        <f>IFERROR(__xludf.DUMMYFUNCTION("""COMPUTED_VALUE"""),274232.0)</f>
        <v>274232</v>
      </c>
    </row>
    <row r="2807">
      <c r="A2807" s="2">
        <f>IFERROR(__xludf.DUMMYFUNCTION("""COMPUTED_VALUE"""),43238.66666666667)</f>
        <v>43238.66667</v>
      </c>
      <c r="B2807" s="1">
        <f>IFERROR(__xludf.DUMMYFUNCTION("""COMPUTED_VALUE"""),2.4)</f>
        <v>2.4</v>
      </c>
      <c r="C2807" s="1">
        <f>IFERROR(__xludf.DUMMYFUNCTION("""COMPUTED_VALUE"""),2.4)</f>
        <v>2.4</v>
      </c>
      <c r="D2807" s="1">
        <f>IFERROR(__xludf.DUMMYFUNCTION("""COMPUTED_VALUE"""),2.36)</f>
        <v>2.36</v>
      </c>
      <c r="E2807" s="1">
        <f>IFERROR(__xludf.DUMMYFUNCTION("""COMPUTED_VALUE"""),2.37)</f>
        <v>2.37</v>
      </c>
      <c r="F2807" s="1">
        <f>IFERROR(__xludf.DUMMYFUNCTION("""COMPUTED_VALUE"""),334964.0)</f>
        <v>334964</v>
      </c>
    </row>
    <row r="2808">
      <c r="A2808" s="2">
        <f>IFERROR(__xludf.DUMMYFUNCTION("""COMPUTED_VALUE"""),43241.66666666667)</f>
        <v>43241.66667</v>
      </c>
      <c r="B2808" s="1">
        <f>IFERROR(__xludf.DUMMYFUNCTION("""COMPUTED_VALUE"""),2.38)</f>
        <v>2.38</v>
      </c>
      <c r="C2808" s="1">
        <f>IFERROR(__xludf.DUMMYFUNCTION("""COMPUTED_VALUE"""),2.4)</f>
        <v>2.4</v>
      </c>
      <c r="D2808" s="1">
        <f>IFERROR(__xludf.DUMMYFUNCTION("""COMPUTED_VALUE"""),2.35)</f>
        <v>2.35</v>
      </c>
      <c r="E2808" s="1">
        <f>IFERROR(__xludf.DUMMYFUNCTION("""COMPUTED_VALUE"""),2.38)</f>
        <v>2.38</v>
      </c>
      <c r="F2808" s="1">
        <f>IFERROR(__xludf.DUMMYFUNCTION("""COMPUTED_VALUE"""),435582.0)</f>
        <v>435582</v>
      </c>
    </row>
    <row r="2809">
      <c r="A2809" s="2">
        <f>IFERROR(__xludf.DUMMYFUNCTION("""COMPUTED_VALUE"""),43242.66666666667)</f>
        <v>43242.66667</v>
      </c>
      <c r="B2809" s="1">
        <f>IFERROR(__xludf.DUMMYFUNCTION("""COMPUTED_VALUE"""),2.39)</f>
        <v>2.39</v>
      </c>
      <c r="C2809" s="1">
        <f>IFERROR(__xludf.DUMMYFUNCTION("""COMPUTED_VALUE"""),2.4)</f>
        <v>2.4</v>
      </c>
      <c r="D2809" s="1">
        <f>IFERROR(__xludf.DUMMYFUNCTION("""COMPUTED_VALUE"""),2.35)</f>
        <v>2.35</v>
      </c>
      <c r="E2809" s="1">
        <f>IFERROR(__xludf.DUMMYFUNCTION("""COMPUTED_VALUE"""),2.37)</f>
        <v>2.37</v>
      </c>
      <c r="F2809" s="1">
        <f>IFERROR(__xludf.DUMMYFUNCTION("""COMPUTED_VALUE"""),220214.0)</f>
        <v>220214</v>
      </c>
    </row>
    <row r="2810">
      <c r="A2810" s="2">
        <f>IFERROR(__xludf.DUMMYFUNCTION("""COMPUTED_VALUE"""),43243.66666666667)</f>
        <v>43243.66667</v>
      </c>
      <c r="B2810" s="1">
        <f>IFERROR(__xludf.DUMMYFUNCTION("""COMPUTED_VALUE"""),2.36)</f>
        <v>2.36</v>
      </c>
      <c r="C2810" s="1">
        <f>IFERROR(__xludf.DUMMYFUNCTION("""COMPUTED_VALUE"""),2.38)</f>
        <v>2.38</v>
      </c>
      <c r="D2810" s="1">
        <f>IFERROR(__xludf.DUMMYFUNCTION("""COMPUTED_VALUE"""),2.34)</f>
        <v>2.34</v>
      </c>
      <c r="E2810" s="1">
        <f>IFERROR(__xludf.DUMMYFUNCTION("""COMPUTED_VALUE"""),2.37)</f>
        <v>2.37</v>
      </c>
      <c r="F2810" s="1">
        <f>IFERROR(__xludf.DUMMYFUNCTION("""COMPUTED_VALUE"""),550078.0)</f>
        <v>550078</v>
      </c>
    </row>
    <row r="2811">
      <c r="A2811" s="2">
        <f>IFERROR(__xludf.DUMMYFUNCTION("""COMPUTED_VALUE"""),43244.66666666667)</f>
        <v>43244.66667</v>
      </c>
      <c r="B2811" s="1">
        <f>IFERROR(__xludf.DUMMYFUNCTION("""COMPUTED_VALUE"""),2.36)</f>
        <v>2.36</v>
      </c>
      <c r="C2811" s="1">
        <f>IFERROR(__xludf.DUMMYFUNCTION("""COMPUTED_VALUE"""),2.39)</f>
        <v>2.39</v>
      </c>
      <c r="D2811" s="1">
        <f>IFERROR(__xludf.DUMMYFUNCTION("""COMPUTED_VALUE"""),2.36)</f>
        <v>2.36</v>
      </c>
      <c r="E2811" s="1">
        <f>IFERROR(__xludf.DUMMYFUNCTION("""COMPUTED_VALUE"""),2.37)</f>
        <v>2.37</v>
      </c>
      <c r="F2811" s="1">
        <f>IFERROR(__xludf.DUMMYFUNCTION("""COMPUTED_VALUE"""),367077.0)</f>
        <v>367077</v>
      </c>
    </row>
    <row r="2812">
      <c r="A2812" s="2">
        <f>IFERROR(__xludf.DUMMYFUNCTION("""COMPUTED_VALUE"""),43245.66666666667)</f>
        <v>43245.66667</v>
      </c>
      <c r="B2812" s="1">
        <f>IFERROR(__xludf.DUMMYFUNCTION("""COMPUTED_VALUE"""),2.37)</f>
        <v>2.37</v>
      </c>
      <c r="C2812" s="1">
        <f>IFERROR(__xludf.DUMMYFUNCTION("""COMPUTED_VALUE"""),2.44)</f>
        <v>2.44</v>
      </c>
      <c r="D2812" s="1">
        <f>IFERROR(__xludf.DUMMYFUNCTION("""COMPUTED_VALUE"""),2.36)</f>
        <v>2.36</v>
      </c>
      <c r="E2812" s="1">
        <f>IFERROR(__xludf.DUMMYFUNCTION("""COMPUTED_VALUE"""),2.37)</f>
        <v>2.37</v>
      </c>
      <c r="F2812" s="1">
        <f>IFERROR(__xludf.DUMMYFUNCTION("""COMPUTED_VALUE"""),422984.0)</f>
        <v>422984</v>
      </c>
    </row>
    <row r="2813">
      <c r="A2813" s="2">
        <f>IFERROR(__xludf.DUMMYFUNCTION("""COMPUTED_VALUE"""),43249.66666666667)</f>
        <v>43249.66667</v>
      </c>
      <c r="B2813" s="1">
        <f>IFERROR(__xludf.DUMMYFUNCTION("""COMPUTED_VALUE"""),2.35)</f>
        <v>2.35</v>
      </c>
      <c r="C2813" s="1">
        <f>IFERROR(__xludf.DUMMYFUNCTION("""COMPUTED_VALUE"""),2.42)</f>
        <v>2.42</v>
      </c>
      <c r="D2813" s="1">
        <f>IFERROR(__xludf.DUMMYFUNCTION("""COMPUTED_VALUE"""),2.35)</f>
        <v>2.35</v>
      </c>
      <c r="E2813" s="1">
        <f>IFERROR(__xludf.DUMMYFUNCTION("""COMPUTED_VALUE"""),2.4)</f>
        <v>2.4</v>
      </c>
      <c r="F2813" s="1">
        <f>IFERROR(__xludf.DUMMYFUNCTION("""COMPUTED_VALUE"""),344011.0)</f>
        <v>344011</v>
      </c>
    </row>
    <row r="2814">
      <c r="A2814" s="2">
        <f>IFERROR(__xludf.DUMMYFUNCTION("""COMPUTED_VALUE"""),43250.66666666667)</f>
        <v>43250.66667</v>
      </c>
      <c r="B2814" s="1">
        <f>IFERROR(__xludf.DUMMYFUNCTION("""COMPUTED_VALUE"""),2.42)</f>
        <v>2.42</v>
      </c>
      <c r="C2814" s="1">
        <f>IFERROR(__xludf.DUMMYFUNCTION("""COMPUTED_VALUE"""),2.44)</f>
        <v>2.44</v>
      </c>
      <c r="D2814" s="1">
        <f>IFERROR(__xludf.DUMMYFUNCTION("""COMPUTED_VALUE"""),2.4)</f>
        <v>2.4</v>
      </c>
      <c r="E2814" s="1">
        <f>IFERROR(__xludf.DUMMYFUNCTION("""COMPUTED_VALUE"""),2.44)</f>
        <v>2.44</v>
      </c>
      <c r="F2814" s="1">
        <f>IFERROR(__xludf.DUMMYFUNCTION("""COMPUTED_VALUE"""),313591.0)</f>
        <v>313591</v>
      </c>
    </row>
    <row r="2815">
      <c r="A2815" s="2">
        <f>IFERROR(__xludf.DUMMYFUNCTION("""COMPUTED_VALUE"""),43251.66666666667)</f>
        <v>43251.66667</v>
      </c>
      <c r="B2815" s="1">
        <f>IFERROR(__xludf.DUMMYFUNCTION("""COMPUTED_VALUE"""),2.42)</f>
        <v>2.42</v>
      </c>
      <c r="C2815" s="1">
        <f>IFERROR(__xludf.DUMMYFUNCTION("""COMPUTED_VALUE"""),2.44)</f>
        <v>2.44</v>
      </c>
      <c r="D2815" s="1">
        <f>IFERROR(__xludf.DUMMYFUNCTION("""COMPUTED_VALUE"""),2.4)</f>
        <v>2.4</v>
      </c>
      <c r="E2815" s="1">
        <f>IFERROR(__xludf.DUMMYFUNCTION("""COMPUTED_VALUE"""),2.44)</f>
        <v>2.44</v>
      </c>
      <c r="F2815" s="1">
        <f>IFERROR(__xludf.DUMMYFUNCTION("""COMPUTED_VALUE"""),313591.0)</f>
        <v>313591</v>
      </c>
    </row>
    <row r="2816">
      <c r="A2816" s="2">
        <f>IFERROR(__xludf.DUMMYFUNCTION("""COMPUTED_VALUE"""),43252.66666666667)</f>
        <v>43252.66667</v>
      </c>
      <c r="B2816" s="1">
        <f>IFERROR(__xludf.DUMMYFUNCTION("""COMPUTED_VALUE"""),2.43)</f>
        <v>2.43</v>
      </c>
      <c r="C2816" s="1">
        <f>IFERROR(__xludf.DUMMYFUNCTION("""COMPUTED_VALUE"""),2.47)</f>
        <v>2.47</v>
      </c>
      <c r="D2816" s="1">
        <f>IFERROR(__xludf.DUMMYFUNCTION("""COMPUTED_VALUE"""),2.4)</f>
        <v>2.4</v>
      </c>
      <c r="E2816" s="1">
        <f>IFERROR(__xludf.DUMMYFUNCTION("""COMPUTED_VALUE"""),2.44)</f>
        <v>2.44</v>
      </c>
      <c r="F2816" s="1">
        <f>IFERROR(__xludf.DUMMYFUNCTION("""COMPUTED_VALUE"""),494488.0)</f>
        <v>494488</v>
      </c>
    </row>
    <row r="2817">
      <c r="A2817" s="2">
        <f>IFERROR(__xludf.DUMMYFUNCTION("""COMPUTED_VALUE"""),43255.66666666667)</f>
        <v>43255.66667</v>
      </c>
      <c r="B2817" s="1">
        <f>IFERROR(__xludf.DUMMYFUNCTION("""COMPUTED_VALUE"""),2.46)</f>
        <v>2.46</v>
      </c>
      <c r="C2817" s="1">
        <f>IFERROR(__xludf.DUMMYFUNCTION("""COMPUTED_VALUE"""),2.46)</f>
        <v>2.46</v>
      </c>
      <c r="D2817" s="1">
        <f>IFERROR(__xludf.DUMMYFUNCTION("""COMPUTED_VALUE"""),2.42)</f>
        <v>2.42</v>
      </c>
      <c r="E2817" s="1">
        <f>IFERROR(__xludf.DUMMYFUNCTION("""COMPUTED_VALUE"""),2.46)</f>
        <v>2.46</v>
      </c>
      <c r="F2817" s="1">
        <f>IFERROR(__xludf.DUMMYFUNCTION("""COMPUTED_VALUE"""),340508.0)</f>
        <v>340508</v>
      </c>
    </row>
    <row r="2818">
      <c r="A2818" s="2">
        <f>IFERROR(__xludf.DUMMYFUNCTION("""COMPUTED_VALUE"""),43256.66666666667)</f>
        <v>43256.66667</v>
      </c>
      <c r="B2818" s="1">
        <f>IFERROR(__xludf.DUMMYFUNCTION("""COMPUTED_VALUE"""),2.45)</f>
        <v>2.45</v>
      </c>
      <c r="C2818" s="1">
        <f>IFERROR(__xludf.DUMMYFUNCTION("""COMPUTED_VALUE"""),2.52)</f>
        <v>2.52</v>
      </c>
      <c r="D2818" s="1">
        <f>IFERROR(__xludf.DUMMYFUNCTION("""COMPUTED_VALUE"""),2.44)</f>
        <v>2.44</v>
      </c>
      <c r="E2818" s="1">
        <f>IFERROR(__xludf.DUMMYFUNCTION("""COMPUTED_VALUE"""),2.52)</f>
        <v>2.52</v>
      </c>
      <c r="F2818" s="1">
        <f>IFERROR(__xludf.DUMMYFUNCTION("""COMPUTED_VALUE"""),421211.0)</f>
        <v>421211</v>
      </c>
    </row>
    <row r="2819">
      <c r="A2819" s="2">
        <f>IFERROR(__xludf.DUMMYFUNCTION("""COMPUTED_VALUE"""),43257.66666666667)</f>
        <v>43257.66667</v>
      </c>
      <c r="B2819" s="1">
        <f>IFERROR(__xludf.DUMMYFUNCTION("""COMPUTED_VALUE"""),2.52)</f>
        <v>2.52</v>
      </c>
      <c r="C2819" s="1">
        <f>IFERROR(__xludf.DUMMYFUNCTION("""COMPUTED_VALUE"""),2.58)</f>
        <v>2.58</v>
      </c>
      <c r="D2819" s="1">
        <f>IFERROR(__xludf.DUMMYFUNCTION("""COMPUTED_VALUE"""),2.51)</f>
        <v>2.51</v>
      </c>
      <c r="E2819" s="1">
        <f>IFERROR(__xludf.DUMMYFUNCTION("""COMPUTED_VALUE"""),2.58)</f>
        <v>2.58</v>
      </c>
      <c r="F2819" s="1">
        <f>IFERROR(__xludf.DUMMYFUNCTION("""COMPUTED_VALUE"""),363249.0)</f>
        <v>363249</v>
      </c>
    </row>
    <row r="2820">
      <c r="A2820" s="2">
        <f>IFERROR(__xludf.DUMMYFUNCTION("""COMPUTED_VALUE"""),43258.66666666667)</f>
        <v>43258.66667</v>
      </c>
      <c r="B2820" s="1">
        <f>IFERROR(__xludf.DUMMYFUNCTION("""COMPUTED_VALUE"""),2.58)</f>
        <v>2.58</v>
      </c>
      <c r="C2820" s="1">
        <f>IFERROR(__xludf.DUMMYFUNCTION("""COMPUTED_VALUE"""),2.58)</f>
        <v>2.58</v>
      </c>
      <c r="D2820" s="1">
        <f>IFERROR(__xludf.DUMMYFUNCTION("""COMPUTED_VALUE"""),2.53)</f>
        <v>2.53</v>
      </c>
      <c r="E2820" s="1">
        <f>IFERROR(__xludf.DUMMYFUNCTION("""COMPUTED_VALUE"""),2.56)</f>
        <v>2.56</v>
      </c>
      <c r="F2820" s="1">
        <f>IFERROR(__xludf.DUMMYFUNCTION("""COMPUTED_VALUE"""),393027.0)</f>
        <v>393027</v>
      </c>
    </row>
    <row r="2821">
      <c r="A2821" s="2">
        <f>IFERROR(__xludf.DUMMYFUNCTION("""COMPUTED_VALUE"""),43259.66666666667)</f>
        <v>43259.66667</v>
      </c>
      <c r="B2821" s="1">
        <f>IFERROR(__xludf.DUMMYFUNCTION("""COMPUTED_VALUE"""),2.55)</f>
        <v>2.55</v>
      </c>
      <c r="C2821" s="1">
        <f>IFERROR(__xludf.DUMMYFUNCTION("""COMPUTED_VALUE"""),2.64)</f>
        <v>2.64</v>
      </c>
      <c r="D2821" s="1">
        <f>IFERROR(__xludf.DUMMYFUNCTION("""COMPUTED_VALUE"""),2.53)</f>
        <v>2.53</v>
      </c>
      <c r="E2821" s="1">
        <f>IFERROR(__xludf.DUMMYFUNCTION("""COMPUTED_VALUE"""),2.62)</f>
        <v>2.62</v>
      </c>
      <c r="F2821" s="1">
        <f>IFERROR(__xludf.DUMMYFUNCTION("""COMPUTED_VALUE"""),362683.0)</f>
        <v>362683</v>
      </c>
    </row>
    <row r="2822">
      <c r="A2822" s="2">
        <f>IFERROR(__xludf.DUMMYFUNCTION("""COMPUTED_VALUE"""),43262.66666666667)</f>
        <v>43262.66667</v>
      </c>
      <c r="B2822" s="1">
        <f>IFERROR(__xludf.DUMMYFUNCTION("""COMPUTED_VALUE"""),2.63)</f>
        <v>2.63</v>
      </c>
      <c r="C2822" s="1">
        <f>IFERROR(__xludf.DUMMYFUNCTION("""COMPUTED_VALUE"""),2.66)</f>
        <v>2.66</v>
      </c>
      <c r="D2822" s="1">
        <f>IFERROR(__xludf.DUMMYFUNCTION("""COMPUTED_VALUE"""),2.61)</f>
        <v>2.61</v>
      </c>
      <c r="E2822" s="1">
        <f>IFERROR(__xludf.DUMMYFUNCTION("""COMPUTED_VALUE"""),2.66)</f>
        <v>2.66</v>
      </c>
      <c r="F2822" s="1">
        <f>IFERROR(__xludf.DUMMYFUNCTION("""COMPUTED_VALUE"""),333814.0)</f>
        <v>333814</v>
      </c>
    </row>
    <row r="2823">
      <c r="A2823" s="2">
        <f>IFERROR(__xludf.DUMMYFUNCTION("""COMPUTED_VALUE"""),43263.66666666667)</f>
        <v>43263.66667</v>
      </c>
      <c r="B2823" s="1">
        <f>IFERROR(__xludf.DUMMYFUNCTION("""COMPUTED_VALUE"""),2.66)</f>
        <v>2.66</v>
      </c>
      <c r="C2823" s="1">
        <f>IFERROR(__xludf.DUMMYFUNCTION("""COMPUTED_VALUE"""),2.71)</f>
        <v>2.71</v>
      </c>
      <c r="D2823" s="1">
        <f>IFERROR(__xludf.DUMMYFUNCTION("""COMPUTED_VALUE"""),2.64)</f>
        <v>2.64</v>
      </c>
      <c r="E2823" s="1">
        <f>IFERROR(__xludf.DUMMYFUNCTION("""COMPUTED_VALUE"""),2.7)</f>
        <v>2.7</v>
      </c>
      <c r="F2823" s="1">
        <f>IFERROR(__xludf.DUMMYFUNCTION("""COMPUTED_VALUE"""),428539.0)</f>
        <v>428539</v>
      </c>
    </row>
    <row r="2824">
      <c r="A2824" s="2">
        <f>IFERROR(__xludf.DUMMYFUNCTION("""COMPUTED_VALUE"""),43264.66666666667)</f>
        <v>43264.66667</v>
      </c>
      <c r="B2824" s="1">
        <f>IFERROR(__xludf.DUMMYFUNCTION("""COMPUTED_VALUE"""),2.71)</f>
        <v>2.71</v>
      </c>
      <c r="C2824" s="1">
        <f>IFERROR(__xludf.DUMMYFUNCTION("""COMPUTED_VALUE"""),2.71)</f>
        <v>2.71</v>
      </c>
      <c r="D2824" s="1">
        <f>IFERROR(__xludf.DUMMYFUNCTION("""COMPUTED_VALUE"""),2.66)</f>
        <v>2.66</v>
      </c>
      <c r="E2824" s="1">
        <f>IFERROR(__xludf.DUMMYFUNCTION("""COMPUTED_VALUE"""),2.68)</f>
        <v>2.68</v>
      </c>
      <c r="F2824" s="1">
        <f>IFERROR(__xludf.DUMMYFUNCTION("""COMPUTED_VALUE"""),404953.0)</f>
        <v>404953</v>
      </c>
    </row>
    <row r="2825">
      <c r="A2825" s="2">
        <f>IFERROR(__xludf.DUMMYFUNCTION("""COMPUTED_VALUE"""),43265.66666666667)</f>
        <v>43265.66667</v>
      </c>
      <c r="B2825" s="1">
        <f>IFERROR(__xludf.DUMMYFUNCTION("""COMPUTED_VALUE"""),2.69)</f>
        <v>2.69</v>
      </c>
      <c r="C2825" s="1">
        <f>IFERROR(__xludf.DUMMYFUNCTION("""COMPUTED_VALUE"""),2.69)</f>
        <v>2.69</v>
      </c>
      <c r="D2825" s="1">
        <f>IFERROR(__xludf.DUMMYFUNCTION("""COMPUTED_VALUE"""),2.59)</f>
        <v>2.59</v>
      </c>
      <c r="E2825" s="1">
        <f>IFERROR(__xludf.DUMMYFUNCTION("""COMPUTED_VALUE"""),2.62)</f>
        <v>2.62</v>
      </c>
      <c r="F2825" s="1">
        <f>IFERROR(__xludf.DUMMYFUNCTION("""COMPUTED_VALUE"""),373185.0)</f>
        <v>373185</v>
      </c>
    </row>
    <row r="2826">
      <c r="A2826" s="2">
        <f>IFERROR(__xludf.DUMMYFUNCTION("""COMPUTED_VALUE"""),43266.66666666667)</f>
        <v>43266.66667</v>
      </c>
      <c r="B2826" s="1">
        <f>IFERROR(__xludf.DUMMYFUNCTION("""COMPUTED_VALUE"""),2.6)</f>
        <v>2.6</v>
      </c>
      <c r="C2826" s="1">
        <f>IFERROR(__xludf.DUMMYFUNCTION("""COMPUTED_VALUE"""),2.63)</f>
        <v>2.63</v>
      </c>
      <c r="D2826" s="1">
        <f>IFERROR(__xludf.DUMMYFUNCTION("""COMPUTED_VALUE"""),2.53)</f>
        <v>2.53</v>
      </c>
      <c r="E2826" s="1">
        <f>IFERROR(__xludf.DUMMYFUNCTION("""COMPUTED_VALUE"""),2.58)</f>
        <v>2.58</v>
      </c>
      <c r="F2826" s="1">
        <f>IFERROR(__xludf.DUMMYFUNCTION("""COMPUTED_VALUE"""),336770.0)</f>
        <v>336770</v>
      </c>
    </row>
    <row r="2827">
      <c r="A2827" s="2">
        <f>IFERROR(__xludf.DUMMYFUNCTION("""COMPUTED_VALUE"""),43269.66666666667)</f>
        <v>43269.66667</v>
      </c>
      <c r="B2827" s="1">
        <f>IFERROR(__xludf.DUMMYFUNCTION("""COMPUTED_VALUE"""),2.56)</f>
        <v>2.56</v>
      </c>
      <c r="C2827" s="1">
        <f>IFERROR(__xludf.DUMMYFUNCTION("""COMPUTED_VALUE"""),2.59)</f>
        <v>2.59</v>
      </c>
      <c r="D2827" s="1">
        <f>IFERROR(__xludf.DUMMYFUNCTION("""COMPUTED_VALUE"""),2.52)</f>
        <v>2.52</v>
      </c>
      <c r="E2827" s="1">
        <f>IFERROR(__xludf.DUMMYFUNCTION("""COMPUTED_VALUE"""),2.55)</f>
        <v>2.55</v>
      </c>
      <c r="F2827" s="1">
        <f>IFERROR(__xludf.DUMMYFUNCTION("""COMPUTED_VALUE"""),404880.0)</f>
        <v>404880</v>
      </c>
    </row>
    <row r="2828">
      <c r="A2828" s="2">
        <f>IFERROR(__xludf.DUMMYFUNCTION("""COMPUTED_VALUE"""),43270.66666666667)</f>
        <v>43270.66667</v>
      </c>
      <c r="B2828" s="1">
        <f>IFERROR(__xludf.DUMMYFUNCTION("""COMPUTED_VALUE"""),2.53)</f>
        <v>2.53</v>
      </c>
      <c r="C2828" s="1">
        <f>IFERROR(__xludf.DUMMYFUNCTION("""COMPUTED_VALUE"""),2.58)</f>
        <v>2.58</v>
      </c>
      <c r="D2828" s="1">
        <f>IFERROR(__xludf.DUMMYFUNCTION("""COMPUTED_VALUE"""),2.5)</f>
        <v>2.5</v>
      </c>
      <c r="E2828" s="1">
        <f>IFERROR(__xludf.DUMMYFUNCTION("""COMPUTED_VALUE"""),2.53)</f>
        <v>2.53</v>
      </c>
      <c r="F2828" s="1">
        <f>IFERROR(__xludf.DUMMYFUNCTION("""COMPUTED_VALUE"""),331981.0)</f>
        <v>331981</v>
      </c>
    </row>
    <row r="2829">
      <c r="A2829" s="2">
        <f>IFERROR(__xludf.DUMMYFUNCTION("""COMPUTED_VALUE"""),43271.66666666667)</f>
        <v>43271.66667</v>
      </c>
      <c r="B2829" s="1">
        <f>IFERROR(__xludf.DUMMYFUNCTION("""COMPUTED_VALUE"""),2.55)</f>
        <v>2.55</v>
      </c>
      <c r="C2829" s="1">
        <f>IFERROR(__xludf.DUMMYFUNCTION("""COMPUTED_VALUE"""),2.55)</f>
        <v>2.55</v>
      </c>
      <c r="D2829" s="1">
        <f>IFERROR(__xludf.DUMMYFUNCTION("""COMPUTED_VALUE"""),2.49)</f>
        <v>2.49</v>
      </c>
      <c r="E2829" s="1">
        <f>IFERROR(__xludf.DUMMYFUNCTION("""COMPUTED_VALUE"""),2.53)</f>
        <v>2.53</v>
      </c>
      <c r="F2829" s="1">
        <f>IFERROR(__xludf.DUMMYFUNCTION("""COMPUTED_VALUE"""),238386.0)</f>
        <v>238386</v>
      </c>
    </row>
    <row r="2830">
      <c r="A2830" s="2">
        <f>IFERROR(__xludf.DUMMYFUNCTION("""COMPUTED_VALUE"""),43272.66666666667)</f>
        <v>43272.66667</v>
      </c>
      <c r="B2830" s="1">
        <f>IFERROR(__xludf.DUMMYFUNCTION("""COMPUTED_VALUE"""),2.53)</f>
        <v>2.53</v>
      </c>
      <c r="C2830" s="1">
        <f>IFERROR(__xludf.DUMMYFUNCTION("""COMPUTED_VALUE"""),2.53)</f>
        <v>2.53</v>
      </c>
      <c r="D2830" s="1">
        <f>IFERROR(__xludf.DUMMYFUNCTION("""COMPUTED_VALUE"""),2.47)</f>
        <v>2.47</v>
      </c>
      <c r="E2830" s="1">
        <f>IFERROR(__xludf.DUMMYFUNCTION("""COMPUTED_VALUE"""),2.51)</f>
        <v>2.51</v>
      </c>
      <c r="F2830" s="1">
        <f>IFERROR(__xludf.DUMMYFUNCTION("""COMPUTED_VALUE"""),363322.0)</f>
        <v>363322</v>
      </c>
    </row>
    <row r="2831">
      <c r="A2831" s="2">
        <f>IFERROR(__xludf.DUMMYFUNCTION("""COMPUTED_VALUE"""),43273.66666666667)</f>
        <v>43273.66667</v>
      </c>
      <c r="B2831" s="1">
        <f>IFERROR(__xludf.DUMMYFUNCTION("""COMPUTED_VALUE"""),2.52)</f>
        <v>2.52</v>
      </c>
      <c r="C2831" s="1">
        <f>IFERROR(__xludf.DUMMYFUNCTION("""COMPUTED_VALUE"""),2.52)</f>
        <v>2.52</v>
      </c>
      <c r="D2831" s="1">
        <f>IFERROR(__xludf.DUMMYFUNCTION("""COMPUTED_VALUE"""),2.46)</f>
        <v>2.46</v>
      </c>
      <c r="E2831" s="1">
        <f>IFERROR(__xludf.DUMMYFUNCTION("""COMPUTED_VALUE"""),2.49)</f>
        <v>2.49</v>
      </c>
      <c r="F2831" s="1">
        <f>IFERROR(__xludf.DUMMYFUNCTION("""COMPUTED_VALUE"""),572694.0)</f>
        <v>572694</v>
      </c>
    </row>
    <row r="2832">
      <c r="A2832" s="2">
        <f>IFERROR(__xludf.DUMMYFUNCTION("""COMPUTED_VALUE"""),43276.66666666667)</f>
        <v>43276.66667</v>
      </c>
      <c r="B2832" s="1">
        <f>IFERROR(__xludf.DUMMYFUNCTION("""COMPUTED_VALUE"""),2.48)</f>
        <v>2.48</v>
      </c>
      <c r="C2832" s="1">
        <f>IFERROR(__xludf.DUMMYFUNCTION("""COMPUTED_VALUE"""),2.49)</f>
        <v>2.49</v>
      </c>
      <c r="D2832" s="1">
        <f>IFERROR(__xludf.DUMMYFUNCTION("""COMPUTED_VALUE"""),2.39)</f>
        <v>2.39</v>
      </c>
      <c r="E2832" s="1">
        <f>IFERROR(__xludf.DUMMYFUNCTION("""COMPUTED_VALUE"""),2.41)</f>
        <v>2.41</v>
      </c>
      <c r="F2832" s="1">
        <f>IFERROR(__xludf.DUMMYFUNCTION("""COMPUTED_VALUE"""),328168.0)</f>
        <v>328168</v>
      </c>
    </row>
    <row r="2833">
      <c r="A2833" s="2">
        <f>IFERROR(__xludf.DUMMYFUNCTION("""COMPUTED_VALUE"""),43277.66666666667)</f>
        <v>43277.66667</v>
      </c>
      <c r="B2833" s="1">
        <f>IFERROR(__xludf.DUMMYFUNCTION("""COMPUTED_VALUE"""),2.4)</f>
        <v>2.4</v>
      </c>
      <c r="C2833" s="1">
        <f>IFERROR(__xludf.DUMMYFUNCTION("""COMPUTED_VALUE"""),2.44)</f>
        <v>2.44</v>
      </c>
      <c r="D2833" s="1">
        <f>IFERROR(__xludf.DUMMYFUNCTION("""COMPUTED_VALUE"""),2.4)</f>
        <v>2.4</v>
      </c>
      <c r="E2833" s="1">
        <f>IFERROR(__xludf.DUMMYFUNCTION("""COMPUTED_VALUE"""),2.42)</f>
        <v>2.42</v>
      </c>
      <c r="F2833" s="1">
        <f>IFERROR(__xludf.DUMMYFUNCTION("""COMPUTED_VALUE"""),167401.0)</f>
        <v>167401</v>
      </c>
    </row>
    <row r="2834">
      <c r="A2834" s="2">
        <f>IFERROR(__xludf.DUMMYFUNCTION("""COMPUTED_VALUE"""),43278.66666666667)</f>
        <v>43278.66667</v>
      </c>
      <c r="B2834" s="1">
        <f>IFERROR(__xludf.DUMMYFUNCTION("""COMPUTED_VALUE"""),2.38)</f>
        <v>2.38</v>
      </c>
      <c r="C2834" s="1">
        <f>IFERROR(__xludf.DUMMYFUNCTION("""COMPUTED_VALUE"""),2.46)</f>
        <v>2.46</v>
      </c>
      <c r="D2834" s="1">
        <f>IFERROR(__xludf.DUMMYFUNCTION("""COMPUTED_VALUE"""),2.37)</f>
        <v>2.37</v>
      </c>
      <c r="E2834" s="1">
        <f>IFERROR(__xludf.DUMMYFUNCTION("""COMPUTED_VALUE"""),2.38)</f>
        <v>2.38</v>
      </c>
      <c r="F2834" s="1">
        <f>IFERROR(__xludf.DUMMYFUNCTION("""COMPUTED_VALUE"""),356263.0)</f>
        <v>356263</v>
      </c>
    </row>
    <row r="2835">
      <c r="A2835" s="2">
        <f>IFERROR(__xludf.DUMMYFUNCTION("""COMPUTED_VALUE"""),43279.66666666667)</f>
        <v>43279.66667</v>
      </c>
      <c r="B2835" s="1">
        <f>IFERROR(__xludf.DUMMYFUNCTION("""COMPUTED_VALUE"""),2.38)</f>
        <v>2.38</v>
      </c>
      <c r="C2835" s="1">
        <f>IFERROR(__xludf.DUMMYFUNCTION("""COMPUTED_VALUE"""),2.42)</f>
        <v>2.42</v>
      </c>
      <c r="D2835" s="1">
        <f>IFERROR(__xludf.DUMMYFUNCTION("""COMPUTED_VALUE"""),2.36)</f>
        <v>2.36</v>
      </c>
      <c r="E2835" s="1">
        <f>IFERROR(__xludf.DUMMYFUNCTION("""COMPUTED_VALUE"""),2.38)</f>
        <v>2.38</v>
      </c>
      <c r="F2835" s="1">
        <f>IFERROR(__xludf.DUMMYFUNCTION("""COMPUTED_VALUE"""),619478.0)</f>
        <v>619478</v>
      </c>
    </row>
    <row r="2836">
      <c r="A2836" s="2">
        <f>IFERROR(__xludf.DUMMYFUNCTION("""COMPUTED_VALUE"""),43280.66666666667)</f>
        <v>43280.66667</v>
      </c>
      <c r="B2836" s="1">
        <f>IFERROR(__xludf.DUMMYFUNCTION("""COMPUTED_VALUE"""),2.39)</f>
        <v>2.39</v>
      </c>
      <c r="C2836" s="1">
        <f>IFERROR(__xludf.DUMMYFUNCTION("""COMPUTED_VALUE"""),2.42)</f>
        <v>2.42</v>
      </c>
      <c r="D2836" s="1">
        <f>IFERROR(__xludf.DUMMYFUNCTION("""COMPUTED_VALUE"""),2.37)</f>
        <v>2.37</v>
      </c>
      <c r="E2836" s="1">
        <f>IFERROR(__xludf.DUMMYFUNCTION("""COMPUTED_VALUE"""),2.37)</f>
        <v>2.37</v>
      </c>
      <c r="F2836" s="1">
        <f>IFERROR(__xludf.DUMMYFUNCTION("""COMPUTED_VALUE"""),257349.0)</f>
        <v>257349</v>
      </c>
    </row>
    <row r="2837">
      <c r="A2837" s="2">
        <f>IFERROR(__xludf.DUMMYFUNCTION("""COMPUTED_VALUE"""),43283.66666666667)</f>
        <v>43283.66667</v>
      </c>
      <c r="B2837" s="1">
        <f>IFERROR(__xludf.DUMMYFUNCTION("""COMPUTED_VALUE"""),2.36)</f>
        <v>2.36</v>
      </c>
      <c r="C2837" s="1">
        <f>IFERROR(__xludf.DUMMYFUNCTION("""COMPUTED_VALUE"""),2.46)</f>
        <v>2.46</v>
      </c>
      <c r="D2837" s="1">
        <f>IFERROR(__xludf.DUMMYFUNCTION("""COMPUTED_VALUE"""),2.32)</f>
        <v>2.32</v>
      </c>
      <c r="E2837" s="1">
        <f>IFERROR(__xludf.DUMMYFUNCTION("""COMPUTED_VALUE"""),2.46)</f>
        <v>2.46</v>
      </c>
      <c r="F2837" s="1">
        <f>IFERROR(__xludf.DUMMYFUNCTION("""COMPUTED_VALUE"""),437884.0)</f>
        <v>437884</v>
      </c>
    </row>
    <row r="2838">
      <c r="A2838" s="2">
        <f>IFERROR(__xludf.DUMMYFUNCTION("""COMPUTED_VALUE"""),43284.54166666667)</f>
        <v>43284.54167</v>
      </c>
      <c r="B2838" s="1">
        <f>IFERROR(__xludf.DUMMYFUNCTION("""COMPUTED_VALUE"""),2.46)</f>
        <v>2.46</v>
      </c>
      <c r="C2838" s="1">
        <f>IFERROR(__xludf.DUMMYFUNCTION("""COMPUTED_VALUE"""),2.47)</f>
        <v>2.47</v>
      </c>
      <c r="D2838" s="1">
        <f>IFERROR(__xludf.DUMMYFUNCTION("""COMPUTED_VALUE"""),2.4)</f>
        <v>2.4</v>
      </c>
      <c r="E2838" s="1">
        <f>IFERROR(__xludf.DUMMYFUNCTION("""COMPUTED_VALUE"""),2.41)</f>
        <v>2.41</v>
      </c>
      <c r="F2838" s="1">
        <f>IFERROR(__xludf.DUMMYFUNCTION("""COMPUTED_VALUE"""),173141.0)</f>
        <v>173141</v>
      </c>
    </row>
    <row r="2839">
      <c r="A2839" s="2">
        <f>IFERROR(__xludf.DUMMYFUNCTION("""COMPUTED_VALUE"""),43286.66666666667)</f>
        <v>43286.66667</v>
      </c>
      <c r="B2839" s="1">
        <f>IFERROR(__xludf.DUMMYFUNCTION("""COMPUTED_VALUE"""),2.43)</f>
        <v>2.43</v>
      </c>
      <c r="C2839" s="1">
        <f>IFERROR(__xludf.DUMMYFUNCTION("""COMPUTED_VALUE"""),2.45)</f>
        <v>2.45</v>
      </c>
      <c r="D2839" s="1">
        <f>IFERROR(__xludf.DUMMYFUNCTION("""COMPUTED_VALUE"""),2.37)</f>
        <v>2.37</v>
      </c>
      <c r="E2839" s="1">
        <f>IFERROR(__xludf.DUMMYFUNCTION("""COMPUTED_VALUE"""),2.43)</f>
        <v>2.43</v>
      </c>
      <c r="F2839" s="1">
        <f>IFERROR(__xludf.DUMMYFUNCTION("""COMPUTED_VALUE"""),296630.0)</f>
        <v>296630</v>
      </c>
    </row>
    <row r="2840">
      <c r="A2840" s="2">
        <f>IFERROR(__xludf.DUMMYFUNCTION("""COMPUTED_VALUE"""),43287.66666666667)</f>
        <v>43287.66667</v>
      </c>
      <c r="B2840" s="1">
        <f>IFERROR(__xludf.DUMMYFUNCTION("""COMPUTED_VALUE"""),2.44)</f>
        <v>2.44</v>
      </c>
      <c r="C2840" s="1">
        <f>IFERROR(__xludf.DUMMYFUNCTION("""COMPUTED_VALUE"""),2.44)</f>
        <v>2.44</v>
      </c>
      <c r="D2840" s="1">
        <f>IFERROR(__xludf.DUMMYFUNCTION("""COMPUTED_VALUE"""),2.39)</f>
        <v>2.39</v>
      </c>
      <c r="E2840" s="1">
        <f>IFERROR(__xludf.DUMMYFUNCTION("""COMPUTED_VALUE"""),2.42)</f>
        <v>2.42</v>
      </c>
      <c r="F2840" s="1">
        <f>IFERROR(__xludf.DUMMYFUNCTION("""COMPUTED_VALUE"""),367988.0)</f>
        <v>367988</v>
      </c>
    </row>
    <row r="2841">
      <c r="A2841" s="2">
        <f>IFERROR(__xludf.DUMMYFUNCTION("""COMPUTED_VALUE"""),43290.66666666667)</f>
        <v>43290.66667</v>
      </c>
      <c r="B2841" s="1">
        <f>IFERROR(__xludf.DUMMYFUNCTION("""COMPUTED_VALUE"""),2.44)</f>
        <v>2.44</v>
      </c>
      <c r="C2841" s="1">
        <f>IFERROR(__xludf.DUMMYFUNCTION("""COMPUTED_VALUE"""),2.5)</f>
        <v>2.5</v>
      </c>
      <c r="D2841" s="1">
        <f>IFERROR(__xludf.DUMMYFUNCTION("""COMPUTED_VALUE"""),2.42)</f>
        <v>2.42</v>
      </c>
      <c r="E2841" s="1">
        <f>IFERROR(__xludf.DUMMYFUNCTION("""COMPUTED_VALUE"""),2.44)</f>
        <v>2.44</v>
      </c>
      <c r="F2841" s="1">
        <f>IFERROR(__xludf.DUMMYFUNCTION("""COMPUTED_VALUE"""),340210.0)</f>
        <v>340210</v>
      </c>
    </row>
    <row r="2842">
      <c r="A2842" s="2">
        <f>IFERROR(__xludf.DUMMYFUNCTION("""COMPUTED_VALUE"""),43291.66666666667)</f>
        <v>43291.66667</v>
      </c>
      <c r="B2842" s="1">
        <f>IFERROR(__xludf.DUMMYFUNCTION("""COMPUTED_VALUE"""),2.44)</f>
        <v>2.44</v>
      </c>
      <c r="C2842" s="1">
        <f>IFERROR(__xludf.DUMMYFUNCTION("""COMPUTED_VALUE"""),2.48)</f>
        <v>2.48</v>
      </c>
      <c r="D2842" s="1">
        <f>IFERROR(__xludf.DUMMYFUNCTION("""COMPUTED_VALUE"""),2.44)</f>
        <v>2.44</v>
      </c>
      <c r="E2842" s="1">
        <f>IFERROR(__xludf.DUMMYFUNCTION("""COMPUTED_VALUE"""),2.46)</f>
        <v>2.46</v>
      </c>
      <c r="F2842" s="1">
        <f>IFERROR(__xludf.DUMMYFUNCTION("""COMPUTED_VALUE"""),232820.0)</f>
        <v>232820</v>
      </c>
    </row>
    <row r="2843">
      <c r="A2843" s="2">
        <f>IFERROR(__xludf.DUMMYFUNCTION("""COMPUTED_VALUE"""),43292.66666666667)</f>
        <v>43292.66667</v>
      </c>
      <c r="B2843" s="1">
        <f>IFERROR(__xludf.DUMMYFUNCTION("""COMPUTED_VALUE"""),2.44)</f>
        <v>2.44</v>
      </c>
      <c r="C2843" s="1">
        <f>IFERROR(__xludf.DUMMYFUNCTION("""COMPUTED_VALUE"""),2.46)</f>
        <v>2.46</v>
      </c>
      <c r="D2843" s="1">
        <f>IFERROR(__xludf.DUMMYFUNCTION("""COMPUTED_VALUE"""),2.37)</f>
        <v>2.37</v>
      </c>
      <c r="E2843" s="1">
        <f>IFERROR(__xludf.DUMMYFUNCTION("""COMPUTED_VALUE"""),2.37)</f>
        <v>2.37</v>
      </c>
      <c r="F2843" s="1">
        <f>IFERROR(__xludf.DUMMYFUNCTION("""COMPUTED_VALUE"""),256804.0)</f>
        <v>256804</v>
      </c>
    </row>
    <row r="2844">
      <c r="A2844" s="2">
        <f>IFERROR(__xludf.DUMMYFUNCTION("""COMPUTED_VALUE"""),43293.66666666667)</f>
        <v>43293.66667</v>
      </c>
      <c r="B2844" s="1">
        <f>IFERROR(__xludf.DUMMYFUNCTION("""COMPUTED_VALUE"""),2.39)</f>
        <v>2.39</v>
      </c>
      <c r="C2844" s="1">
        <f>IFERROR(__xludf.DUMMYFUNCTION("""COMPUTED_VALUE"""),2.43)</f>
        <v>2.43</v>
      </c>
      <c r="D2844" s="1">
        <f>IFERROR(__xludf.DUMMYFUNCTION("""COMPUTED_VALUE"""),2.37)</f>
        <v>2.37</v>
      </c>
      <c r="E2844" s="1">
        <f>IFERROR(__xludf.DUMMYFUNCTION("""COMPUTED_VALUE"""),2.4)</f>
        <v>2.4</v>
      </c>
      <c r="F2844" s="1">
        <f>IFERROR(__xludf.DUMMYFUNCTION("""COMPUTED_VALUE"""),239151.0)</f>
        <v>239151</v>
      </c>
    </row>
    <row r="2845">
      <c r="A2845" s="2">
        <f>IFERROR(__xludf.DUMMYFUNCTION("""COMPUTED_VALUE"""),43294.66666666667)</f>
        <v>43294.66667</v>
      </c>
      <c r="B2845" s="1">
        <f>IFERROR(__xludf.DUMMYFUNCTION("""COMPUTED_VALUE"""),2.38)</f>
        <v>2.38</v>
      </c>
      <c r="C2845" s="1">
        <f>IFERROR(__xludf.DUMMYFUNCTION("""COMPUTED_VALUE"""),2.42)</f>
        <v>2.42</v>
      </c>
      <c r="D2845" s="1">
        <f>IFERROR(__xludf.DUMMYFUNCTION("""COMPUTED_VALUE"""),2.38)</f>
        <v>2.38</v>
      </c>
      <c r="E2845" s="1">
        <f>IFERROR(__xludf.DUMMYFUNCTION("""COMPUTED_VALUE"""),2.4)</f>
        <v>2.4</v>
      </c>
      <c r="F2845" s="1">
        <f>IFERROR(__xludf.DUMMYFUNCTION("""COMPUTED_VALUE"""),228821.0)</f>
        <v>228821</v>
      </c>
    </row>
    <row r="2846">
      <c r="A2846" s="2">
        <f>IFERROR(__xludf.DUMMYFUNCTION("""COMPUTED_VALUE"""),43297.66666666667)</f>
        <v>43297.66667</v>
      </c>
      <c r="B2846" s="1">
        <f>IFERROR(__xludf.DUMMYFUNCTION("""COMPUTED_VALUE"""),2.4)</f>
        <v>2.4</v>
      </c>
      <c r="C2846" s="1">
        <f>IFERROR(__xludf.DUMMYFUNCTION("""COMPUTED_VALUE"""),2.42)</f>
        <v>2.42</v>
      </c>
      <c r="D2846" s="1">
        <f>IFERROR(__xludf.DUMMYFUNCTION("""COMPUTED_VALUE"""),2.38)</f>
        <v>2.38</v>
      </c>
      <c r="E2846" s="1">
        <f>IFERROR(__xludf.DUMMYFUNCTION("""COMPUTED_VALUE"""),2.42)</f>
        <v>2.42</v>
      </c>
      <c r="F2846" s="1">
        <f>IFERROR(__xludf.DUMMYFUNCTION("""COMPUTED_VALUE"""),187381.0)</f>
        <v>187381</v>
      </c>
    </row>
    <row r="2847">
      <c r="A2847" s="2">
        <f>IFERROR(__xludf.DUMMYFUNCTION("""COMPUTED_VALUE"""),43298.66666666667)</f>
        <v>43298.66667</v>
      </c>
      <c r="B2847" s="1">
        <f>IFERROR(__xludf.DUMMYFUNCTION("""COMPUTED_VALUE"""),2.4)</f>
        <v>2.4</v>
      </c>
      <c r="C2847" s="1">
        <f>IFERROR(__xludf.DUMMYFUNCTION("""COMPUTED_VALUE"""),2.44)</f>
        <v>2.44</v>
      </c>
      <c r="D2847" s="1">
        <f>IFERROR(__xludf.DUMMYFUNCTION("""COMPUTED_VALUE"""),2.38)</f>
        <v>2.38</v>
      </c>
      <c r="E2847" s="1">
        <f>IFERROR(__xludf.DUMMYFUNCTION("""COMPUTED_VALUE"""),2.4)</f>
        <v>2.4</v>
      </c>
      <c r="F2847" s="1">
        <f>IFERROR(__xludf.DUMMYFUNCTION("""COMPUTED_VALUE"""),218153.0)</f>
        <v>218153</v>
      </c>
    </row>
    <row r="2848">
      <c r="A2848" s="2">
        <f>IFERROR(__xludf.DUMMYFUNCTION("""COMPUTED_VALUE"""),43299.66666666667)</f>
        <v>43299.66667</v>
      </c>
      <c r="B2848" s="1">
        <f>IFERROR(__xludf.DUMMYFUNCTION("""COMPUTED_VALUE"""),2.39)</f>
        <v>2.39</v>
      </c>
      <c r="C2848" s="1">
        <f>IFERROR(__xludf.DUMMYFUNCTION("""COMPUTED_VALUE"""),2.42)</f>
        <v>2.42</v>
      </c>
      <c r="D2848" s="1">
        <f>IFERROR(__xludf.DUMMYFUNCTION("""COMPUTED_VALUE"""),2.37)</f>
        <v>2.37</v>
      </c>
      <c r="E2848" s="1">
        <f>IFERROR(__xludf.DUMMYFUNCTION("""COMPUTED_VALUE"""),2.42)</f>
        <v>2.42</v>
      </c>
      <c r="F2848" s="1">
        <f>IFERROR(__xludf.DUMMYFUNCTION("""COMPUTED_VALUE"""),157428.0)</f>
        <v>157428</v>
      </c>
    </row>
    <row r="2849">
      <c r="A2849" s="2">
        <f>IFERROR(__xludf.DUMMYFUNCTION("""COMPUTED_VALUE"""),43300.66666666667)</f>
        <v>43300.66667</v>
      </c>
      <c r="B2849" s="1">
        <f>IFERROR(__xludf.DUMMYFUNCTION("""COMPUTED_VALUE"""),2.41)</f>
        <v>2.41</v>
      </c>
      <c r="C2849" s="1">
        <f>IFERROR(__xludf.DUMMYFUNCTION("""COMPUTED_VALUE"""),2.43)</f>
        <v>2.43</v>
      </c>
      <c r="D2849" s="1">
        <f>IFERROR(__xludf.DUMMYFUNCTION("""COMPUTED_VALUE"""),2.41)</f>
        <v>2.41</v>
      </c>
      <c r="E2849" s="1">
        <f>IFERROR(__xludf.DUMMYFUNCTION("""COMPUTED_VALUE"""),2.42)</f>
        <v>2.42</v>
      </c>
      <c r="F2849" s="1">
        <f>IFERROR(__xludf.DUMMYFUNCTION("""COMPUTED_VALUE"""),172733.0)</f>
        <v>172733</v>
      </c>
    </row>
    <row r="2850">
      <c r="A2850" s="2">
        <f>IFERROR(__xludf.DUMMYFUNCTION("""COMPUTED_VALUE"""),43301.66666666667)</f>
        <v>43301.66667</v>
      </c>
      <c r="B2850" s="1">
        <f>IFERROR(__xludf.DUMMYFUNCTION("""COMPUTED_VALUE"""),2.42)</f>
        <v>2.42</v>
      </c>
      <c r="C2850" s="1">
        <f>IFERROR(__xludf.DUMMYFUNCTION("""COMPUTED_VALUE"""),2.42)</f>
        <v>2.42</v>
      </c>
      <c r="D2850" s="1">
        <f>IFERROR(__xludf.DUMMYFUNCTION("""COMPUTED_VALUE"""),2.37)</f>
        <v>2.37</v>
      </c>
      <c r="E2850" s="1">
        <f>IFERROR(__xludf.DUMMYFUNCTION("""COMPUTED_VALUE"""),2.38)</f>
        <v>2.38</v>
      </c>
      <c r="F2850" s="1">
        <f>IFERROR(__xludf.DUMMYFUNCTION("""COMPUTED_VALUE"""),173864.0)</f>
        <v>173864</v>
      </c>
    </row>
    <row r="2851">
      <c r="A2851" s="2">
        <f>IFERROR(__xludf.DUMMYFUNCTION("""COMPUTED_VALUE"""),43304.66666666667)</f>
        <v>43304.66667</v>
      </c>
      <c r="B2851" s="1">
        <f>IFERROR(__xludf.DUMMYFUNCTION("""COMPUTED_VALUE"""),2.37)</f>
        <v>2.37</v>
      </c>
      <c r="C2851" s="1">
        <f>IFERROR(__xludf.DUMMYFUNCTION("""COMPUTED_VALUE"""),2.39)</f>
        <v>2.39</v>
      </c>
      <c r="D2851" s="1">
        <f>IFERROR(__xludf.DUMMYFUNCTION("""COMPUTED_VALUE"""),2.32)</f>
        <v>2.32</v>
      </c>
      <c r="E2851" s="1">
        <f>IFERROR(__xludf.DUMMYFUNCTION("""COMPUTED_VALUE"""),2.37)</f>
        <v>2.37</v>
      </c>
      <c r="F2851" s="1">
        <f>IFERROR(__xludf.DUMMYFUNCTION("""COMPUTED_VALUE"""),152622.0)</f>
        <v>152622</v>
      </c>
    </row>
    <row r="2852">
      <c r="A2852" s="2">
        <f>IFERROR(__xludf.DUMMYFUNCTION("""COMPUTED_VALUE"""),43305.66666666667)</f>
        <v>43305.66667</v>
      </c>
      <c r="B2852" s="1">
        <f>IFERROR(__xludf.DUMMYFUNCTION("""COMPUTED_VALUE"""),2.38)</f>
        <v>2.38</v>
      </c>
      <c r="C2852" s="1">
        <f>IFERROR(__xludf.DUMMYFUNCTION("""COMPUTED_VALUE"""),2.38)</f>
        <v>2.38</v>
      </c>
      <c r="D2852" s="1">
        <f>IFERROR(__xludf.DUMMYFUNCTION("""COMPUTED_VALUE"""),2.32)</f>
        <v>2.32</v>
      </c>
      <c r="E2852" s="1">
        <f>IFERROR(__xludf.DUMMYFUNCTION("""COMPUTED_VALUE"""),2.37)</f>
        <v>2.37</v>
      </c>
      <c r="F2852" s="1">
        <f>IFERROR(__xludf.DUMMYFUNCTION("""COMPUTED_VALUE"""),238162.0)</f>
        <v>238162</v>
      </c>
    </row>
    <row r="2853">
      <c r="A2853" s="2">
        <f>IFERROR(__xludf.DUMMYFUNCTION("""COMPUTED_VALUE"""),43306.66666666667)</f>
        <v>43306.66667</v>
      </c>
      <c r="B2853" s="1">
        <f>IFERROR(__xludf.DUMMYFUNCTION("""COMPUTED_VALUE"""),2.37)</f>
        <v>2.37</v>
      </c>
      <c r="C2853" s="1">
        <f>IFERROR(__xludf.DUMMYFUNCTION("""COMPUTED_VALUE"""),2.38)</f>
        <v>2.38</v>
      </c>
      <c r="D2853" s="1">
        <f>IFERROR(__xludf.DUMMYFUNCTION("""COMPUTED_VALUE"""),2.29)</f>
        <v>2.29</v>
      </c>
      <c r="E2853" s="1">
        <f>IFERROR(__xludf.DUMMYFUNCTION("""COMPUTED_VALUE"""),2.31)</f>
        <v>2.31</v>
      </c>
      <c r="F2853" s="1">
        <f>IFERROR(__xludf.DUMMYFUNCTION("""COMPUTED_VALUE"""),226937.0)</f>
        <v>226937</v>
      </c>
    </row>
    <row r="2854">
      <c r="A2854" s="2">
        <f>IFERROR(__xludf.DUMMYFUNCTION("""COMPUTED_VALUE"""),43307.66666666667)</f>
        <v>43307.66667</v>
      </c>
      <c r="B2854" s="1">
        <f>IFERROR(__xludf.DUMMYFUNCTION("""COMPUTED_VALUE"""),2.3)</f>
        <v>2.3</v>
      </c>
      <c r="C2854" s="1">
        <f>IFERROR(__xludf.DUMMYFUNCTION("""COMPUTED_VALUE"""),2.34)</f>
        <v>2.34</v>
      </c>
      <c r="D2854" s="1">
        <f>IFERROR(__xludf.DUMMYFUNCTION("""COMPUTED_VALUE"""),2.3)</f>
        <v>2.3</v>
      </c>
      <c r="E2854" s="1">
        <f>IFERROR(__xludf.DUMMYFUNCTION("""COMPUTED_VALUE"""),2.32)</f>
        <v>2.32</v>
      </c>
      <c r="F2854" s="1">
        <f>IFERROR(__xludf.DUMMYFUNCTION("""COMPUTED_VALUE"""),282439.0)</f>
        <v>282439</v>
      </c>
    </row>
    <row r="2855">
      <c r="A2855" s="2">
        <f>IFERROR(__xludf.DUMMYFUNCTION("""COMPUTED_VALUE"""),43308.66666666667)</f>
        <v>43308.66667</v>
      </c>
      <c r="B2855" s="1">
        <f>IFERROR(__xludf.DUMMYFUNCTION("""COMPUTED_VALUE"""),2.32)</f>
        <v>2.32</v>
      </c>
      <c r="C2855" s="1">
        <f>IFERROR(__xludf.DUMMYFUNCTION("""COMPUTED_VALUE"""),2.33)</f>
        <v>2.33</v>
      </c>
      <c r="D2855" s="1">
        <f>IFERROR(__xludf.DUMMYFUNCTION("""COMPUTED_VALUE"""),2.17)</f>
        <v>2.17</v>
      </c>
      <c r="E2855" s="1">
        <f>IFERROR(__xludf.DUMMYFUNCTION("""COMPUTED_VALUE"""),2.22)</f>
        <v>2.22</v>
      </c>
      <c r="F2855" s="1">
        <f>IFERROR(__xludf.DUMMYFUNCTION("""COMPUTED_VALUE"""),304049.0)</f>
        <v>304049</v>
      </c>
    </row>
    <row r="2856">
      <c r="A2856" s="2">
        <f>IFERROR(__xludf.DUMMYFUNCTION("""COMPUTED_VALUE"""),43311.66666666667)</f>
        <v>43311.66667</v>
      </c>
      <c r="B2856" s="1">
        <f>IFERROR(__xludf.DUMMYFUNCTION("""COMPUTED_VALUE"""),2.22)</f>
        <v>2.22</v>
      </c>
      <c r="C2856" s="1">
        <f>IFERROR(__xludf.DUMMYFUNCTION("""COMPUTED_VALUE"""),2.23)</f>
        <v>2.23</v>
      </c>
      <c r="D2856" s="1">
        <f>IFERROR(__xludf.DUMMYFUNCTION("""COMPUTED_VALUE"""),2.19)</f>
        <v>2.19</v>
      </c>
      <c r="E2856" s="1">
        <f>IFERROR(__xludf.DUMMYFUNCTION("""COMPUTED_VALUE"""),2.22)</f>
        <v>2.22</v>
      </c>
      <c r="F2856" s="1">
        <f>IFERROR(__xludf.DUMMYFUNCTION("""COMPUTED_VALUE"""),289404.0)</f>
        <v>289404</v>
      </c>
    </row>
    <row r="2857">
      <c r="A2857" s="2">
        <f>IFERROR(__xludf.DUMMYFUNCTION("""COMPUTED_VALUE"""),43312.66666666667)</f>
        <v>43312.66667</v>
      </c>
      <c r="B2857" s="1">
        <f>IFERROR(__xludf.DUMMYFUNCTION("""COMPUTED_VALUE"""),2.22)</f>
        <v>2.22</v>
      </c>
      <c r="C2857" s="1">
        <f>IFERROR(__xludf.DUMMYFUNCTION("""COMPUTED_VALUE"""),2.25)</f>
        <v>2.25</v>
      </c>
      <c r="D2857" s="1">
        <f>IFERROR(__xludf.DUMMYFUNCTION("""COMPUTED_VALUE"""),2.2)</f>
        <v>2.2</v>
      </c>
      <c r="E2857" s="1">
        <f>IFERROR(__xludf.DUMMYFUNCTION("""COMPUTED_VALUE"""),2.21)</f>
        <v>2.21</v>
      </c>
      <c r="F2857" s="1">
        <f>IFERROR(__xludf.DUMMYFUNCTION("""COMPUTED_VALUE"""),464366.0)</f>
        <v>464366</v>
      </c>
    </row>
    <row r="2858">
      <c r="A2858" s="2">
        <f>IFERROR(__xludf.DUMMYFUNCTION("""COMPUTED_VALUE"""),43313.66666666667)</f>
        <v>43313.66667</v>
      </c>
      <c r="B2858" s="1">
        <f>IFERROR(__xludf.DUMMYFUNCTION("""COMPUTED_VALUE"""),2.21)</f>
        <v>2.21</v>
      </c>
      <c r="C2858" s="1">
        <f>IFERROR(__xludf.DUMMYFUNCTION("""COMPUTED_VALUE"""),2.24)</f>
        <v>2.24</v>
      </c>
      <c r="D2858" s="1">
        <f>IFERROR(__xludf.DUMMYFUNCTION("""COMPUTED_VALUE"""),2.13)</f>
        <v>2.13</v>
      </c>
      <c r="E2858" s="1">
        <f>IFERROR(__xludf.DUMMYFUNCTION("""COMPUTED_VALUE"""),2.17)</f>
        <v>2.17</v>
      </c>
      <c r="F2858" s="1">
        <f>IFERROR(__xludf.DUMMYFUNCTION("""COMPUTED_VALUE"""),671109.0)</f>
        <v>671109</v>
      </c>
    </row>
    <row r="2859">
      <c r="A2859" s="2">
        <f>IFERROR(__xludf.DUMMYFUNCTION("""COMPUTED_VALUE"""),43314.66666666667)</f>
        <v>43314.66667</v>
      </c>
      <c r="B2859" s="1">
        <f>IFERROR(__xludf.DUMMYFUNCTION("""COMPUTED_VALUE"""),2.17)</f>
        <v>2.17</v>
      </c>
      <c r="C2859" s="1">
        <f>IFERROR(__xludf.DUMMYFUNCTION("""COMPUTED_VALUE"""),2.23)</f>
        <v>2.23</v>
      </c>
      <c r="D2859" s="1">
        <f>IFERROR(__xludf.DUMMYFUNCTION("""COMPUTED_VALUE"""),2.09)</f>
        <v>2.09</v>
      </c>
      <c r="E2859" s="1">
        <f>IFERROR(__xludf.DUMMYFUNCTION("""COMPUTED_VALUE"""),2.17)</f>
        <v>2.17</v>
      </c>
      <c r="F2859" s="1">
        <f>IFERROR(__xludf.DUMMYFUNCTION("""COMPUTED_VALUE"""),764187.0)</f>
        <v>764187</v>
      </c>
    </row>
    <row r="2860">
      <c r="A2860" s="2">
        <f>IFERROR(__xludf.DUMMYFUNCTION("""COMPUTED_VALUE"""),43315.66666666667)</f>
        <v>43315.66667</v>
      </c>
      <c r="B2860" s="1">
        <f>IFERROR(__xludf.DUMMYFUNCTION("""COMPUTED_VALUE"""),2.16)</f>
        <v>2.16</v>
      </c>
      <c r="C2860" s="1">
        <f>IFERROR(__xludf.DUMMYFUNCTION("""COMPUTED_VALUE"""),2.17)</f>
        <v>2.17</v>
      </c>
      <c r="D2860" s="1">
        <f>IFERROR(__xludf.DUMMYFUNCTION("""COMPUTED_VALUE"""),2.09)</f>
        <v>2.09</v>
      </c>
      <c r="E2860" s="1">
        <f>IFERROR(__xludf.DUMMYFUNCTION("""COMPUTED_VALUE"""),2.1)</f>
        <v>2.1</v>
      </c>
      <c r="F2860" s="1">
        <f>IFERROR(__xludf.DUMMYFUNCTION("""COMPUTED_VALUE"""),606302.0)</f>
        <v>606302</v>
      </c>
    </row>
    <row r="2861">
      <c r="A2861" s="2">
        <f>IFERROR(__xludf.DUMMYFUNCTION("""COMPUTED_VALUE"""),43318.66666666667)</f>
        <v>43318.66667</v>
      </c>
      <c r="B2861" s="1">
        <f>IFERROR(__xludf.DUMMYFUNCTION("""COMPUTED_VALUE"""),2.1)</f>
        <v>2.1</v>
      </c>
      <c r="C2861" s="1">
        <f>IFERROR(__xludf.DUMMYFUNCTION("""COMPUTED_VALUE"""),2.13)</f>
        <v>2.13</v>
      </c>
      <c r="D2861" s="1">
        <f>IFERROR(__xludf.DUMMYFUNCTION("""COMPUTED_VALUE"""),2.05)</f>
        <v>2.05</v>
      </c>
      <c r="E2861" s="1">
        <f>IFERROR(__xludf.DUMMYFUNCTION("""COMPUTED_VALUE"""),2.11)</f>
        <v>2.11</v>
      </c>
      <c r="F2861" s="1">
        <f>IFERROR(__xludf.DUMMYFUNCTION("""COMPUTED_VALUE"""),501790.0)</f>
        <v>501790</v>
      </c>
    </row>
    <row r="2862">
      <c r="A2862" s="2">
        <f>IFERROR(__xludf.DUMMYFUNCTION("""COMPUTED_VALUE"""),43319.66666666667)</f>
        <v>43319.66667</v>
      </c>
      <c r="B2862" s="1">
        <f>IFERROR(__xludf.DUMMYFUNCTION("""COMPUTED_VALUE"""),2.11)</f>
        <v>2.11</v>
      </c>
      <c r="C2862" s="1">
        <f>IFERROR(__xludf.DUMMYFUNCTION("""COMPUTED_VALUE"""),2.14)</f>
        <v>2.14</v>
      </c>
      <c r="D2862" s="1">
        <f>IFERROR(__xludf.DUMMYFUNCTION("""COMPUTED_VALUE"""),2.01)</f>
        <v>2.01</v>
      </c>
      <c r="E2862" s="1">
        <f>IFERROR(__xludf.DUMMYFUNCTION("""COMPUTED_VALUE"""),2.03)</f>
        <v>2.03</v>
      </c>
      <c r="F2862" s="1">
        <f>IFERROR(__xludf.DUMMYFUNCTION("""COMPUTED_VALUE"""),852155.0)</f>
        <v>852155</v>
      </c>
    </row>
    <row r="2863">
      <c r="A2863" s="2">
        <f>IFERROR(__xludf.DUMMYFUNCTION("""COMPUTED_VALUE"""),43320.66666666667)</f>
        <v>43320.66667</v>
      </c>
      <c r="B2863" s="1">
        <f>IFERROR(__xludf.DUMMYFUNCTION("""COMPUTED_VALUE"""),2.03)</f>
        <v>2.03</v>
      </c>
      <c r="C2863" s="1">
        <f>IFERROR(__xludf.DUMMYFUNCTION("""COMPUTED_VALUE"""),2.03)</f>
        <v>2.03</v>
      </c>
      <c r="D2863" s="1">
        <f>IFERROR(__xludf.DUMMYFUNCTION("""COMPUTED_VALUE"""),1.87)</f>
        <v>1.87</v>
      </c>
      <c r="E2863" s="1">
        <f>IFERROR(__xludf.DUMMYFUNCTION("""COMPUTED_VALUE"""),1.97)</f>
        <v>1.97</v>
      </c>
      <c r="F2863" s="1">
        <f>IFERROR(__xludf.DUMMYFUNCTION("""COMPUTED_VALUE"""),707460.0)</f>
        <v>707460</v>
      </c>
    </row>
    <row r="2864">
      <c r="A2864" s="2">
        <f>IFERROR(__xludf.DUMMYFUNCTION("""COMPUTED_VALUE"""),43321.66666666667)</f>
        <v>43321.66667</v>
      </c>
      <c r="B2864" s="1">
        <f>IFERROR(__xludf.DUMMYFUNCTION("""COMPUTED_VALUE"""),1.97)</f>
        <v>1.97</v>
      </c>
      <c r="C2864" s="1">
        <f>IFERROR(__xludf.DUMMYFUNCTION("""COMPUTED_VALUE"""),2.03)</f>
        <v>2.03</v>
      </c>
      <c r="D2864" s="1">
        <f>IFERROR(__xludf.DUMMYFUNCTION("""COMPUTED_VALUE"""),1.96)</f>
        <v>1.96</v>
      </c>
      <c r="E2864" s="1">
        <f>IFERROR(__xludf.DUMMYFUNCTION("""COMPUTED_VALUE"""),2.01)</f>
        <v>2.01</v>
      </c>
      <c r="F2864" s="1">
        <f>IFERROR(__xludf.DUMMYFUNCTION("""COMPUTED_VALUE"""),246045.0)</f>
        <v>246045</v>
      </c>
    </row>
    <row r="2865">
      <c r="A2865" s="2">
        <f>IFERROR(__xludf.DUMMYFUNCTION("""COMPUTED_VALUE"""),43322.66666666667)</f>
        <v>43322.66667</v>
      </c>
      <c r="B2865" s="1">
        <f>IFERROR(__xludf.DUMMYFUNCTION("""COMPUTED_VALUE"""),2.0)</f>
        <v>2</v>
      </c>
      <c r="C2865" s="1">
        <f>IFERROR(__xludf.DUMMYFUNCTION("""COMPUTED_VALUE"""),2.01)</f>
        <v>2.01</v>
      </c>
      <c r="D2865" s="1">
        <f>IFERROR(__xludf.DUMMYFUNCTION("""COMPUTED_VALUE"""),1.97)</f>
        <v>1.97</v>
      </c>
      <c r="E2865" s="1">
        <f>IFERROR(__xludf.DUMMYFUNCTION("""COMPUTED_VALUE"""),1.98)</f>
        <v>1.98</v>
      </c>
      <c r="F2865" s="1">
        <f>IFERROR(__xludf.DUMMYFUNCTION("""COMPUTED_VALUE"""),185120.0)</f>
        <v>185120</v>
      </c>
    </row>
    <row r="2866">
      <c r="A2866" s="2">
        <f>IFERROR(__xludf.DUMMYFUNCTION("""COMPUTED_VALUE"""),43325.66666666667)</f>
        <v>43325.66667</v>
      </c>
      <c r="B2866" s="1">
        <f>IFERROR(__xludf.DUMMYFUNCTION("""COMPUTED_VALUE"""),1.99)</f>
        <v>1.99</v>
      </c>
      <c r="C2866" s="1">
        <f>IFERROR(__xludf.DUMMYFUNCTION("""COMPUTED_VALUE"""),2.03)</f>
        <v>2.03</v>
      </c>
      <c r="D2866" s="1">
        <f>IFERROR(__xludf.DUMMYFUNCTION("""COMPUTED_VALUE"""),1.98)</f>
        <v>1.98</v>
      </c>
      <c r="E2866" s="1">
        <f>IFERROR(__xludf.DUMMYFUNCTION("""COMPUTED_VALUE"""),2.0)</f>
        <v>2</v>
      </c>
      <c r="F2866" s="1">
        <f>IFERROR(__xludf.DUMMYFUNCTION("""COMPUTED_VALUE"""),311294.0)</f>
        <v>311294</v>
      </c>
    </row>
    <row r="2867">
      <c r="A2867" s="2">
        <f>IFERROR(__xludf.DUMMYFUNCTION("""COMPUTED_VALUE"""),43326.66666666667)</f>
        <v>43326.66667</v>
      </c>
      <c r="B2867" s="1">
        <f>IFERROR(__xludf.DUMMYFUNCTION("""COMPUTED_VALUE"""),2.0)</f>
        <v>2</v>
      </c>
      <c r="C2867" s="1">
        <f>IFERROR(__xludf.DUMMYFUNCTION("""COMPUTED_VALUE"""),2.01)</f>
        <v>2.01</v>
      </c>
      <c r="D2867" s="1">
        <f>IFERROR(__xludf.DUMMYFUNCTION("""COMPUTED_VALUE"""),1.96)</f>
        <v>1.96</v>
      </c>
      <c r="E2867" s="1">
        <f>IFERROR(__xludf.DUMMYFUNCTION("""COMPUTED_VALUE"""),1.97)</f>
        <v>1.97</v>
      </c>
      <c r="F2867" s="1">
        <f>IFERROR(__xludf.DUMMYFUNCTION("""COMPUTED_VALUE"""),319476.0)</f>
        <v>319476</v>
      </c>
    </row>
    <row r="2868">
      <c r="A2868" s="2">
        <f>IFERROR(__xludf.DUMMYFUNCTION("""COMPUTED_VALUE"""),43327.66666666667)</f>
        <v>43327.66667</v>
      </c>
      <c r="B2868" s="1">
        <f>IFERROR(__xludf.DUMMYFUNCTION("""COMPUTED_VALUE"""),1.97)</f>
        <v>1.97</v>
      </c>
      <c r="C2868" s="1">
        <f>IFERROR(__xludf.DUMMYFUNCTION("""COMPUTED_VALUE"""),1.97)</f>
        <v>1.97</v>
      </c>
      <c r="D2868" s="1">
        <f>IFERROR(__xludf.DUMMYFUNCTION("""COMPUTED_VALUE"""),1.87)</f>
        <v>1.87</v>
      </c>
      <c r="E2868" s="1">
        <f>IFERROR(__xludf.DUMMYFUNCTION("""COMPUTED_VALUE"""),1.88)</f>
        <v>1.88</v>
      </c>
      <c r="F2868" s="1">
        <f>IFERROR(__xludf.DUMMYFUNCTION("""COMPUTED_VALUE"""),480683.0)</f>
        <v>480683</v>
      </c>
    </row>
    <row r="2869">
      <c r="A2869" s="2">
        <f>IFERROR(__xludf.DUMMYFUNCTION("""COMPUTED_VALUE"""),43328.66666666667)</f>
        <v>43328.66667</v>
      </c>
      <c r="B2869" s="1">
        <f>IFERROR(__xludf.DUMMYFUNCTION("""COMPUTED_VALUE"""),1.89)</f>
        <v>1.89</v>
      </c>
      <c r="C2869" s="1">
        <f>IFERROR(__xludf.DUMMYFUNCTION("""COMPUTED_VALUE"""),1.97)</f>
        <v>1.97</v>
      </c>
      <c r="D2869" s="1">
        <f>IFERROR(__xludf.DUMMYFUNCTION("""COMPUTED_VALUE"""),1.88)</f>
        <v>1.88</v>
      </c>
      <c r="E2869" s="1">
        <f>IFERROR(__xludf.DUMMYFUNCTION("""COMPUTED_VALUE"""),1.92)</f>
        <v>1.92</v>
      </c>
      <c r="F2869" s="1">
        <f>IFERROR(__xludf.DUMMYFUNCTION("""COMPUTED_VALUE"""),587165.0)</f>
        <v>587165</v>
      </c>
    </row>
    <row r="2870">
      <c r="A2870" s="2">
        <f>IFERROR(__xludf.DUMMYFUNCTION("""COMPUTED_VALUE"""),43329.66666666667)</f>
        <v>43329.66667</v>
      </c>
      <c r="B2870" s="1">
        <f>IFERROR(__xludf.DUMMYFUNCTION("""COMPUTED_VALUE"""),1.92)</f>
        <v>1.92</v>
      </c>
      <c r="C2870" s="1">
        <f>IFERROR(__xludf.DUMMYFUNCTION("""COMPUTED_VALUE"""),1.95)</f>
        <v>1.95</v>
      </c>
      <c r="D2870" s="1">
        <f>IFERROR(__xludf.DUMMYFUNCTION("""COMPUTED_VALUE"""),1.88)</f>
        <v>1.88</v>
      </c>
      <c r="E2870" s="1">
        <f>IFERROR(__xludf.DUMMYFUNCTION("""COMPUTED_VALUE"""),1.89)</f>
        <v>1.89</v>
      </c>
      <c r="F2870" s="1">
        <f>IFERROR(__xludf.DUMMYFUNCTION("""COMPUTED_VALUE"""),534667.0)</f>
        <v>534667</v>
      </c>
    </row>
    <row r="2871">
      <c r="A2871" s="2">
        <f>IFERROR(__xludf.DUMMYFUNCTION("""COMPUTED_VALUE"""),43332.66666666667)</f>
        <v>43332.66667</v>
      </c>
      <c r="B2871" s="1">
        <f>IFERROR(__xludf.DUMMYFUNCTION("""COMPUTED_VALUE"""),1.91)</f>
        <v>1.91</v>
      </c>
      <c r="C2871" s="1">
        <f>IFERROR(__xludf.DUMMYFUNCTION("""COMPUTED_VALUE"""),1.91)</f>
        <v>1.91</v>
      </c>
      <c r="D2871" s="1">
        <f>IFERROR(__xludf.DUMMYFUNCTION("""COMPUTED_VALUE"""),1.87)</f>
        <v>1.87</v>
      </c>
      <c r="E2871" s="1">
        <f>IFERROR(__xludf.DUMMYFUNCTION("""COMPUTED_VALUE"""),1.9)</f>
        <v>1.9</v>
      </c>
      <c r="F2871" s="1">
        <f>IFERROR(__xludf.DUMMYFUNCTION("""COMPUTED_VALUE"""),407835.0)</f>
        <v>407835</v>
      </c>
    </row>
    <row r="2872">
      <c r="A2872" s="2">
        <f>IFERROR(__xludf.DUMMYFUNCTION("""COMPUTED_VALUE"""),43333.66666666667)</f>
        <v>43333.66667</v>
      </c>
      <c r="B2872" s="1">
        <f>IFERROR(__xludf.DUMMYFUNCTION("""COMPUTED_VALUE"""),1.9)</f>
        <v>1.9</v>
      </c>
      <c r="C2872" s="1">
        <f>IFERROR(__xludf.DUMMYFUNCTION("""COMPUTED_VALUE"""),1.91)</f>
        <v>1.91</v>
      </c>
      <c r="D2872" s="1">
        <f>IFERROR(__xludf.DUMMYFUNCTION("""COMPUTED_VALUE"""),1.81)</f>
        <v>1.81</v>
      </c>
      <c r="E2872" s="1">
        <f>IFERROR(__xludf.DUMMYFUNCTION("""COMPUTED_VALUE"""),1.84)</f>
        <v>1.84</v>
      </c>
      <c r="F2872" s="1">
        <f>IFERROR(__xludf.DUMMYFUNCTION("""COMPUTED_VALUE"""),1456524.0)</f>
        <v>1456524</v>
      </c>
    </row>
    <row r="2873">
      <c r="A2873" s="2">
        <f>IFERROR(__xludf.DUMMYFUNCTION("""COMPUTED_VALUE"""),43334.66666666667)</f>
        <v>43334.66667</v>
      </c>
      <c r="B2873" s="1">
        <f>IFERROR(__xludf.DUMMYFUNCTION("""COMPUTED_VALUE"""),1.43)</f>
        <v>1.43</v>
      </c>
      <c r="C2873" s="1">
        <f>IFERROR(__xludf.DUMMYFUNCTION("""COMPUTED_VALUE"""),1.76)</f>
        <v>1.76</v>
      </c>
      <c r="D2873" s="1">
        <f>IFERROR(__xludf.DUMMYFUNCTION("""COMPUTED_VALUE"""),1.42)</f>
        <v>1.42</v>
      </c>
      <c r="E2873" s="1">
        <f>IFERROR(__xludf.DUMMYFUNCTION("""COMPUTED_VALUE"""),1.57)</f>
        <v>1.57</v>
      </c>
      <c r="F2873" s="1">
        <f>IFERROR(__xludf.DUMMYFUNCTION("""COMPUTED_VALUE"""),2.2414755E7)</f>
        <v>22414755</v>
      </c>
    </row>
    <row r="2874">
      <c r="A2874" s="2">
        <f>IFERROR(__xludf.DUMMYFUNCTION("""COMPUTED_VALUE"""),43335.66666666667)</f>
        <v>43335.66667</v>
      </c>
      <c r="B2874" s="1">
        <f>IFERROR(__xludf.DUMMYFUNCTION("""COMPUTED_VALUE"""),1.53)</f>
        <v>1.53</v>
      </c>
      <c r="C2874" s="1">
        <f>IFERROR(__xludf.DUMMYFUNCTION("""COMPUTED_VALUE"""),1.73)</f>
        <v>1.73</v>
      </c>
      <c r="D2874" s="1">
        <f>IFERROR(__xludf.DUMMYFUNCTION("""COMPUTED_VALUE"""),1.51)</f>
        <v>1.51</v>
      </c>
      <c r="E2874" s="1">
        <f>IFERROR(__xludf.DUMMYFUNCTION("""COMPUTED_VALUE"""),1.72)</f>
        <v>1.72</v>
      </c>
      <c r="F2874" s="1">
        <f>IFERROR(__xludf.DUMMYFUNCTION("""COMPUTED_VALUE"""),7302516.0)</f>
        <v>7302516</v>
      </c>
    </row>
    <row r="2875">
      <c r="A2875" s="2">
        <f>IFERROR(__xludf.DUMMYFUNCTION("""COMPUTED_VALUE"""),43336.66666666667)</f>
        <v>43336.66667</v>
      </c>
      <c r="B2875" s="1">
        <f>IFERROR(__xludf.DUMMYFUNCTION("""COMPUTED_VALUE"""),1.73)</f>
        <v>1.73</v>
      </c>
      <c r="C2875" s="1">
        <f>IFERROR(__xludf.DUMMYFUNCTION("""COMPUTED_VALUE"""),1.77)</f>
        <v>1.77</v>
      </c>
      <c r="D2875" s="1">
        <f>IFERROR(__xludf.DUMMYFUNCTION("""COMPUTED_VALUE"""),1.59)</f>
        <v>1.59</v>
      </c>
      <c r="E2875" s="1">
        <f>IFERROR(__xludf.DUMMYFUNCTION("""COMPUTED_VALUE"""),1.64)</f>
        <v>1.64</v>
      </c>
      <c r="F2875" s="1">
        <f>IFERROR(__xludf.DUMMYFUNCTION("""COMPUTED_VALUE"""),1.4657782E7)</f>
        <v>14657782</v>
      </c>
    </row>
    <row r="2876">
      <c r="A2876" s="2">
        <f>IFERROR(__xludf.DUMMYFUNCTION("""COMPUTED_VALUE"""),43339.66666666667)</f>
        <v>43339.66667</v>
      </c>
      <c r="B2876" s="1">
        <f>IFERROR(__xludf.DUMMYFUNCTION("""COMPUTED_VALUE"""),1.65)</f>
        <v>1.65</v>
      </c>
      <c r="C2876" s="1">
        <f>IFERROR(__xludf.DUMMYFUNCTION("""COMPUTED_VALUE"""),1.74)</f>
        <v>1.74</v>
      </c>
      <c r="D2876" s="1">
        <f>IFERROR(__xludf.DUMMYFUNCTION("""COMPUTED_VALUE"""),1.65)</f>
        <v>1.65</v>
      </c>
      <c r="E2876" s="1">
        <f>IFERROR(__xludf.DUMMYFUNCTION("""COMPUTED_VALUE"""),1.73)</f>
        <v>1.73</v>
      </c>
      <c r="F2876" s="1">
        <f>IFERROR(__xludf.DUMMYFUNCTION("""COMPUTED_VALUE"""),3429763.0)</f>
        <v>3429763</v>
      </c>
    </row>
    <row r="2877">
      <c r="A2877" s="2">
        <f>IFERROR(__xludf.DUMMYFUNCTION("""COMPUTED_VALUE"""),43340.66666666667)</f>
        <v>43340.66667</v>
      </c>
      <c r="B2877" s="1">
        <f>IFERROR(__xludf.DUMMYFUNCTION("""COMPUTED_VALUE"""),1.73)</f>
        <v>1.73</v>
      </c>
      <c r="C2877" s="1">
        <f>IFERROR(__xludf.DUMMYFUNCTION("""COMPUTED_VALUE"""),1.95)</f>
        <v>1.95</v>
      </c>
      <c r="D2877" s="1">
        <f>IFERROR(__xludf.DUMMYFUNCTION("""COMPUTED_VALUE"""),1.72)</f>
        <v>1.72</v>
      </c>
      <c r="E2877" s="1">
        <f>IFERROR(__xludf.DUMMYFUNCTION("""COMPUTED_VALUE"""),1.95)</f>
        <v>1.95</v>
      </c>
      <c r="F2877" s="1">
        <f>IFERROR(__xludf.DUMMYFUNCTION("""COMPUTED_VALUE"""),2053064.0)</f>
        <v>2053064</v>
      </c>
    </row>
    <row r="2878">
      <c r="A2878" s="2">
        <f>IFERROR(__xludf.DUMMYFUNCTION("""COMPUTED_VALUE"""),43341.66666666667)</f>
        <v>43341.66667</v>
      </c>
      <c r="B2878" s="1">
        <f>IFERROR(__xludf.DUMMYFUNCTION("""COMPUTED_VALUE"""),1.94)</f>
        <v>1.94</v>
      </c>
      <c r="C2878" s="1">
        <f>IFERROR(__xludf.DUMMYFUNCTION("""COMPUTED_VALUE"""),2.03)</f>
        <v>2.03</v>
      </c>
      <c r="D2878" s="1">
        <f>IFERROR(__xludf.DUMMYFUNCTION("""COMPUTED_VALUE"""),1.9)</f>
        <v>1.9</v>
      </c>
      <c r="E2878" s="1">
        <f>IFERROR(__xludf.DUMMYFUNCTION("""COMPUTED_VALUE"""),2.02)</f>
        <v>2.02</v>
      </c>
      <c r="F2878" s="1">
        <f>IFERROR(__xludf.DUMMYFUNCTION("""COMPUTED_VALUE"""),1623221.0)</f>
        <v>1623221</v>
      </c>
    </row>
    <row r="2879">
      <c r="A2879" s="2">
        <f>IFERROR(__xludf.DUMMYFUNCTION("""COMPUTED_VALUE"""),43342.66666666667)</f>
        <v>43342.66667</v>
      </c>
      <c r="B2879" s="1">
        <f>IFERROR(__xludf.DUMMYFUNCTION("""COMPUTED_VALUE"""),2.04)</f>
        <v>2.04</v>
      </c>
      <c r="C2879" s="1">
        <f>IFERROR(__xludf.DUMMYFUNCTION("""COMPUTED_VALUE"""),2.09)</f>
        <v>2.09</v>
      </c>
      <c r="D2879" s="1">
        <f>IFERROR(__xludf.DUMMYFUNCTION("""COMPUTED_VALUE"""),2.03)</f>
        <v>2.03</v>
      </c>
      <c r="E2879" s="1">
        <f>IFERROR(__xludf.DUMMYFUNCTION("""COMPUTED_VALUE"""),2.07)</f>
        <v>2.07</v>
      </c>
      <c r="F2879" s="1">
        <f>IFERROR(__xludf.DUMMYFUNCTION("""COMPUTED_VALUE"""),1152534.0)</f>
        <v>1152534</v>
      </c>
    </row>
    <row r="2880">
      <c r="A2880" s="2">
        <f>IFERROR(__xludf.DUMMYFUNCTION("""COMPUTED_VALUE"""),43343.66666666667)</f>
        <v>43343.66667</v>
      </c>
      <c r="B2880" s="1">
        <f>IFERROR(__xludf.DUMMYFUNCTION("""COMPUTED_VALUE"""),2.09)</f>
        <v>2.09</v>
      </c>
      <c r="C2880" s="1">
        <f>IFERROR(__xludf.DUMMYFUNCTION("""COMPUTED_VALUE"""),2.09)</f>
        <v>2.09</v>
      </c>
      <c r="D2880" s="1">
        <f>IFERROR(__xludf.DUMMYFUNCTION("""COMPUTED_VALUE"""),2.03)</f>
        <v>2.03</v>
      </c>
      <c r="E2880" s="1">
        <f>IFERROR(__xludf.DUMMYFUNCTION("""COMPUTED_VALUE"""),2.05)</f>
        <v>2.05</v>
      </c>
      <c r="F2880" s="1">
        <f>IFERROR(__xludf.DUMMYFUNCTION("""COMPUTED_VALUE"""),613107.0)</f>
        <v>613107</v>
      </c>
    </row>
    <row r="2881">
      <c r="A2881" s="2">
        <f>IFERROR(__xludf.DUMMYFUNCTION("""COMPUTED_VALUE"""),43347.66666666667)</f>
        <v>43347.66667</v>
      </c>
      <c r="B2881" s="1">
        <f>IFERROR(__xludf.DUMMYFUNCTION("""COMPUTED_VALUE"""),2.03)</f>
        <v>2.03</v>
      </c>
      <c r="C2881" s="1">
        <f>IFERROR(__xludf.DUMMYFUNCTION("""COMPUTED_VALUE"""),2.06)</f>
        <v>2.06</v>
      </c>
      <c r="D2881" s="1">
        <f>IFERROR(__xludf.DUMMYFUNCTION("""COMPUTED_VALUE"""),1.98)</f>
        <v>1.98</v>
      </c>
      <c r="E2881" s="1">
        <f>IFERROR(__xludf.DUMMYFUNCTION("""COMPUTED_VALUE"""),2.05)</f>
        <v>2.05</v>
      </c>
      <c r="F2881" s="1">
        <f>IFERROR(__xludf.DUMMYFUNCTION("""COMPUTED_VALUE"""),317135.0)</f>
        <v>317135</v>
      </c>
    </row>
    <row r="2882">
      <c r="A2882" s="2">
        <f>IFERROR(__xludf.DUMMYFUNCTION("""COMPUTED_VALUE"""),43348.66666666667)</f>
        <v>43348.66667</v>
      </c>
      <c r="B2882" s="1">
        <f>IFERROR(__xludf.DUMMYFUNCTION("""COMPUTED_VALUE"""),2.05)</f>
        <v>2.05</v>
      </c>
      <c r="C2882" s="1">
        <f>IFERROR(__xludf.DUMMYFUNCTION("""COMPUTED_VALUE"""),2.05)</f>
        <v>2.05</v>
      </c>
      <c r="D2882" s="1">
        <f>IFERROR(__xludf.DUMMYFUNCTION("""COMPUTED_VALUE"""),1.91)</f>
        <v>1.91</v>
      </c>
      <c r="E2882" s="1">
        <f>IFERROR(__xludf.DUMMYFUNCTION("""COMPUTED_VALUE"""),1.98)</f>
        <v>1.98</v>
      </c>
      <c r="F2882" s="1">
        <f>IFERROR(__xludf.DUMMYFUNCTION("""COMPUTED_VALUE"""),298602.0)</f>
        <v>298602</v>
      </c>
    </row>
    <row r="2883">
      <c r="A2883" s="2">
        <f>IFERROR(__xludf.DUMMYFUNCTION("""COMPUTED_VALUE"""),43349.66666666667)</f>
        <v>43349.66667</v>
      </c>
      <c r="B2883" s="1">
        <f>IFERROR(__xludf.DUMMYFUNCTION("""COMPUTED_VALUE"""),2.0)</f>
        <v>2</v>
      </c>
      <c r="C2883" s="1">
        <f>IFERROR(__xludf.DUMMYFUNCTION("""COMPUTED_VALUE"""),2.02)</f>
        <v>2.02</v>
      </c>
      <c r="D2883" s="1">
        <f>IFERROR(__xludf.DUMMYFUNCTION("""COMPUTED_VALUE"""),1.97)</f>
        <v>1.97</v>
      </c>
      <c r="E2883" s="1">
        <f>IFERROR(__xludf.DUMMYFUNCTION("""COMPUTED_VALUE"""),2.0)</f>
        <v>2</v>
      </c>
      <c r="F2883" s="1">
        <f>IFERROR(__xludf.DUMMYFUNCTION("""COMPUTED_VALUE"""),546299.0)</f>
        <v>546299</v>
      </c>
    </row>
    <row r="2884">
      <c r="A2884" s="2">
        <f>IFERROR(__xludf.DUMMYFUNCTION("""COMPUTED_VALUE"""),43350.66666666667)</f>
        <v>43350.66667</v>
      </c>
      <c r="B2884" s="1">
        <f>IFERROR(__xludf.DUMMYFUNCTION("""COMPUTED_VALUE"""),2.01)</f>
        <v>2.01</v>
      </c>
      <c r="C2884" s="1">
        <f>IFERROR(__xludf.DUMMYFUNCTION("""COMPUTED_VALUE"""),2.03)</f>
        <v>2.03</v>
      </c>
      <c r="D2884" s="1">
        <f>IFERROR(__xludf.DUMMYFUNCTION("""COMPUTED_VALUE"""),2.0)</f>
        <v>2</v>
      </c>
      <c r="E2884" s="1">
        <f>IFERROR(__xludf.DUMMYFUNCTION("""COMPUTED_VALUE"""),2.02)</f>
        <v>2.02</v>
      </c>
      <c r="F2884" s="1">
        <f>IFERROR(__xludf.DUMMYFUNCTION("""COMPUTED_VALUE"""),794761.0)</f>
        <v>794761</v>
      </c>
    </row>
    <row r="2885">
      <c r="A2885" s="2">
        <f>IFERROR(__xludf.DUMMYFUNCTION("""COMPUTED_VALUE"""),43353.66666666667)</f>
        <v>43353.66667</v>
      </c>
      <c r="B2885" s="1">
        <f>IFERROR(__xludf.DUMMYFUNCTION("""COMPUTED_VALUE"""),2.03)</f>
        <v>2.03</v>
      </c>
      <c r="C2885" s="1">
        <f>IFERROR(__xludf.DUMMYFUNCTION("""COMPUTED_VALUE"""),2.03)</f>
        <v>2.03</v>
      </c>
      <c r="D2885" s="1">
        <f>IFERROR(__xludf.DUMMYFUNCTION("""COMPUTED_VALUE"""),2.0)</f>
        <v>2</v>
      </c>
      <c r="E2885" s="1">
        <f>IFERROR(__xludf.DUMMYFUNCTION("""COMPUTED_VALUE"""),2.0)</f>
        <v>2</v>
      </c>
      <c r="F2885" s="1">
        <f>IFERROR(__xludf.DUMMYFUNCTION("""COMPUTED_VALUE"""),1019844.0)</f>
        <v>1019844</v>
      </c>
    </row>
    <row r="2886">
      <c r="A2886" s="2">
        <f>IFERROR(__xludf.DUMMYFUNCTION("""COMPUTED_VALUE"""),43354.66666666667)</f>
        <v>43354.66667</v>
      </c>
      <c r="B2886" s="1">
        <f>IFERROR(__xludf.DUMMYFUNCTION("""COMPUTED_VALUE"""),2.0)</f>
        <v>2</v>
      </c>
      <c r="C2886" s="1">
        <f>IFERROR(__xludf.DUMMYFUNCTION("""COMPUTED_VALUE"""),2.01)</f>
        <v>2.01</v>
      </c>
      <c r="D2886" s="1">
        <f>IFERROR(__xludf.DUMMYFUNCTION("""COMPUTED_VALUE"""),1.97)</f>
        <v>1.97</v>
      </c>
      <c r="E2886" s="1">
        <f>IFERROR(__xludf.DUMMYFUNCTION("""COMPUTED_VALUE"""),1.98)</f>
        <v>1.98</v>
      </c>
      <c r="F2886" s="1">
        <f>IFERROR(__xludf.DUMMYFUNCTION("""COMPUTED_VALUE"""),753219.0)</f>
        <v>753219</v>
      </c>
    </row>
    <row r="2887">
      <c r="A2887" s="2">
        <f>IFERROR(__xludf.DUMMYFUNCTION("""COMPUTED_VALUE"""),43355.66666666667)</f>
        <v>43355.66667</v>
      </c>
      <c r="B2887" s="1">
        <f>IFERROR(__xludf.DUMMYFUNCTION("""COMPUTED_VALUE"""),1.98)</f>
        <v>1.98</v>
      </c>
      <c r="C2887" s="1">
        <f>IFERROR(__xludf.DUMMYFUNCTION("""COMPUTED_VALUE"""),2.0)</f>
        <v>2</v>
      </c>
      <c r="D2887" s="1">
        <f>IFERROR(__xludf.DUMMYFUNCTION("""COMPUTED_VALUE"""),1.97)</f>
        <v>1.97</v>
      </c>
      <c r="E2887" s="1">
        <f>IFERROR(__xludf.DUMMYFUNCTION("""COMPUTED_VALUE"""),1.98)</f>
        <v>1.98</v>
      </c>
      <c r="F2887" s="1">
        <f>IFERROR(__xludf.DUMMYFUNCTION("""COMPUTED_VALUE"""),113600.0)</f>
        <v>113600</v>
      </c>
    </row>
    <row r="2888">
      <c r="A2888" s="2">
        <f>IFERROR(__xludf.DUMMYFUNCTION("""COMPUTED_VALUE"""),43356.66666666667)</f>
        <v>43356.66667</v>
      </c>
      <c r="B2888" s="1">
        <f>IFERROR(__xludf.DUMMYFUNCTION("""COMPUTED_VALUE"""),1.98)</f>
        <v>1.98</v>
      </c>
      <c r="C2888" s="1">
        <f>IFERROR(__xludf.DUMMYFUNCTION("""COMPUTED_VALUE"""),2.02)</f>
        <v>2.02</v>
      </c>
      <c r="D2888" s="1">
        <f>IFERROR(__xludf.DUMMYFUNCTION("""COMPUTED_VALUE"""),1.97)</f>
        <v>1.97</v>
      </c>
      <c r="E2888" s="1">
        <f>IFERROR(__xludf.DUMMYFUNCTION("""COMPUTED_VALUE"""),2.0)</f>
        <v>2</v>
      </c>
      <c r="F2888" s="1">
        <f>IFERROR(__xludf.DUMMYFUNCTION("""COMPUTED_VALUE"""),351887.0)</f>
        <v>351887</v>
      </c>
    </row>
    <row r="2889">
      <c r="A2889" s="2">
        <f>IFERROR(__xludf.DUMMYFUNCTION("""COMPUTED_VALUE"""),43357.66666666667)</f>
        <v>43357.66667</v>
      </c>
      <c r="B2889" s="1">
        <f>IFERROR(__xludf.DUMMYFUNCTION("""COMPUTED_VALUE"""),2.01)</f>
        <v>2.01</v>
      </c>
      <c r="C2889" s="1">
        <f>IFERROR(__xludf.DUMMYFUNCTION("""COMPUTED_VALUE"""),2.03)</f>
        <v>2.03</v>
      </c>
      <c r="D2889" s="1">
        <f>IFERROR(__xludf.DUMMYFUNCTION("""COMPUTED_VALUE"""),2.0)</f>
        <v>2</v>
      </c>
      <c r="E2889" s="1">
        <f>IFERROR(__xludf.DUMMYFUNCTION("""COMPUTED_VALUE"""),2.01)</f>
        <v>2.01</v>
      </c>
      <c r="F2889" s="1">
        <f>IFERROR(__xludf.DUMMYFUNCTION("""COMPUTED_VALUE"""),260982.0)</f>
        <v>260982</v>
      </c>
    </row>
    <row r="2890">
      <c r="A2890" s="2">
        <f>IFERROR(__xludf.DUMMYFUNCTION("""COMPUTED_VALUE"""),43360.66666666667)</f>
        <v>43360.66667</v>
      </c>
      <c r="B2890" s="1">
        <f>IFERROR(__xludf.DUMMYFUNCTION("""COMPUTED_VALUE"""),2.01)</f>
        <v>2.01</v>
      </c>
      <c r="C2890" s="1">
        <f>IFERROR(__xludf.DUMMYFUNCTION("""COMPUTED_VALUE"""),2.05)</f>
        <v>2.05</v>
      </c>
      <c r="D2890" s="1">
        <f>IFERROR(__xludf.DUMMYFUNCTION("""COMPUTED_VALUE"""),2.01)</f>
        <v>2.01</v>
      </c>
      <c r="E2890" s="1">
        <f>IFERROR(__xludf.DUMMYFUNCTION("""COMPUTED_VALUE"""),2.05)</f>
        <v>2.05</v>
      </c>
      <c r="F2890" s="1">
        <f>IFERROR(__xludf.DUMMYFUNCTION("""COMPUTED_VALUE"""),273534.0)</f>
        <v>273534</v>
      </c>
    </row>
    <row r="2891">
      <c r="A2891" s="2">
        <f>IFERROR(__xludf.DUMMYFUNCTION("""COMPUTED_VALUE"""),43361.66666666667)</f>
        <v>43361.66667</v>
      </c>
      <c r="B2891" s="1">
        <f>IFERROR(__xludf.DUMMYFUNCTION("""COMPUTED_VALUE"""),2.03)</f>
        <v>2.03</v>
      </c>
      <c r="C2891" s="1">
        <f>IFERROR(__xludf.DUMMYFUNCTION("""COMPUTED_VALUE"""),2.07)</f>
        <v>2.07</v>
      </c>
      <c r="D2891" s="1">
        <f>IFERROR(__xludf.DUMMYFUNCTION("""COMPUTED_VALUE"""),2.03)</f>
        <v>2.03</v>
      </c>
      <c r="E2891" s="1">
        <f>IFERROR(__xludf.DUMMYFUNCTION("""COMPUTED_VALUE"""),2.06)</f>
        <v>2.06</v>
      </c>
      <c r="F2891" s="1">
        <f>IFERROR(__xludf.DUMMYFUNCTION("""COMPUTED_VALUE"""),336705.0)</f>
        <v>336705</v>
      </c>
    </row>
    <row r="2892">
      <c r="A2892" s="2">
        <f>IFERROR(__xludf.DUMMYFUNCTION("""COMPUTED_VALUE"""),43362.66666666667)</f>
        <v>43362.66667</v>
      </c>
      <c r="B2892" s="1">
        <f>IFERROR(__xludf.DUMMYFUNCTION("""COMPUTED_VALUE"""),2.06)</f>
        <v>2.06</v>
      </c>
      <c r="C2892" s="1">
        <f>IFERROR(__xludf.DUMMYFUNCTION("""COMPUTED_VALUE"""),2.08)</f>
        <v>2.08</v>
      </c>
      <c r="D2892" s="1">
        <f>IFERROR(__xludf.DUMMYFUNCTION("""COMPUTED_VALUE"""),2.05)</f>
        <v>2.05</v>
      </c>
      <c r="E2892" s="1">
        <f>IFERROR(__xludf.DUMMYFUNCTION("""COMPUTED_VALUE"""),2.07)</f>
        <v>2.07</v>
      </c>
      <c r="F2892" s="1">
        <f>IFERROR(__xludf.DUMMYFUNCTION("""COMPUTED_VALUE"""),83298.0)</f>
        <v>83298</v>
      </c>
    </row>
    <row r="2893">
      <c r="A2893" s="2">
        <f>IFERROR(__xludf.DUMMYFUNCTION("""COMPUTED_VALUE"""),43363.66666666667)</f>
        <v>43363.66667</v>
      </c>
      <c r="B2893" s="1">
        <f>IFERROR(__xludf.DUMMYFUNCTION("""COMPUTED_VALUE"""),2.07)</f>
        <v>2.07</v>
      </c>
      <c r="C2893" s="1">
        <f>IFERROR(__xludf.DUMMYFUNCTION("""COMPUTED_VALUE"""),2.12)</f>
        <v>2.12</v>
      </c>
      <c r="D2893" s="1">
        <f>IFERROR(__xludf.DUMMYFUNCTION("""COMPUTED_VALUE"""),2.06)</f>
        <v>2.06</v>
      </c>
      <c r="E2893" s="1">
        <f>IFERROR(__xludf.DUMMYFUNCTION("""COMPUTED_VALUE"""),2.12)</f>
        <v>2.12</v>
      </c>
      <c r="F2893" s="1">
        <f>IFERROR(__xludf.DUMMYFUNCTION("""COMPUTED_VALUE"""),400830.0)</f>
        <v>400830</v>
      </c>
    </row>
    <row r="2894">
      <c r="A2894" s="2">
        <f>IFERROR(__xludf.DUMMYFUNCTION("""COMPUTED_VALUE"""),43364.66666666667)</f>
        <v>43364.66667</v>
      </c>
      <c r="B2894" s="1">
        <f>IFERROR(__xludf.DUMMYFUNCTION("""COMPUTED_VALUE"""),2.15)</f>
        <v>2.15</v>
      </c>
      <c r="C2894" s="1">
        <f>IFERROR(__xludf.DUMMYFUNCTION("""COMPUTED_VALUE"""),2.15)</f>
        <v>2.15</v>
      </c>
      <c r="D2894" s="1">
        <f>IFERROR(__xludf.DUMMYFUNCTION("""COMPUTED_VALUE"""),2.06)</f>
        <v>2.06</v>
      </c>
      <c r="E2894" s="1">
        <f>IFERROR(__xludf.DUMMYFUNCTION("""COMPUTED_VALUE"""),2.07)</f>
        <v>2.07</v>
      </c>
      <c r="F2894" s="1">
        <f>IFERROR(__xludf.DUMMYFUNCTION("""COMPUTED_VALUE"""),218635.0)</f>
        <v>218635</v>
      </c>
    </row>
    <row r="2895">
      <c r="A2895" s="2">
        <f>IFERROR(__xludf.DUMMYFUNCTION("""COMPUTED_VALUE"""),43367.66666666667)</f>
        <v>43367.66667</v>
      </c>
      <c r="B2895" s="1">
        <f>IFERROR(__xludf.DUMMYFUNCTION("""COMPUTED_VALUE"""),2.08)</f>
        <v>2.08</v>
      </c>
      <c r="C2895" s="1">
        <f>IFERROR(__xludf.DUMMYFUNCTION("""COMPUTED_VALUE"""),2.09)</f>
        <v>2.09</v>
      </c>
      <c r="D2895" s="1">
        <f>IFERROR(__xludf.DUMMYFUNCTION("""COMPUTED_VALUE"""),1.97)</f>
        <v>1.97</v>
      </c>
      <c r="E2895" s="1">
        <f>IFERROR(__xludf.DUMMYFUNCTION("""COMPUTED_VALUE"""),1.99)</f>
        <v>1.99</v>
      </c>
      <c r="F2895" s="1">
        <f>IFERROR(__xludf.DUMMYFUNCTION("""COMPUTED_VALUE"""),306846.0)</f>
        <v>306846</v>
      </c>
    </row>
    <row r="2896">
      <c r="A2896" s="2">
        <f>IFERROR(__xludf.DUMMYFUNCTION("""COMPUTED_VALUE"""),43368.66666666667)</f>
        <v>43368.66667</v>
      </c>
      <c r="B2896" s="1">
        <f>IFERROR(__xludf.DUMMYFUNCTION("""COMPUTED_VALUE"""),1.97)</f>
        <v>1.97</v>
      </c>
      <c r="C2896" s="1">
        <f>IFERROR(__xludf.DUMMYFUNCTION("""COMPUTED_VALUE"""),2.14)</f>
        <v>2.14</v>
      </c>
      <c r="D2896" s="1">
        <f>IFERROR(__xludf.DUMMYFUNCTION("""COMPUTED_VALUE"""),1.97)</f>
        <v>1.97</v>
      </c>
      <c r="E2896" s="1">
        <f>IFERROR(__xludf.DUMMYFUNCTION("""COMPUTED_VALUE"""),2.13)</f>
        <v>2.13</v>
      </c>
      <c r="F2896" s="1">
        <f>IFERROR(__xludf.DUMMYFUNCTION("""COMPUTED_VALUE"""),286537.0)</f>
        <v>286537</v>
      </c>
    </row>
    <row r="2897">
      <c r="A2897" s="2">
        <f>IFERROR(__xludf.DUMMYFUNCTION("""COMPUTED_VALUE"""),43369.66666666667)</f>
        <v>43369.66667</v>
      </c>
      <c r="B2897" s="1">
        <f>IFERROR(__xludf.DUMMYFUNCTION("""COMPUTED_VALUE"""),2.13)</f>
        <v>2.13</v>
      </c>
      <c r="C2897" s="1">
        <f>IFERROR(__xludf.DUMMYFUNCTION("""COMPUTED_VALUE"""),2.13)</f>
        <v>2.13</v>
      </c>
      <c r="D2897" s="1">
        <f>IFERROR(__xludf.DUMMYFUNCTION("""COMPUTED_VALUE"""),2.09)</f>
        <v>2.09</v>
      </c>
      <c r="E2897" s="1">
        <f>IFERROR(__xludf.DUMMYFUNCTION("""COMPUTED_VALUE"""),2.1)</f>
        <v>2.1</v>
      </c>
      <c r="F2897" s="1">
        <f>IFERROR(__xludf.DUMMYFUNCTION("""COMPUTED_VALUE"""),301759.0)</f>
        <v>301759</v>
      </c>
    </row>
    <row r="2898">
      <c r="A2898" s="2">
        <f>IFERROR(__xludf.DUMMYFUNCTION("""COMPUTED_VALUE"""),43370.66666666667)</f>
        <v>43370.66667</v>
      </c>
      <c r="B2898" s="1">
        <f>IFERROR(__xludf.DUMMYFUNCTION("""COMPUTED_VALUE"""),2.11)</f>
        <v>2.11</v>
      </c>
      <c r="C2898" s="1">
        <f>IFERROR(__xludf.DUMMYFUNCTION("""COMPUTED_VALUE"""),2.11)</f>
        <v>2.11</v>
      </c>
      <c r="D2898" s="1">
        <f>IFERROR(__xludf.DUMMYFUNCTION("""COMPUTED_VALUE"""),2.04)</f>
        <v>2.04</v>
      </c>
      <c r="E2898" s="1">
        <f>IFERROR(__xludf.DUMMYFUNCTION("""COMPUTED_VALUE"""),2.06)</f>
        <v>2.06</v>
      </c>
      <c r="F2898" s="1">
        <f>IFERROR(__xludf.DUMMYFUNCTION("""COMPUTED_VALUE"""),270519.0)</f>
        <v>270519</v>
      </c>
    </row>
    <row r="2899">
      <c r="A2899" s="2">
        <f>IFERROR(__xludf.DUMMYFUNCTION("""COMPUTED_VALUE"""),43371.66666666667)</f>
        <v>43371.66667</v>
      </c>
      <c r="B2899" s="1">
        <f>IFERROR(__xludf.DUMMYFUNCTION("""COMPUTED_VALUE"""),2.06)</f>
        <v>2.06</v>
      </c>
      <c r="C2899" s="1">
        <f>IFERROR(__xludf.DUMMYFUNCTION("""COMPUTED_VALUE"""),2.06)</f>
        <v>2.06</v>
      </c>
      <c r="D2899" s="1">
        <f>IFERROR(__xludf.DUMMYFUNCTION("""COMPUTED_VALUE"""),2.04)</f>
        <v>2.04</v>
      </c>
      <c r="E2899" s="1">
        <f>IFERROR(__xludf.DUMMYFUNCTION("""COMPUTED_VALUE"""),2.06)</f>
        <v>2.06</v>
      </c>
      <c r="F2899" s="1">
        <f>IFERROR(__xludf.DUMMYFUNCTION("""COMPUTED_VALUE"""),169450.0)</f>
        <v>169450</v>
      </c>
    </row>
    <row r="2900">
      <c r="A2900" s="2">
        <f>IFERROR(__xludf.DUMMYFUNCTION("""COMPUTED_VALUE"""),43374.66666666667)</f>
        <v>43374.66667</v>
      </c>
      <c r="B2900" s="1">
        <f>IFERROR(__xludf.DUMMYFUNCTION("""COMPUTED_VALUE"""),2.07)</f>
        <v>2.07</v>
      </c>
      <c r="C2900" s="1">
        <f>IFERROR(__xludf.DUMMYFUNCTION("""COMPUTED_VALUE"""),2.16)</f>
        <v>2.16</v>
      </c>
      <c r="D2900" s="1">
        <f>IFERROR(__xludf.DUMMYFUNCTION("""COMPUTED_VALUE"""),2.07)</f>
        <v>2.07</v>
      </c>
      <c r="E2900" s="1">
        <f>IFERROR(__xludf.DUMMYFUNCTION("""COMPUTED_VALUE"""),2.15)</f>
        <v>2.15</v>
      </c>
      <c r="F2900" s="1">
        <f>IFERROR(__xludf.DUMMYFUNCTION("""COMPUTED_VALUE"""),120276.0)</f>
        <v>120276</v>
      </c>
    </row>
    <row r="2901">
      <c r="A2901" s="2">
        <f>IFERROR(__xludf.DUMMYFUNCTION("""COMPUTED_VALUE"""),43375.66666666667)</f>
        <v>43375.66667</v>
      </c>
      <c r="B2901" s="1">
        <f>IFERROR(__xludf.DUMMYFUNCTION("""COMPUTED_VALUE"""),2.14)</f>
        <v>2.14</v>
      </c>
      <c r="C2901" s="1">
        <f>IFERROR(__xludf.DUMMYFUNCTION("""COMPUTED_VALUE"""),2.15)</f>
        <v>2.15</v>
      </c>
      <c r="D2901" s="1">
        <f>IFERROR(__xludf.DUMMYFUNCTION("""COMPUTED_VALUE"""),2.14)</f>
        <v>2.14</v>
      </c>
      <c r="E2901" s="1">
        <f>IFERROR(__xludf.DUMMYFUNCTION("""COMPUTED_VALUE"""),2.15)</f>
        <v>2.15</v>
      </c>
      <c r="F2901" s="1">
        <f>IFERROR(__xludf.DUMMYFUNCTION("""COMPUTED_VALUE"""),124439.0)</f>
        <v>124439</v>
      </c>
    </row>
    <row r="2902">
      <c r="A2902" s="2">
        <f>IFERROR(__xludf.DUMMYFUNCTION("""COMPUTED_VALUE"""),43376.66666666667)</f>
        <v>43376.66667</v>
      </c>
      <c r="B2902" s="1">
        <f>IFERROR(__xludf.DUMMYFUNCTION("""COMPUTED_VALUE"""),2.15)</f>
        <v>2.15</v>
      </c>
      <c r="C2902" s="1">
        <f>IFERROR(__xludf.DUMMYFUNCTION("""COMPUTED_VALUE"""),2.15)</f>
        <v>2.15</v>
      </c>
      <c r="D2902" s="1">
        <f>IFERROR(__xludf.DUMMYFUNCTION("""COMPUTED_VALUE"""),2.13)</f>
        <v>2.13</v>
      </c>
      <c r="E2902" s="1">
        <f>IFERROR(__xludf.DUMMYFUNCTION("""COMPUTED_VALUE"""),2.14)</f>
        <v>2.14</v>
      </c>
      <c r="F2902" s="1">
        <f>IFERROR(__xludf.DUMMYFUNCTION("""COMPUTED_VALUE"""),205783.0)</f>
        <v>205783</v>
      </c>
    </row>
    <row r="2903">
      <c r="A2903" s="2">
        <f>IFERROR(__xludf.DUMMYFUNCTION("""COMPUTED_VALUE"""),43377.66666666667)</f>
        <v>43377.66667</v>
      </c>
      <c r="B2903" s="1">
        <f>IFERROR(__xludf.DUMMYFUNCTION("""COMPUTED_VALUE"""),1.52)</f>
        <v>1.52</v>
      </c>
      <c r="C2903" s="1">
        <f>IFERROR(__xludf.DUMMYFUNCTION("""COMPUTED_VALUE"""),1.52)</f>
        <v>1.52</v>
      </c>
      <c r="D2903" s="1">
        <f>IFERROR(__xludf.DUMMYFUNCTION("""COMPUTED_VALUE"""),0.85)</f>
        <v>0.85</v>
      </c>
      <c r="E2903" s="1">
        <f>IFERROR(__xludf.DUMMYFUNCTION("""COMPUTED_VALUE"""),1.26)</f>
        <v>1.26</v>
      </c>
      <c r="F2903" s="1">
        <f>IFERROR(__xludf.DUMMYFUNCTION("""COMPUTED_VALUE"""),1.2560499E7)</f>
        <v>12560499</v>
      </c>
    </row>
    <row r="2904">
      <c r="A2904" s="2">
        <f>IFERROR(__xludf.DUMMYFUNCTION("""COMPUTED_VALUE"""),43378.66666666667)</f>
        <v>43378.66667</v>
      </c>
      <c r="B2904" s="1">
        <f>IFERROR(__xludf.DUMMYFUNCTION("""COMPUTED_VALUE"""),1.3)</f>
        <v>1.3</v>
      </c>
      <c r="C2904" s="1">
        <f>IFERROR(__xludf.DUMMYFUNCTION("""COMPUTED_VALUE"""),1.34)</f>
        <v>1.34</v>
      </c>
      <c r="D2904" s="1">
        <f>IFERROR(__xludf.DUMMYFUNCTION("""COMPUTED_VALUE"""),1.08)</f>
        <v>1.08</v>
      </c>
      <c r="E2904" s="1">
        <f>IFERROR(__xludf.DUMMYFUNCTION("""COMPUTED_VALUE"""),1.24)</f>
        <v>1.24</v>
      </c>
      <c r="F2904" s="1">
        <f>IFERROR(__xludf.DUMMYFUNCTION("""COMPUTED_VALUE"""),2857125.0)</f>
        <v>2857125</v>
      </c>
    </row>
    <row r="2905">
      <c r="A2905" s="2">
        <f>IFERROR(__xludf.DUMMYFUNCTION("""COMPUTED_VALUE"""),43381.66666666667)</f>
        <v>43381.66667</v>
      </c>
      <c r="B2905" s="1">
        <f>IFERROR(__xludf.DUMMYFUNCTION("""COMPUTED_VALUE"""),1.31)</f>
        <v>1.31</v>
      </c>
      <c r="C2905" s="1">
        <f>IFERROR(__xludf.DUMMYFUNCTION("""COMPUTED_VALUE"""),1.52)</f>
        <v>1.52</v>
      </c>
      <c r="D2905" s="1">
        <f>IFERROR(__xludf.DUMMYFUNCTION("""COMPUTED_VALUE"""),1.31)</f>
        <v>1.31</v>
      </c>
      <c r="E2905" s="1">
        <f>IFERROR(__xludf.DUMMYFUNCTION("""COMPUTED_VALUE"""),1.47)</f>
        <v>1.47</v>
      </c>
      <c r="F2905" s="1">
        <f>IFERROR(__xludf.DUMMYFUNCTION("""COMPUTED_VALUE"""),2829829.0)</f>
        <v>2829829</v>
      </c>
    </row>
    <row r="2906">
      <c r="A2906" s="2">
        <f>IFERROR(__xludf.DUMMYFUNCTION("""COMPUTED_VALUE"""),43382.66666666667)</f>
        <v>43382.66667</v>
      </c>
      <c r="B2906" s="1">
        <f>IFERROR(__xludf.DUMMYFUNCTION("""COMPUTED_VALUE"""),1.53)</f>
        <v>1.53</v>
      </c>
      <c r="C2906" s="1">
        <f>IFERROR(__xludf.DUMMYFUNCTION("""COMPUTED_VALUE"""),1.56)</f>
        <v>1.56</v>
      </c>
      <c r="D2906" s="1">
        <f>IFERROR(__xludf.DUMMYFUNCTION("""COMPUTED_VALUE"""),1.07)</f>
        <v>1.07</v>
      </c>
      <c r="E2906" s="1">
        <f>IFERROR(__xludf.DUMMYFUNCTION("""COMPUTED_VALUE"""),1.25)</f>
        <v>1.25</v>
      </c>
      <c r="F2906" s="1">
        <f>IFERROR(__xludf.DUMMYFUNCTION("""COMPUTED_VALUE"""),4984642.0)</f>
        <v>4984642</v>
      </c>
    </row>
    <row r="2907">
      <c r="A2907" s="2">
        <f>IFERROR(__xludf.DUMMYFUNCTION("""COMPUTED_VALUE"""),43383.66666666667)</f>
        <v>43383.66667</v>
      </c>
      <c r="B2907" s="1">
        <f>IFERROR(__xludf.DUMMYFUNCTION("""COMPUTED_VALUE"""),1.29)</f>
        <v>1.29</v>
      </c>
      <c r="C2907" s="1">
        <f>IFERROR(__xludf.DUMMYFUNCTION("""COMPUTED_VALUE"""),1.3)</f>
        <v>1.3</v>
      </c>
      <c r="D2907" s="1">
        <f>IFERROR(__xludf.DUMMYFUNCTION("""COMPUTED_VALUE"""),1.22)</f>
        <v>1.22</v>
      </c>
      <c r="E2907" s="1">
        <f>IFERROR(__xludf.DUMMYFUNCTION("""COMPUTED_VALUE"""),1.28)</f>
        <v>1.28</v>
      </c>
      <c r="F2907" s="1">
        <f>IFERROR(__xludf.DUMMYFUNCTION("""COMPUTED_VALUE"""),1407681.0)</f>
        <v>1407681</v>
      </c>
    </row>
    <row r="2908">
      <c r="A2908" s="2">
        <f>IFERROR(__xludf.DUMMYFUNCTION("""COMPUTED_VALUE"""),43384.66666666667)</f>
        <v>43384.66667</v>
      </c>
      <c r="B2908" s="1">
        <f>IFERROR(__xludf.DUMMYFUNCTION("""COMPUTED_VALUE"""),1.31)</f>
        <v>1.31</v>
      </c>
      <c r="C2908" s="1">
        <f>IFERROR(__xludf.DUMMYFUNCTION("""COMPUTED_VALUE"""),1.35)</f>
        <v>1.35</v>
      </c>
      <c r="D2908" s="1">
        <f>IFERROR(__xludf.DUMMYFUNCTION("""COMPUTED_VALUE"""),1.26)</f>
        <v>1.26</v>
      </c>
      <c r="E2908" s="1">
        <f>IFERROR(__xludf.DUMMYFUNCTION("""COMPUTED_VALUE"""),1.31)</f>
        <v>1.31</v>
      </c>
      <c r="F2908" s="1">
        <f>IFERROR(__xludf.DUMMYFUNCTION("""COMPUTED_VALUE"""),579073.0)</f>
        <v>579073</v>
      </c>
    </row>
    <row r="2909">
      <c r="A2909" s="2">
        <f>IFERROR(__xludf.DUMMYFUNCTION("""COMPUTED_VALUE"""),43385.66666666667)</f>
        <v>43385.66667</v>
      </c>
      <c r="B2909" s="1">
        <f>IFERROR(__xludf.DUMMYFUNCTION("""COMPUTED_VALUE"""),1.36)</f>
        <v>1.36</v>
      </c>
      <c r="C2909" s="1">
        <f>IFERROR(__xludf.DUMMYFUNCTION("""COMPUTED_VALUE"""),1.36)</f>
        <v>1.36</v>
      </c>
      <c r="D2909" s="1">
        <f>IFERROR(__xludf.DUMMYFUNCTION("""COMPUTED_VALUE"""),1.31)</f>
        <v>1.31</v>
      </c>
      <c r="E2909" s="1">
        <f>IFERROR(__xludf.DUMMYFUNCTION("""COMPUTED_VALUE"""),1.31)</f>
        <v>1.31</v>
      </c>
      <c r="F2909" s="1">
        <f>IFERROR(__xludf.DUMMYFUNCTION("""COMPUTED_VALUE"""),522502.0)</f>
        <v>522502</v>
      </c>
    </row>
    <row r="2910">
      <c r="A2910" s="2">
        <f>IFERROR(__xludf.DUMMYFUNCTION("""COMPUTED_VALUE"""),43388.66666666667)</f>
        <v>43388.66667</v>
      </c>
      <c r="B2910" s="1">
        <f>IFERROR(__xludf.DUMMYFUNCTION("""COMPUTED_VALUE"""),1.35)</f>
        <v>1.35</v>
      </c>
      <c r="C2910" s="1">
        <f>IFERROR(__xludf.DUMMYFUNCTION("""COMPUTED_VALUE"""),1.39)</f>
        <v>1.39</v>
      </c>
      <c r="D2910" s="1">
        <f>IFERROR(__xludf.DUMMYFUNCTION("""COMPUTED_VALUE"""),1.32)</f>
        <v>1.32</v>
      </c>
      <c r="E2910" s="1">
        <f>IFERROR(__xludf.DUMMYFUNCTION("""COMPUTED_VALUE"""),1.38)</f>
        <v>1.38</v>
      </c>
      <c r="F2910" s="1">
        <f>IFERROR(__xludf.DUMMYFUNCTION("""COMPUTED_VALUE"""),465240.0)</f>
        <v>465240</v>
      </c>
    </row>
    <row r="2911">
      <c r="A2911" s="2">
        <f>IFERROR(__xludf.DUMMYFUNCTION("""COMPUTED_VALUE"""),43389.66666666667)</f>
        <v>43389.66667</v>
      </c>
      <c r="B2911" s="1">
        <f>IFERROR(__xludf.DUMMYFUNCTION("""COMPUTED_VALUE"""),1.39)</f>
        <v>1.39</v>
      </c>
      <c r="C2911" s="1">
        <f>IFERROR(__xludf.DUMMYFUNCTION("""COMPUTED_VALUE"""),1.42)</f>
        <v>1.42</v>
      </c>
      <c r="D2911" s="1">
        <f>IFERROR(__xludf.DUMMYFUNCTION("""COMPUTED_VALUE"""),1.32)</f>
        <v>1.32</v>
      </c>
      <c r="E2911" s="1">
        <f>IFERROR(__xludf.DUMMYFUNCTION("""COMPUTED_VALUE"""),1.33)</f>
        <v>1.33</v>
      </c>
      <c r="F2911" s="1">
        <f>IFERROR(__xludf.DUMMYFUNCTION("""COMPUTED_VALUE"""),281205.0)</f>
        <v>281205</v>
      </c>
    </row>
    <row r="2912">
      <c r="A2912" s="2">
        <f>IFERROR(__xludf.DUMMYFUNCTION("""COMPUTED_VALUE"""),43390.66666666667)</f>
        <v>43390.66667</v>
      </c>
      <c r="B2912" s="1">
        <f>IFERROR(__xludf.DUMMYFUNCTION("""COMPUTED_VALUE"""),1.33)</f>
        <v>1.33</v>
      </c>
      <c r="C2912" s="1">
        <f>IFERROR(__xludf.DUMMYFUNCTION("""COMPUTED_VALUE"""),1.37)</f>
        <v>1.37</v>
      </c>
      <c r="D2912" s="1">
        <f>IFERROR(__xludf.DUMMYFUNCTION("""COMPUTED_VALUE"""),1.33)</f>
        <v>1.33</v>
      </c>
      <c r="E2912" s="1">
        <f>IFERROR(__xludf.DUMMYFUNCTION("""COMPUTED_VALUE"""),1.36)</f>
        <v>1.36</v>
      </c>
      <c r="F2912" s="1">
        <f>IFERROR(__xludf.DUMMYFUNCTION("""COMPUTED_VALUE"""),289928.0)</f>
        <v>289928</v>
      </c>
    </row>
    <row r="2913">
      <c r="A2913" s="2">
        <f>IFERROR(__xludf.DUMMYFUNCTION("""COMPUTED_VALUE"""),43391.66666666667)</f>
        <v>43391.66667</v>
      </c>
      <c r="B2913" s="1">
        <f>IFERROR(__xludf.DUMMYFUNCTION("""COMPUTED_VALUE"""),1.33)</f>
        <v>1.33</v>
      </c>
      <c r="C2913" s="1">
        <f>IFERROR(__xludf.DUMMYFUNCTION("""COMPUTED_VALUE"""),1.36)</f>
        <v>1.36</v>
      </c>
      <c r="D2913" s="1">
        <f>IFERROR(__xludf.DUMMYFUNCTION("""COMPUTED_VALUE"""),1.33)</f>
        <v>1.33</v>
      </c>
      <c r="E2913" s="1">
        <f>IFERROR(__xludf.DUMMYFUNCTION("""COMPUTED_VALUE"""),1.34)</f>
        <v>1.34</v>
      </c>
      <c r="F2913" s="1">
        <f>IFERROR(__xludf.DUMMYFUNCTION("""COMPUTED_VALUE"""),316454.0)</f>
        <v>316454</v>
      </c>
    </row>
    <row r="2914">
      <c r="A2914" s="2">
        <f>IFERROR(__xludf.DUMMYFUNCTION("""COMPUTED_VALUE"""),43392.66666666667)</f>
        <v>43392.66667</v>
      </c>
      <c r="B2914" s="1">
        <f>IFERROR(__xludf.DUMMYFUNCTION("""COMPUTED_VALUE"""),1.34)</f>
        <v>1.34</v>
      </c>
      <c r="C2914" s="1">
        <f>IFERROR(__xludf.DUMMYFUNCTION("""COMPUTED_VALUE"""),1.43)</f>
        <v>1.43</v>
      </c>
      <c r="D2914" s="1">
        <f>IFERROR(__xludf.DUMMYFUNCTION("""COMPUTED_VALUE"""),1.33)</f>
        <v>1.33</v>
      </c>
      <c r="E2914" s="1">
        <f>IFERROR(__xludf.DUMMYFUNCTION("""COMPUTED_VALUE"""),1.41)</f>
        <v>1.41</v>
      </c>
      <c r="F2914" s="1">
        <f>IFERROR(__xludf.DUMMYFUNCTION("""COMPUTED_VALUE"""),779068.0)</f>
        <v>779068</v>
      </c>
    </row>
    <row r="2915">
      <c r="A2915" s="2">
        <f>IFERROR(__xludf.DUMMYFUNCTION("""COMPUTED_VALUE"""),43395.66666666667)</f>
        <v>43395.66667</v>
      </c>
      <c r="B2915" s="1">
        <f>IFERROR(__xludf.DUMMYFUNCTION("""COMPUTED_VALUE"""),1.46)</f>
        <v>1.46</v>
      </c>
      <c r="C2915" s="1">
        <f>IFERROR(__xludf.DUMMYFUNCTION("""COMPUTED_VALUE"""),1.48)</f>
        <v>1.48</v>
      </c>
      <c r="D2915" s="1">
        <f>IFERROR(__xludf.DUMMYFUNCTION("""COMPUTED_VALUE"""),1.45)</f>
        <v>1.45</v>
      </c>
      <c r="E2915" s="1">
        <f>IFERROR(__xludf.DUMMYFUNCTION("""COMPUTED_VALUE"""),1.47)</f>
        <v>1.47</v>
      </c>
      <c r="F2915" s="1">
        <f>IFERROR(__xludf.DUMMYFUNCTION("""COMPUTED_VALUE"""),548002.0)</f>
        <v>548002</v>
      </c>
    </row>
    <row r="2916">
      <c r="A2916" s="2">
        <f>IFERROR(__xludf.DUMMYFUNCTION("""COMPUTED_VALUE"""),43396.66666666667)</f>
        <v>43396.66667</v>
      </c>
      <c r="B2916" s="1">
        <f>IFERROR(__xludf.DUMMYFUNCTION("""COMPUTED_VALUE"""),1.47)</f>
        <v>1.47</v>
      </c>
      <c r="C2916" s="1">
        <f>IFERROR(__xludf.DUMMYFUNCTION("""COMPUTED_VALUE"""),1.48)</f>
        <v>1.48</v>
      </c>
      <c r="D2916" s="1">
        <f>IFERROR(__xludf.DUMMYFUNCTION("""COMPUTED_VALUE"""),1.39)</f>
        <v>1.39</v>
      </c>
      <c r="E2916" s="1">
        <f>IFERROR(__xludf.DUMMYFUNCTION("""COMPUTED_VALUE"""),1.47)</f>
        <v>1.47</v>
      </c>
      <c r="F2916" s="1">
        <f>IFERROR(__xludf.DUMMYFUNCTION("""COMPUTED_VALUE"""),347327.0)</f>
        <v>347327</v>
      </c>
    </row>
    <row r="2917">
      <c r="A2917" s="2">
        <f>IFERROR(__xludf.DUMMYFUNCTION("""COMPUTED_VALUE"""),43397.66666666667)</f>
        <v>43397.66667</v>
      </c>
      <c r="B2917" s="1">
        <f>IFERROR(__xludf.DUMMYFUNCTION("""COMPUTED_VALUE"""),1.47)</f>
        <v>1.47</v>
      </c>
      <c r="C2917" s="1">
        <f>IFERROR(__xludf.DUMMYFUNCTION("""COMPUTED_VALUE"""),1.48)</f>
        <v>1.48</v>
      </c>
      <c r="D2917" s="1">
        <f>IFERROR(__xludf.DUMMYFUNCTION("""COMPUTED_VALUE"""),1.46)</f>
        <v>1.46</v>
      </c>
      <c r="E2917" s="1">
        <f>IFERROR(__xludf.DUMMYFUNCTION("""COMPUTED_VALUE"""),1.47)</f>
        <v>1.47</v>
      </c>
      <c r="F2917" s="1">
        <f>IFERROR(__xludf.DUMMYFUNCTION("""COMPUTED_VALUE"""),312151.0)</f>
        <v>312151</v>
      </c>
    </row>
    <row r="2918">
      <c r="A2918" s="2">
        <f>IFERROR(__xludf.DUMMYFUNCTION("""COMPUTED_VALUE"""),43398.66666666667)</f>
        <v>43398.66667</v>
      </c>
      <c r="B2918" s="1">
        <f>IFERROR(__xludf.DUMMYFUNCTION("""COMPUTED_VALUE"""),1.48)</f>
        <v>1.48</v>
      </c>
      <c r="C2918" s="1">
        <f>IFERROR(__xludf.DUMMYFUNCTION("""COMPUTED_VALUE"""),1.48)</f>
        <v>1.48</v>
      </c>
      <c r="D2918" s="1">
        <f>IFERROR(__xludf.DUMMYFUNCTION("""COMPUTED_VALUE"""),1.43)</f>
        <v>1.43</v>
      </c>
      <c r="E2918" s="1">
        <f>IFERROR(__xludf.DUMMYFUNCTION("""COMPUTED_VALUE"""),1.48)</f>
        <v>1.48</v>
      </c>
      <c r="F2918" s="1">
        <f>IFERROR(__xludf.DUMMYFUNCTION("""COMPUTED_VALUE"""),534749.0)</f>
        <v>534749</v>
      </c>
    </row>
    <row r="2919">
      <c r="A2919" s="2">
        <f>IFERROR(__xludf.DUMMYFUNCTION("""COMPUTED_VALUE"""),43399.66666666667)</f>
        <v>43399.66667</v>
      </c>
      <c r="B2919" s="1">
        <f>IFERROR(__xludf.DUMMYFUNCTION("""COMPUTED_VALUE"""),1.48)</f>
        <v>1.48</v>
      </c>
      <c r="C2919" s="1">
        <f>IFERROR(__xludf.DUMMYFUNCTION("""COMPUTED_VALUE"""),1.48)</f>
        <v>1.48</v>
      </c>
      <c r="D2919" s="1">
        <f>IFERROR(__xludf.DUMMYFUNCTION("""COMPUTED_VALUE"""),1.43)</f>
        <v>1.43</v>
      </c>
      <c r="E2919" s="1">
        <f>IFERROR(__xludf.DUMMYFUNCTION("""COMPUTED_VALUE"""),1.44)</f>
        <v>1.44</v>
      </c>
      <c r="F2919" s="1">
        <f>IFERROR(__xludf.DUMMYFUNCTION("""COMPUTED_VALUE"""),774885.0)</f>
        <v>774885</v>
      </c>
    </row>
    <row r="2920">
      <c r="A2920" s="2">
        <f>IFERROR(__xludf.DUMMYFUNCTION("""COMPUTED_VALUE"""),43402.66666666667)</f>
        <v>43402.66667</v>
      </c>
      <c r="B2920" s="1">
        <f>IFERROR(__xludf.DUMMYFUNCTION("""COMPUTED_VALUE"""),1.44)</f>
        <v>1.44</v>
      </c>
      <c r="C2920" s="1">
        <f>IFERROR(__xludf.DUMMYFUNCTION("""COMPUTED_VALUE"""),1.46)</f>
        <v>1.46</v>
      </c>
      <c r="D2920" s="1">
        <f>IFERROR(__xludf.DUMMYFUNCTION("""COMPUTED_VALUE"""),1.3)</f>
        <v>1.3</v>
      </c>
      <c r="E2920" s="1">
        <f>IFERROR(__xludf.DUMMYFUNCTION("""COMPUTED_VALUE"""),1.33)</f>
        <v>1.33</v>
      </c>
      <c r="F2920" s="1">
        <f>IFERROR(__xludf.DUMMYFUNCTION("""COMPUTED_VALUE"""),296422.0)</f>
        <v>296422</v>
      </c>
    </row>
    <row r="2921">
      <c r="A2921" s="2">
        <f>IFERROR(__xludf.DUMMYFUNCTION("""COMPUTED_VALUE"""),43403.66666666667)</f>
        <v>43403.66667</v>
      </c>
      <c r="B2921" s="1">
        <f>IFERROR(__xludf.DUMMYFUNCTION("""COMPUTED_VALUE"""),1.31)</f>
        <v>1.31</v>
      </c>
      <c r="C2921" s="1">
        <f>IFERROR(__xludf.DUMMYFUNCTION("""COMPUTED_VALUE"""),1.34)</f>
        <v>1.34</v>
      </c>
      <c r="D2921" s="1">
        <f>IFERROR(__xludf.DUMMYFUNCTION("""COMPUTED_VALUE"""),1.29)</f>
        <v>1.29</v>
      </c>
      <c r="E2921" s="1">
        <f>IFERROR(__xludf.DUMMYFUNCTION("""COMPUTED_VALUE"""),1.3)</f>
        <v>1.3</v>
      </c>
      <c r="F2921" s="1">
        <f>IFERROR(__xludf.DUMMYFUNCTION("""COMPUTED_VALUE"""),578917.0)</f>
        <v>578917</v>
      </c>
    </row>
    <row r="2922">
      <c r="A2922" s="2">
        <f>IFERROR(__xludf.DUMMYFUNCTION("""COMPUTED_VALUE"""),43404.66666666667)</f>
        <v>43404.66667</v>
      </c>
      <c r="B2922" s="1">
        <f>IFERROR(__xludf.DUMMYFUNCTION("""COMPUTED_VALUE"""),1.3)</f>
        <v>1.3</v>
      </c>
      <c r="C2922" s="1">
        <f>IFERROR(__xludf.DUMMYFUNCTION("""COMPUTED_VALUE"""),1.32)</f>
        <v>1.32</v>
      </c>
      <c r="D2922" s="1">
        <f>IFERROR(__xludf.DUMMYFUNCTION("""COMPUTED_VALUE"""),1.29)</f>
        <v>1.29</v>
      </c>
      <c r="E2922" s="1">
        <f>IFERROR(__xludf.DUMMYFUNCTION("""COMPUTED_VALUE"""),1.31)</f>
        <v>1.31</v>
      </c>
      <c r="F2922" s="1">
        <f>IFERROR(__xludf.DUMMYFUNCTION("""COMPUTED_VALUE"""),409841.0)</f>
        <v>409841</v>
      </c>
    </row>
    <row r="2923">
      <c r="A2923" s="2">
        <f>IFERROR(__xludf.DUMMYFUNCTION("""COMPUTED_VALUE"""),43405.66666666667)</f>
        <v>43405.66667</v>
      </c>
      <c r="B2923" s="1">
        <f>IFERROR(__xludf.DUMMYFUNCTION("""COMPUTED_VALUE"""),1.32)</f>
        <v>1.32</v>
      </c>
      <c r="C2923" s="1">
        <f>IFERROR(__xludf.DUMMYFUNCTION("""COMPUTED_VALUE"""),1.4)</f>
        <v>1.4</v>
      </c>
      <c r="D2923" s="1">
        <f>IFERROR(__xludf.DUMMYFUNCTION("""COMPUTED_VALUE"""),1.32)</f>
        <v>1.32</v>
      </c>
      <c r="E2923" s="1">
        <f>IFERROR(__xludf.DUMMYFUNCTION("""COMPUTED_VALUE"""),1.38)</f>
        <v>1.38</v>
      </c>
      <c r="F2923" s="1">
        <f>IFERROR(__xludf.DUMMYFUNCTION("""COMPUTED_VALUE"""),361697.0)</f>
        <v>361697</v>
      </c>
    </row>
    <row r="2924">
      <c r="A2924" s="2">
        <f>IFERROR(__xludf.DUMMYFUNCTION("""COMPUTED_VALUE"""),43406.66666666667)</f>
        <v>43406.66667</v>
      </c>
      <c r="B2924" s="1">
        <f>IFERROR(__xludf.DUMMYFUNCTION("""COMPUTED_VALUE"""),1.38)</f>
        <v>1.38</v>
      </c>
      <c r="C2924" s="1">
        <f>IFERROR(__xludf.DUMMYFUNCTION("""COMPUTED_VALUE"""),1.42)</f>
        <v>1.42</v>
      </c>
      <c r="D2924" s="1">
        <f>IFERROR(__xludf.DUMMYFUNCTION("""COMPUTED_VALUE"""),1.37)</f>
        <v>1.37</v>
      </c>
      <c r="E2924" s="1">
        <f>IFERROR(__xludf.DUMMYFUNCTION("""COMPUTED_VALUE"""),1.38)</f>
        <v>1.38</v>
      </c>
      <c r="F2924" s="1">
        <f>IFERROR(__xludf.DUMMYFUNCTION("""COMPUTED_VALUE"""),272227.0)</f>
        <v>272227</v>
      </c>
    </row>
    <row r="2925">
      <c r="A2925" s="2">
        <f>IFERROR(__xludf.DUMMYFUNCTION("""COMPUTED_VALUE"""),43409.66666666667)</f>
        <v>43409.66667</v>
      </c>
      <c r="B2925" s="1">
        <f>IFERROR(__xludf.DUMMYFUNCTION("""COMPUTED_VALUE"""),1.36)</f>
        <v>1.36</v>
      </c>
      <c r="C2925" s="1">
        <f>IFERROR(__xludf.DUMMYFUNCTION("""COMPUTED_VALUE"""),1.39)</f>
        <v>1.39</v>
      </c>
      <c r="D2925" s="1">
        <f>IFERROR(__xludf.DUMMYFUNCTION("""COMPUTED_VALUE"""),1.2)</f>
        <v>1.2</v>
      </c>
      <c r="E2925" s="1">
        <f>IFERROR(__xludf.DUMMYFUNCTION("""COMPUTED_VALUE"""),1.24)</f>
        <v>1.24</v>
      </c>
      <c r="F2925" s="1">
        <f>IFERROR(__xludf.DUMMYFUNCTION("""COMPUTED_VALUE"""),713928.0)</f>
        <v>713928</v>
      </c>
    </row>
    <row r="2926">
      <c r="A2926" s="2">
        <f>IFERROR(__xludf.DUMMYFUNCTION("""COMPUTED_VALUE"""),43410.66666666667)</f>
        <v>43410.66667</v>
      </c>
      <c r="B2926" s="1">
        <f>IFERROR(__xludf.DUMMYFUNCTION("""COMPUTED_VALUE"""),1.25)</f>
        <v>1.25</v>
      </c>
      <c r="C2926" s="1">
        <f>IFERROR(__xludf.DUMMYFUNCTION("""COMPUTED_VALUE"""),1.25)</f>
        <v>1.25</v>
      </c>
      <c r="D2926" s="1">
        <f>IFERROR(__xludf.DUMMYFUNCTION("""COMPUTED_VALUE"""),1.23)</f>
        <v>1.23</v>
      </c>
      <c r="E2926" s="1">
        <f>IFERROR(__xludf.DUMMYFUNCTION("""COMPUTED_VALUE"""),1.24)</f>
        <v>1.24</v>
      </c>
      <c r="F2926" s="1">
        <f>IFERROR(__xludf.DUMMYFUNCTION("""COMPUTED_VALUE"""),155654.0)</f>
        <v>155654</v>
      </c>
    </row>
    <row r="2927">
      <c r="A2927" s="2">
        <f>IFERROR(__xludf.DUMMYFUNCTION("""COMPUTED_VALUE"""),43411.66666666667)</f>
        <v>43411.66667</v>
      </c>
      <c r="B2927" s="1">
        <f>IFERROR(__xludf.DUMMYFUNCTION("""COMPUTED_VALUE"""),1.25)</f>
        <v>1.25</v>
      </c>
      <c r="C2927" s="1">
        <f>IFERROR(__xludf.DUMMYFUNCTION("""COMPUTED_VALUE"""),1.26)</f>
        <v>1.26</v>
      </c>
      <c r="D2927" s="1">
        <f>IFERROR(__xludf.DUMMYFUNCTION("""COMPUTED_VALUE"""),1.17)</f>
        <v>1.17</v>
      </c>
      <c r="E2927" s="1">
        <f>IFERROR(__xludf.DUMMYFUNCTION("""COMPUTED_VALUE"""),1.21)</f>
        <v>1.21</v>
      </c>
      <c r="F2927" s="1">
        <f>IFERROR(__xludf.DUMMYFUNCTION("""COMPUTED_VALUE"""),283384.0)</f>
        <v>283384</v>
      </c>
    </row>
    <row r="2928">
      <c r="A2928" s="2">
        <f>IFERROR(__xludf.DUMMYFUNCTION("""COMPUTED_VALUE"""),43412.66666666667)</f>
        <v>43412.66667</v>
      </c>
      <c r="B2928" s="1">
        <f>IFERROR(__xludf.DUMMYFUNCTION("""COMPUTED_VALUE"""),1.22)</f>
        <v>1.22</v>
      </c>
      <c r="C2928" s="1">
        <f>IFERROR(__xludf.DUMMYFUNCTION("""COMPUTED_VALUE"""),1.22)</f>
        <v>1.22</v>
      </c>
      <c r="D2928" s="1">
        <f>IFERROR(__xludf.DUMMYFUNCTION("""COMPUTED_VALUE"""),1.12)</f>
        <v>1.12</v>
      </c>
      <c r="E2928" s="1">
        <f>IFERROR(__xludf.DUMMYFUNCTION("""COMPUTED_VALUE"""),1.17)</f>
        <v>1.17</v>
      </c>
      <c r="F2928" s="1">
        <f>IFERROR(__xludf.DUMMYFUNCTION("""COMPUTED_VALUE"""),259495.0)</f>
        <v>259495</v>
      </c>
    </row>
    <row r="2929">
      <c r="A2929" s="2">
        <f>IFERROR(__xludf.DUMMYFUNCTION("""COMPUTED_VALUE"""),43413.66666666667)</f>
        <v>43413.66667</v>
      </c>
      <c r="B2929" s="1">
        <f>IFERROR(__xludf.DUMMYFUNCTION("""COMPUTED_VALUE"""),1.16)</f>
        <v>1.16</v>
      </c>
      <c r="C2929" s="1">
        <f>IFERROR(__xludf.DUMMYFUNCTION("""COMPUTED_VALUE"""),1.22)</f>
        <v>1.22</v>
      </c>
      <c r="D2929" s="1">
        <f>IFERROR(__xludf.DUMMYFUNCTION("""COMPUTED_VALUE"""),1.13)</f>
        <v>1.13</v>
      </c>
      <c r="E2929" s="1">
        <f>IFERROR(__xludf.DUMMYFUNCTION("""COMPUTED_VALUE"""),1.21)</f>
        <v>1.21</v>
      </c>
      <c r="F2929" s="1">
        <f>IFERROR(__xludf.DUMMYFUNCTION("""COMPUTED_VALUE"""),617504.0)</f>
        <v>617504</v>
      </c>
    </row>
    <row r="2930">
      <c r="A2930" s="2">
        <f>IFERROR(__xludf.DUMMYFUNCTION("""COMPUTED_VALUE"""),43416.66666666667)</f>
        <v>43416.66667</v>
      </c>
      <c r="B2930" s="1">
        <f>IFERROR(__xludf.DUMMYFUNCTION("""COMPUTED_VALUE"""),1.22)</f>
        <v>1.22</v>
      </c>
      <c r="C2930" s="1">
        <f>IFERROR(__xludf.DUMMYFUNCTION("""COMPUTED_VALUE"""),1.22)</f>
        <v>1.22</v>
      </c>
      <c r="D2930" s="1">
        <f>IFERROR(__xludf.DUMMYFUNCTION("""COMPUTED_VALUE"""),1.13)</f>
        <v>1.13</v>
      </c>
      <c r="E2930" s="1">
        <f>IFERROR(__xludf.DUMMYFUNCTION("""COMPUTED_VALUE"""),1.18)</f>
        <v>1.18</v>
      </c>
      <c r="F2930" s="1">
        <f>IFERROR(__xludf.DUMMYFUNCTION("""COMPUTED_VALUE"""),205925.0)</f>
        <v>205925</v>
      </c>
    </row>
    <row r="2931">
      <c r="A2931" s="2">
        <f>IFERROR(__xludf.DUMMYFUNCTION("""COMPUTED_VALUE"""),43417.66666666667)</f>
        <v>43417.66667</v>
      </c>
      <c r="B2931" s="1">
        <f>IFERROR(__xludf.DUMMYFUNCTION("""COMPUTED_VALUE"""),1.18)</f>
        <v>1.18</v>
      </c>
      <c r="C2931" s="1">
        <f>IFERROR(__xludf.DUMMYFUNCTION("""COMPUTED_VALUE"""),1.24)</f>
        <v>1.24</v>
      </c>
      <c r="D2931" s="1">
        <f>IFERROR(__xludf.DUMMYFUNCTION("""COMPUTED_VALUE"""),1.16)</f>
        <v>1.16</v>
      </c>
      <c r="E2931" s="1">
        <f>IFERROR(__xludf.DUMMYFUNCTION("""COMPUTED_VALUE"""),1.17)</f>
        <v>1.17</v>
      </c>
      <c r="F2931" s="1">
        <f>IFERROR(__xludf.DUMMYFUNCTION("""COMPUTED_VALUE"""),213069.0)</f>
        <v>213069</v>
      </c>
    </row>
    <row r="2932">
      <c r="A2932" s="2">
        <f>IFERROR(__xludf.DUMMYFUNCTION("""COMPUTED_VALUE"""),43418.66666666667)</f>
        <v>43418.66667</v>
      </c>
      <c r="B2932" s="1">
        <f>IFERROR(__xludf.DUMMYFUNCTION("""COMPUTED_VALUE"""),1.16)</f>
        <v>1.16</v>
      </c>
      <c r="C2932" s="1">
        <f>IFERROR(__xludf.DUMMYFUNCTION("""COMPUTED_VALUE"""),1.22)</f>
        <v>1.22</v>
      </c>
      <c r="D2932" s="1">
        <f>IFERROR(__xludf.DUMMYFUNCTION("""COMPUTED_VALUE"""),1.16)</f>
        <v>1.16</v>
      </c>
      <c r="E2932" s="1">
        <f>IFERROR(__xludf.DUMMYFUNCTION("""COMPUTED_VALUE"""),1.21)</f>
        <v>1.21</v>
      </c>
      <c r="F2932" s="1">
        <f>IFERROR(__xludf.DUMMYFUNCTION("""COMPUTED_VALUE"""),403693.0)</f>
        <v>403693</v>
      </c>
    </row>
    <row r="2933">
      <c r="A2933" s="2">
        <f>IFERROR(__xludf.DUMMYFUNCTION("""COMPUTED_VALUE"""),43419.66666666667)</f>
        <v>43419.66667</v>
      </c>
      <c r="B2933" s="1">
        <f>IFERROR(__xludf.DUMMYFUNCTION("""COMPUTED_VALUE"""),1.21)</f>
        <v>1.21</v>
      </c>
      <c r="C2933" s="1">
        <f>IFERROR(__xludf.DUMMYFUNCTION("""COMPUTED_VALUE"""),1.27)</f>
        <v>1.27</v>
      </c>
      <c r="D2933" s="1">
        <f>IFERROR(__xludf.DUMMYFUNCTION("""COMPUTED_VALUE"""),1.2)</f>
        <v>1.2</v>
      </c>
      <c r="E2933" s="1">
        <f>IFERROR(__xludf.DUMMYFUNCTION("""COMPUTED_VALUE"""),1.24)</f>
        <v>1.24</v>
      </c>
      <c r="F2933" s="1">
        <f>IFERROR(__xludf.DUMMYFUNCTION("""COMPUTED_VALUE"""),417372.0)</f>
        <v>417372</v>
      </c>
    </row>
    <row r="2934">
      <c r="A2934" s="2">
        <f>IFERROR(__xludf.DUMMYFUNCTION("""COMPUTED_VALUE"""),43420.66666666667)</f>
        <v>43420.66667</v>
      </c>
      <c r="B2934" s="1">
        <f>IFERROR(__xludf.DUMMYFUNCTION("""COMPUTED_VALUE"""),1.36)</f>
        <v>1.36</v>
      </c>
      <c r="C2934" s="1">
        <f>IFERROR(__xludf.DUMMYFUNCTION("""COMPUTED_VALUE"""),1.49)</f>
        <v>1.49</v>
      </c>
      <c r="D2934" s="1">
        <f>IFERROR(__xludf.DUMMYFUNCTION("""COMPUTED_VALUE"""),1.35)</f>
        <v>1.35</v>
      </c>
      <c r="E2934" s="1">
        <f>IFERROR(__xludf.DUMMYFUNCTION("""COMPUTED_VALUE"""),1.43)</f>
        <v>1.43</v>
      </c>
      <c r="F2934" s="1">
        <f>IFERROR(__xludf.DUMMYFUNCTION("""COMPUTED_VALUE"""),2609537.0)</f>
        <v>2609537</v>
      </c>
    </row>
    <row r="2935">
      <c r="A2935" s="2">
        <f>IFERROR(__xludf.DUMMYFUNCTION("""COMPUTED_VALUE"""),43423.66666666667)</f>
        <v>43423.66667</v>
      </c>
      <c r="B2935" s="1">
        <f>IFERROR(__xludf.DUMMYFUNCTION("""COMPUTED_VALUE"""),1.43)</f>
        <v>1.43</v>
      </c>
      <c r="C2935" s="1">
        <f>IFERROR(__xludf.DUMMYFUNCTION("""COMPUTED_VALUE"""),1.44)</f>
        <v>1.44</v>
      </c>
      <c r="D2935" s="1">
        <f>IFERROR(__xludf.DUMMYFUNCTION("""COMPUTED_VALUE"""),1.36)</f>
        <v>1.36</v>
      </c>
      <c r="E2935" s="1">
        <f>IFERROR(__xludf.DUMMYFUNCTION("""COMPUTED_VALUE"""),1.38)</f>
        <v>1.38</v>
      </c>
      <c r="F2935" s="1">
        <f>IFERROR(__xludf.DUMMYFUNCTION("""COMPUTED_VALUE"""),473890.0)</f>
        <v>473890</v>
      </c>
    </row>
    <row r="2936">
      <c r="A2936" s="2">
        <f>IFERROR(__xludf.DUMMYFUNCTION("""COMPUTED_VALUE"""),43424.66666666667)</f>
        <v>43424.66667</v>
      </c>
      <c r="B2936" s="1">
        <f>IFERROR(__xludf.DUMMYFUNCTION("""COMPUTED_VALUE"""),1.37)</f>
        <v>1.37</v>
      </c>
      <c r="C2936" s="1">
        <f>IFERROR(__xludf.DUMMYFUNCTION("""COMPUTED_VALUE"""),1.37)</f>
        <v>1.37</v>
      </c>
      <c r="D2936" s="1">
        <f>IFERROR(__xludf.DUMMYFUNCTION("""COMPUTED_VALUE"""),1.33)</f>
        <v>1.33</v>
      </c>
      <c r="E2936" s="1">
        <f>IFERROR(__xludf.DUMMYFUNCTION("""COMPUTED_VALUE"""),1.34)</f>
        <v>1.34</v>
      </c>
      <c r="F2936" s="1">
        <f>IFERROR(__xludf.DUMMYFUNCTION("""COMPUTED_VALUE"""),177439.0)</f>
        <v>177439</v>
      </c>
    </row>
    <row r="2937">
      <c r="A2937" s="2">
        <f>IFERROR(__xludf.DUMMYFUNCTION("""COMPUTED_VALUE"""),43425.66666666667)</f>
        <v>43425.66667</v>
      </c>
      <c r="B2937" s="1">
        <f>IFERROR(__xludf.DUMMYFUNCTION("""COMPUTED_VALUE"""),1.34)</f>
        <v>1.34</v>
      </c>
      <c r="C2937" s="1">
        <f>IFERROR(__xludf.DUMMYFUNCTION("""COMPUTED_VALUE"""),1.36)</f>
        <v>1.36</v>
      </c>
      <c r="D2937" s="1">
        <f>IFERROR(__xludf.DUMMYFUNCTION("""COMPUTED_VALUE"""),1.34)</f>
        <v>1.34</v>
      </c>
      <c r="E2937" s="1">
        <f>IFERROR(__xludf.DUMMYFUNCTION("""COMPUTED_VALUE"""),1.35)</f>
        <v>1.35</v>
      </c>
      <c r="F2937" s="1">
        <f>IFERROR(__xludf.DUMMYFUNCTION("""COMPUTED_VALUE"""),261532.0)</f>
        <v>261532</v>
      </c>
    </row>
    <row r="2938">
      <c r="A2938" s="2">
        <f>IFERROR(__xludf.DUMMYFUNCTION("""COMPUTED_VALUE"""),43427.54166666667)</f>
        <v>43427.54167</v>
      </c>
      <c r="B2938" s="1">
        <f>IFERROR(__xludf.DUMMYFUNCTION("""COMPUTED_VALUE"""),1.34)</f>
        <v>1.34</v>
      </c>
      <c r="C2938" s="1">
        <f>IFERROR(__xludf.DUMMYFUNCTION("""COMPUTED_VALUE"""),1.41)</f>
        <v>1.41</v>
      </c>
      <c r="D2938" s="1">
        <f>IFERROR(__xludf.DUMMYFUNCTION("""COMPUTED_VALUE"""),1.34)</f>
        <v>1.34</v>
      </c>
      <c r="E2938" s="1">
        <f>IFERROR(__xludf.DUMMYFUNCTION("""COMPUTED_VALUE"""),1.4)</f>
        <v>1.4</v>
      </c>
      <c r="F2938" s="1">
        <f>IFERROR(__xludf.DUMMYFUNCTION("""COMPUTED_VALUE"""),27422.0)</f>
        <v>27422</v>
      </c>
    </row>
    <row r="2939">
      <c r="A2939" s="2">
        <f>IFERROR(__xludf.DUMMYFUNCTION("""COMPUTED_VALUE"""),43430.66666666667)</f>
        <v>43430.66667</v>
      </c>
      <c r="B2939" s="1">
        <f>IFERROR(__xludf.DUMMYFUNCTION("""COMPUTED_VALUE"""),1.39)</f>
        <v>1.39</v>
      </c>
      <c r="C2939" s="1">
        <f>IFERROR(__xludf.DUMMYFUNCTION("""COMPUTED_VALUE"""),1.4)</f>
        <v>1.4</v>
      </c>
      <c r="D2939" s="1">
        <f>IFERROR(__xludf.DUMMYFUNCTION("""COMPUTED_VALUE"""),1.34)</f>
        <v>1.34</v>
      </c>
      <c r="E2939" s="1">
        <f>IFERROR(__xludf.DUMMYFUNCTION("""COMPUTED_VALUE"""),1.35)</f>
        <v>1.35</v>
      </c>
      <c r="F2939" s="1">
        <f>IFERROR(__xludf.DUMMYFUNCTION("""COMPUTED_VALUE"""),179190.0)</f>
        <v>179190</v>
      </c>
    </row>
    <row r="2940">
      <c r="A2940" s="2">
        <f>IFERROR(__xludf.DUMMYFUNCTION("""COMPUTED_VALUE"""),43431.66666666667)</f>
        <v>43431.66667</v>
      </c>
      <c r="B2940" s="1">
        <f>IFERROR(__xludf.DUMMYFUNCTION("""COMPUTED_VALUE"""),1.35)</f>
        <v>1.35</v>
      </c>
      <c r="C2940" s="1">
        <f>IFERROR(__xludf.DUMMYFUNCTION("""COMPUTED_VALUE"""),1.39)</f>
        <v>1.39</v>
      </c>
      <c r="D2940" s="1">
        <f>IFERROR(__xludf.DUMMYFUNCTION("""COMPUTED_VALUE"""),1.34)</f>
        <v>1.34</v>
      </c>
      <c r="E2940" s="1">
        <f>IFERROR(__xludf.DUMMYFUNCTION("""COMPUTED_VALUE"""),1.39)</f>
        <v>1.39</v>
      </c>
      <c r="F2940" s="1">
        <f>IFERROR(__xludf.DUMMYFUNCTION("""COMPUTED_VALUE"""),133591.0)</f>
        <v>133591</v>
      </c>
    </row>
    <row r="2941">
      <c r="A2941" s="2">
        <f>IFERROR(__xludf.DUMMYFUNCTION("""COMPUTED_VALUE"""),43432.66666666667)</f>
        <v>43432.66667</v>
      </c>
      <c r="B2941" s="1">
        <f>IFERROR(__xludf.DUMMYFUNCTION("""COMPUTED_VALUE"""),1.39)</f>
        <v>1.39</v>
      </c>
      <c r="C2941" s="1">
        <f>IFERROR(__xludf.DUMMYFUNCTION("""COMPUTED_VALUE"""),1.42)</f>
        <v>1.42</v>
      </c>
      <c r="D2941" s="1">
        <f>IFERROR(__xludf.DUMMYFUNCTION("""COMPUTED_VALUE"""),1.36)</f>
        <v>1.36</v>
      </c>
      <c r="E2941" s="1">
        <f>IFERROR(__xludf.DUMMYFUNCTION("""COMPUTED_VALUE"""),1.41)</f>
        <v>1.41</v>
      </c>
      <c r="F2941" s="1">
        <f>IFERROR(__xludf.DUMMYFUNCTION("""COMPUTED_VALUE"""),336343.0)</f>
        <v>336343</v>
      </c>
    </row>
    <row r="2942">
      <c r="A2942" s="2">
        <f>IFERROR(__xludf.DUMMYFUNCTION("""COMPUTED_VALUE"""),43433.66666666667)</f>
        <v>43433.66667</v>
      </c>
      <c r="B2942" s="1">
        <f>IFERROR(__xludf.DUMMYFUNCTION("""COMPUTED_VALUE"""),1.42)</f>
        <v>1.42</v>
      </c>
      <c r="C2942" s="1">
        <f>IFERROR(__xludf.DUMMYFUNCTION("""COMPUTED_VALUE"""),1.45)</f>
        <v>1.45</v>
      </c>
      <c r="D2942" s="1">
        <f>IFERROR(__xludf.DUMMYFUNCTION("""COMPUTED_VALUE"""),1.4)</f>
        <v>1.4</v>
      </c>
      <c r="E2942" s="1">
        <f>IFERROR(__xludf.DUMMYFUNCTION("""COMPUTED_VALUE"""),1.45)</f>
        <v>1.45</v>
      </c>
      <c r="F2942" s="1">
        <f>IFERROR(__xludf.DUMMYFUNCTION("""COMPUTED_VALUE"""),129368.0)</f>
        <v>129368</v>
      </c>
    </row>
    <row r="2943">
      <c r="A2943" s="2">
        <f>IFERROR(__xludf.DUMMYFUNCTION("""COMPUTED_VALUE"""),43434.66666666667)</f>
        <v>43434.66667</v>
      </c>
      <c r="B2943" s="1">
        <f>IFERROR(__xludf.DUMMYFUNCTION("""COMPUTED_VALUE"""),1.45)</f>
        <v>1.45</v>
      </c>
      <c r="C2943" s="1">
        <f>IFERROR(__xludf.DUMMYFUNCTION("""COMPUTED_VALUE"""),1.5)</f>
        <v>1.5</v>
      </c>
      <c r="D2943" s="1">
        <f>IFERROR(__xludf.DUMMYFUNCTION("""COMPUTED_VALUE"""),1.45)</f>
        <v>1.45</v>
      </c>
      <c r="E2943" s="1">
        <f>IFERROR(__xludf.DUMMYFUNCTION("""COMPUTED_VALUE"""),1.49)</f>
        <v>1.49</v>
      </c>
      <c r="F2943" s="1">
        <f>IFERROR(__xludf.DUMMYFUNCTION("""COMPUTED_VALUE"""),229825.0)</f>
        <v>229825</v>
      </c>
    </row>
    <row r="2944">
      <c r="A2944" s="2">
        <f>IFERROR(__xludf.DUMMYFUNCTION("""COMPUTED_VALUE"""),43437.66666666667)</f>
        <v>43437.66667</v>
      </c>
      <c r="B2944" s="1">
        <f>IFERROR(__xludf.DUMMYFUNCTION("""COMPUTED_VALUE"""),1.48)</f>
        <v>1.48</v>
      </c>
      <c r="C2944" s="1">
        <f>IFERROR(__xludf.DUMMYFUNCTION("""COMPUTED_VALUE"""),1.5)</f>
        <v>1.5</v>
      </c>
      <c r="D2944" s="1">
        <f>IFERROR(__xludf.DUMMYFUNCTION("""COMPUTED_VALUE"""),1.48)</f>
        <v>1.48</v>
      </c>
      <c r="E2944" s="1">
        <f>IFERROR(__xludf.DUMMYFUNCTION("""COMPUTED_VALUE"""),1.5)</f>
        <v>1.5</v>
      </c>
      <c r="F2944" s="1">
        <f>IFERROR(__xludf.DUMMYFUNCTION("""COMPUTED_VALUE"""),343911.0)</f>
        <v>343911</v>
      </c>
    </row>
    <row r="2945">
      <c r="A2945" s="2">
        <f>IFERROR(__xludf.DUMMYFUNCTION("""COMPUTED_VALUE"""),43438.66666666667)</f>
        <v>43438.66667</v>
      </c>
      <c r="B2945" s="1">
        <f>IFERROR(__xludf.DUMMYFUNCTION("""COMPUTED_VALUE"""),1.5)</f>
        <v>1.5</v>
      </c>
      <c r="C2945" s="1">
        <f>IFERROR(__xludf.DUMMYFUNCTION("""COMPUTED_VALUE"""),1.51)</f>
        <v>1.51</v>
      </c>
      <c r="D2945" s="1">
        <f>IFERROR(__xludf.DUMMYFUNCTION("""COMPUTED_VALUE"""),1.45)</f>
        <v>1.45</v>
      </c>
      <c r="E2945" s="1">
        <f>IFERROR(__xludf.DUMMYFUNCTION("""COMPUTED_VALUE"""),1.48)</f>
        <v>1.48</v>
      </c>
      <c r="F2945" s="1">
        <f>IFERROR(__xludf.DUMMYFUNCTION("""COMPUTED_VALUE"""),160990.0)</f>
        <v>160990</v>
      </c>
    </row>
    <row r="2946">
      <c r="A2946" s="2">
        <f>IFERROR(__xludf.DUMMYFUNCTION("""COMPUTED_VALUE"""),43440.66666666667)</f>
        <v>43440.66667</v>
      </c>
      <c r="B2946" s="1">
        <f>IFERROR(__xludf.DUMMYFUNCTION("""COMPUTED_VALUE"""),1.46)</f>
        <v>1.46</v>
      </c>
      <c r="C2946" s="1">
        <f>IFERROR(__xludf.DUMMYFUNCTION("""COMPUTED_VALUE"""),1.64)</f>
        <v>1.64</v>
      </c>
      <c r="D2946" s="1">
        <f>IFERROR(__xludf.DUMMYFUNCTION("""COMPUTED_VALUE"""),1.45)</f>
        <v>1.45</v>
      </c>
      <c r="E2946" s="1">
        <f>IFERROR(__xludf.DUMMYFUNCTION("""COMPUTED_VALUE"""),1.59)</f>
        <v>1.59</v>
      </c>
      <c r="F2946" s="1">
        <f>IFERROR(__xludf.DUMMYFUNCTION("""COMPUTED_VALUE"""),521181.0)</f>
        <v>521181</v>
      </c>
    </row>
    <row r="2947">
      <c r="A2947" s="2">
        <f>IFERROR(__xludf.DUMMYFUNCTION("""COMPUTED_VALUE"""),43441.66666666667)</f>
        <v>43441.66667</v>
      </c>
      <c r="B2947" s="1">
        <f>IFERROR(__xludf.DUMMYFUNCTION("""COMPUTED_VALUE"""),1.59)</f>
        <v>1.59</v>
      </c>
      <c r="C2947" s="1">
        <f>IFERROR(__xludf.DUMMYFUNCTION("""COMPUTED_VALUE"""),1.65)</f>
        <v>1.65</v>
      </c>
      <c r="D2947" s="1">
        <f>IFERROR(__xludf.DUMMYFUNCTION("""COMPUTED_VALUE"""),1.58)</f>
        <v>1.58</v>
      </c>
      <c r="E2947" s="1">
        <f>IFERROR(__xludf.DUMMYFUNCTION("""COMPUTED_VALUE"""),1.63)</f>
        <v>1.63</v>
      </c>
      <c r="F2947" s="1">
        <f>IFERROR(__xludf.DUMMYFUNCTION("""COMPUTED_VALUE"""),464225.0)</f>
        <v>464225</v>
      </c>
    </row>
    <row r="2948">
      <c r="A2948" s="2">
        <f>IFERROR(__xludf.DUMMYFUNCTION("""COMPUTED_VALUE"""),43444.66666666667)</f>
        <v>43444.66667</v>
      </c>
      <c r="B2948" s="1">
        <f>IFERROR(__xludf.DUMMYFUNCTION("""COMPUTED_VALUE"""),1.62)</f>
        <v>1.62</v>
      </c>
      <c r="C2948" s="1">
        <f>IFERROR(__xludf.DUMMYFUNCTION("""COMPUTED_VALUE"""),1.66)</f>
        <v>1.66</v>
      </c>
      <c r="D2948" s="1">
        <f>IFERROR(__xludf.DUMMYFUNCTION("""COMPUTED_VALUE"""),1.55)</f>
        <v>1.55</v>
      </c>
      <c r="E2948" s="1">
        <f>IFERROR(__xludf.DUMMYFUNCTION("""COMPUTED_VALUE"""),1.64)</f>
        <v>1.64</v>
      </c>
      <c r="F2948" s="1">
        <f>IFERROR(__xludf.DUMMYFUNCTION("""COMPUTED_VALUE"""),268318.0)</f>
        <v>268318</v>
      </c>
    </row>
    <row r="2949">
      <c r="A2949" s="2">
        <f>IFERROR(__xludf.DUMMYFUNCTION("""COMPUTED_VALUE"""),43445.66666666667)</f>
        <v>43445.66667</v>
      </c>
      <c r="B2949" s="1">
        <f>IFERROR(__xludf.DUMMYFUNCTION("""COMPUTED_VALUE"""),1.65)</f>
        <v>1.65</v>
      </c>
      <c r="C2949" s="1">
        <f>IFERROR(__xludf.DUMMYFUNCTION("""COMPUTED_VALUE"""),1.66)</f>
        <v>1.66</v>
      </c>
      <c r="D2949" s="1">
        <f>IFERROR(__xludf.DUMMYFUNCTION("""COMPUTED_VALUE"""),1.61)</f>
        <v>1.61</v>
      </c>
      <c r="E2949" s="1">
        <f>IFERROR(__xludf.DUMMYFUNCTION("""COMPUTED_VALUE"""),1.65)</f>
        <v>1.65</v>
      </c>
      <c r="F2949" s="1">
        <f>IFERROR(__xludf.DUMMYFUNCTION("""COMPUTED_VALUE"""),364065.0)</f>
        <v>364065</v>
      </c>
    </row>
    <row r="2950">
      <c r="A2950" s="2">
        <f>IFERROR(__xludf.DUMMYFUNCTION("""COMPUTED_VALUE"""),43446.66666666667)</f>
        <v>43446.66667</v>
      </c>
      <c r="B2950" s="1">
        <f>IFERROR(__xludf.DUMMYFUNCTION("""COMPUTED_VALUE"""),1.63)</f>
        <v>1.63</v>
      </c>
      <c r="C2950" s="1">
        <f>IFERROR(__xludf.DUMMYFUNCTION("""COMPUTED_VALUE"""),1.65)</f>
        <v>1.65</v>
      </c>
      <c r="D2950" s="1">
        <f>IFERROR(__xludf.DUMMYFUNCTION("""COMPUTED_VALUE"""),1.57)</f>
        <v>1.57</v>
      </c>
      <c r="E2950" s="1">
        <f>IFERROR(__xludf.DUMMYFUNCTION("""COMPUTED_VALUE"""),1.6)</f>
        <v>1.6</v>
      </c>
      <c r="F2950" s="1">
        <f>IFERROR(__xludf.DUMMYFUNCTION("""COMPUTED_VALUE"""),247082.0)</f>
        <v>247082</v>
      </c>
    </row>
    <row r="2951">
      <c r="A2951" s="2">
        <f>IFERROR(__xludf.DUMMYFUNCTION("""COMPUTED_VALUE"""),43447.66666666667)</f>
        <v>43447.66667</v>
      </c>
      <c r="B2951" s="1">
        <f>IFERROR(__xludf.DUMMYFUNCTION("""COMPUTED_VALUE"""),1.58)</f>
        <v>1.58</v>
      </c>
      <c r="C2951" s="1">
        <f>IFERROR(__xludf.DUMMYFUNCTION("""COMPUTED_VALUE"""),1.64)</f>
        <v>1.64</v>
      </c>
      <c r="D2951" s="1">
        <f>IFERROR(__xludf.DUMMYFUNCTION("""COMPUTED_VALUE"""),1.58)</f>
        <v>1.58</v>
      </c>
      <c r="E2951" s="1">
        <f>IFERROR(__xludf.DUMMYFUNCTION("""COMPUTED_VALUE"""),1.63)</f>
        <v>1.63</v>
      </c>
      <c r="F2951" s="1">
        <f>IFERROR(__xludf.DUMMYFUNCTION("""COMPUTED_VALUE"""),80282.0)</f>
        <v>80282</v>
      </c>
    </row>
    <row r="2952">
      <c r="A2952" s="2">
        <f>IFERROR(__xludf.DUMMYFUNCTION("""COMPUTED_VALUE"""),43448.66666666667)</f>
        <v>43448.66667</v>
      </c>
      <c r="B2952" s="1">
        <f>IFERROR(__xludf.DUMMYFUNCTION("""COMPUTED_VALUE"""),1.63)</f>
        <v>1.63</v>
      </c>
      <c r="C2952" s="1">
        <f>IFERROR(__xludf.DUMMYFUNCTION("""COMPUTED_VALUE"""),1.67)</f>
        <v>1.67</v>
      </c>
      <c r="D2952" s="1">
        <f>IFERROR(__xludf.DUMMYFUNCTION("""COMPUTED_VALUE"""),1.62)</f>
        <v>1.62</v>
      </c>
      <c r="E2952" s="1">
        <f>IFERROR(__xludf.DUMMYFUNCTION("""COMPUTED_VALUE"""),1.67)</f>
        <v>1.67</v>
      </c>
      <c r="F2952" s="1">
        <f>IFERROR(__xludf.DUMMYFUNCTION("""COMPUTED_VALUE"""),313669.0)</f>
        <v>313669</v>
      </c>
    </row>
    <row r="2953">
      <c r="A2953" s="2">
        <f>IFERROR(__xludf.DUMMYFUNCTION("""COMPUTED_VALUE"""),43451.66666666667)</f>
        <v>43451.66667</v>
      </c>
      <c r="B2953" s="1">
        <f>IFERROR(__xludf.DUMMYFUNCTION("""COMPUTED_VALUE"""),1.66)</f>
        <v>1.66</v>
      </c>
      <c r="C2953" s="1">
        <f>IFERROR(__xludf.DUMMYFUNCTION("""COMPUTED_VALUE"""),1.7)</f>
        <v>1.7</v>
      </c>
      <c r="D2953" s="1">
        <f>IFERROR(__xludf.DUMMYFUNCTION("""COMPUTED_VALUE"""),1.48)</f>
        <v>1.48</v>
      </c>
      <c r="E2953" s="1">
        <f>IFERROR(__xludf.DUMMYFUNCTION("""COMPUTED_VALUE"""),1.54)</f>
        <v>1.54</v>
      </c>
      <c r="F2953" s="1">
        <f>IFERROR(__xludf.DUMMYFUNCTION("""COMPUTED_VALUE"""),301244.0)</f>
        <v>301244</v>
      </c>
    </row>
    <row r="2954">
      <c r="A2954" s="2">
        <f>IFERROR(__xludf.DUMMYFUNCTION("""COMPUTED_VALUE"""),43452.66666666667)</f>
        <v>43452.66667</v>
      </c>
      <c r="B2954" s="1">
        <f>IFERROR(__xludf.DUMMYFUNCTION("""COMPUTED_VALUE"""),1.53)</f>
        <v>1.53</v>
      </c>
      <c r="C2954" s="1">
        <f>IFERROR(__xludf.DUMMYFUNCTION("""COMPUTED_VALUE"""),1.55)</f>
        <v>1.55</v>
      </c>
      <c r="D2954" s="1">
        <f>IFERROR(__xludf.DUMMYFUNCTION("""COMPUTED_VALUE"""),1.5)</f>
        <v>1.5</v>
      </c>
      <c r="E2954" s="1">
        <f>IFERROR(__xludf.DUMMYFUNCTION("""COMPUTED_VALUE"""),1.51)</f>
        <v>1.51</v>
      </c>
      <c r="F2954" s="1">
        <f>IFERROR(__xludf.DUMMYFUNCTION("""COMPUTED_VALUE"""),144109.0)</f>
        <v>144109</v>
      </c>
    </row>
    <row r="2955">
      <c r="A2955" s="2">
        <f>IFERROR(__xludf.DUMMYFUNCTION("""COMPUTED_VALUE"""),43453.66666666667)</f>
        <v>43453.66667</v>
      </c>
      <c r="B2955" s="1">
        <f>IFERROR(__xludf.DUMMYFUNCTION("""COMPUTED_VALUE"""),1.52)</f>
        <v>1.52</v>
      </c>
      <c r="C2955" s="1">
        <f>IFERROR(__xludf.DUMMYFUNCTION("""COMPUTED_VALUE"""),1.52)</f>
        <v>1.52</v>
      </c>
      <c r="D2955" s="1">
        <f>IFERROR(__xludf.DUMMYFUNCTION("""COMPUTED_VALUE"""),1.47)</f>
        <v>1.47</v>
      </c>
      <c r="E2955" s="1">
        <f>IFERROR(__xludf.DUMMYFUNCTION("""COMPUTED_VALUE"""),1.49)</f>
        <v>1.49</v>
      </c>
      <c r="F2955" s="1">
        <f>IFERROR(__xludf.DUMMYFUNCTION("""COMPUTED_VALUE"""),364566.0)</f>
        <v>364566</v>
      </c>
    </row>
    <row r="2956">
      <c r="A2956" s="2">
        <f>IFERROR(__xludf.DUMMYFUNCTION("""COMPUTED_VALUE"""),43454.66666666667)</f>
        <v>43454.66667</v>
      </c>
      <c r="B2956" s="1">
        <f>IFERROR(__xludf.DUMMYFUNCTION("""COMPUTED_VALUE"""),1.47)</f>
        <v>1.47</v>
      </c>
      <c r="C2956" s="1">
        <f>IFERROR(__xludf.DUMMYFUNCTION("""COMPUTED_VALUE"""),1.49)</f>
        <v>1.49</v>
      </c>
      <c r="D2956" s="1">
        <f>IFERROR(__xludf.DUMMYFUNCTION("""COMPUTED_VALUE"""),1.43)</f>
        <v>1.43</v>
      </c>
      <c r="E2956" s="1">
        <f>IFERROR(__xludf.DUMMYFUNCTION("""COMPUTED_VALUE"""),1.49)</f>
        <v>1.49</v>
      </c>
      <c r="F2956" s="1">
        <f>IFERROR(__xludf.DUMMYFUNCTION("""COMPUTED_VALUE"""),233402.0)</f>
        <v>233402</v>
      </c>
    </row>
    <row r="2957">
      <c r="A2957" s="2">
        <f>IFERROR(__xludf.DUMMYFUNCTION("""COMPUTED_VALUE"""),43455.66666666667)</f>
        <v>43455.66667</v>
      </c>
      <c r="B2957" s="1">
        <f>IFERROR(__xludf.DUMMYFUNCTION("""COMPUTED_VALUE"""),1.48)</f>
        <v>1.48</v>
      </c>
      <c r="C2957" s="1">
        <f>IFERROR(__xludf.DUMMYFUNCTION("""COMPUTED_VALUE"""),1.54)</f>
        <v>1.54</v>
      </c>
      <c r="D2957" s="1">
        <f>IFERROR(__xludf.DUMMYFUNCTION("""COMPUTED_VALUE"""),1.38)</f>
        <v>1.38</v>
      </c>
      <c r="E2957" s="1">
        <f>IFERROR(__xludf.DUMMYFUNCTION("""COMPUTED_VALUE"""),1.4)</f>
        <v>1.4</v>
      </c>
      <c r="F2957" s="1">
        <f>IFERROR(__xludf.DUMMYFUNCTION("""COMPUTED_VALUE"""),420652.0)</f>
        <v>420652</v>
      </c>
    </row>
    <row r="2958">
      <c r="A2958" s="2">
        <f>IFERROR(__xludf.DUMMYFUNCTION("""COMPUTED_VALUE"""),43458.54166666667)</f>
        <v>43458.54167</v>
      </c>
      <c r="B2958" s="1">
        <f>IFERROR(__xludf.DUMMYFUNCTION("""COMPUTED_VALUE"""),1.4)</f>
        <v>1.4</v>
      </c>
      <c r="C2958" s="1">
        <f>IFERROR(__xludf.DUMMYFUNCTION("""COMPUTED_VALUE"""),1.42)</f>
        <v>1.42</v>
      </c>
      <c r="D2958" s="1">
        <f>IFERROR(__xludf.DUMMYFUNCTION("""COMPUTED_VALUE"""),1.37)</f>
        <v>1.37</v>
      </c>
      <c r="E2958" s="1">
        <f>IFERROR(__xludf.DUMMYFUNCTION("""COMPUTED_VALUE"""),1.41)</f>
        <v>1.41</v>
      </c>
      <c r="F2958" s="1">
        <f>IFERROR(__xludf.DUMMYFUNCTION("""COMPUTED_VALUE"""),165946.0)</f>
        <v>165946</v>
      </c>
    </row>
    <row r="2959">
      <c r="A2959" s="2">
        <f>IFERROR(__xludf.DUMMYFUNCTION("""COMPUTED_VALUE"""),43460.66666666667)</f>
        <v>43460.66667</v>
      </c>
      <c r="B2959" s="1">
        <f>IFERROR(__xludf.DUMMYFUNCTION("""COMPUTED_VALUE"""),1.42)</f>
        <v>1.42</v>
      </c>
      <c r="C2959" s="1">
        <f>IFERROR(__xludf.DUMMYFUNCTION("""COMPUTED_VALUE"""),1.42)</f>
        <v>1.42</v>
      </c>
      <c r="D2959" s="1">
        <f>IFERROR(__xludf.DUMMYFUNCTION("""COMPUTED_VALUE"""),1.39)</f>
        <v>1.39</v>
      </c>
      <c r="E2959" s="1">
        <f>IFERROR(__xludf.DUMMYFUNCTION("""COMPUTED_VALUE"""),1.41)</f>
        <v>1.41</v>
      </c>
      <c r="F2959" s="1">
        <f>IFERROR(__xludf.DUMMYFUNCTION("""COMPUTED_VALUE"""),187235.0)</f>
        <v>187235</v>
      </c>
    </row>
    <row r="2960">
      <c r="A2960" s="2">
        <f>IFERROR(__xludf.DUMMYFUNCTION("""COMPUTED_VALUE"""),43461.66666666667)</f>
        <v>43461.66667</v>
      </c>
      <c r="B2960" s="1">
        <f>IFERROR(__xludf.DUMMYFUNCTION("""COMPUTED_VALUE"""),1.41)</f>
        <v>1.41</v>
      </c>
      <c r="C2960" s="1">
        <f>IFERROR(__xludf.DUMMYFUNCTION("""COMPUTED_VALUE"""),1.42)</f>
        <v>1.42</v>
      </c>
      <c r="D2960" s="1">
        <f>IFERROR(__xludf.DUMMYFUNCTION("""COMPUTED_VALUE"""),1.39)</f>
        <v>1.39</v>
      </c>
      <c r="E2960" s="1">
        <f>IFERROR(__xludf.DUMMYFUNCTION("""COMPUTED_VALUE"""),1.4)</f>
        <v>1.4</v>
      </c>
      <c r="F2960" s="1">
        <f>IFERROR(__xludf.DUMMYFUNCTION("""COMPUTED_VALUE"""),109163.0)</f>
        <v>109163</v>
      </c>
    </row>
    <row r="2961">
      <c r="A2961" s="2">
        <f>IFERROR(__xludf.DUMMYFUNCTION("""COMPUTED_VALUE"""),43462.66666666667)</f>
        <v>43462.66667</v>
      </c>
      <c r="B2961" s="1">
        <f>IFERROR(__xludf.DUMMYFUNCTION("""COMPUTED_VALUE"""),1.4)</f>
        <v>1.4</v>
      </c>
      <c r="C2961" s="1">
        <f>IFERROR(__xludf.DUMMYFUNCTION("""COMPUTED_VALUE"""),1.42)</f>
        <v>1.42</v>
      </c>
      <c r="D2961" s="1">
        <f>IFERROR(__xludf.DUMMYFUNCTION("""COMPUTED_VALUE"""),1.39)</f>
        <v>1.39</v>
      </c>
      <c r="E2961" s="1">
        <f>IFERROR(__xludf.DUMMYFUNCTION("""COMPUTED_VALUE"""),1.39)</f>
        <v>1.39</v>
      </c>
      <c r="F2961" s="1">
        <f>IFERROR(__xludf.DUMMYFUNCTION("""COMPUTED_VALUE"""),358004.0)</f>
        <v>358004</v>
      </c>
    </row>
    <row r="2962">
      <c r="A2962" s="2">
        <f>IFERROR(__xludf.DUMMYFUNCTION("""COMPUTED_VALUE"""),43465.66666666667)</f>
        <v>43465.66667</v>
      </c>
      <c r="B2962" s="1">
        <f>IFERROR(__xludf.DUMMYFUNCTION("""COMPUTED_VALUE"""),1.39)</f>
        <v>1.39</v>
      </c>
      <c r="C2962" s="1">
        <f>IFERROR(__xludf.DUMMYFUNCTION("""COMPUTED_VALUE"""),1.41)</f>
        <v>1.41</v>
      </c>
      <c r="D2962" s="1">
        <f>IFERROR(__xludf.DUMMYFUNCTION("""COMPUTED_VALUE"""),1.35)</f>
        <v>1.35</v>
      </c>
      <c r="E2962" s="1">
        <f>IFERROR(__xludf.DUMMYFUNCTION("""COMPUTED_VALUE"""),1.38)</f>
        <v>1.38</v>
      </c>
      <c r="F2962" s="1">
        <f>IFERROR(__xludf.DUMMYFUNCTION("""COMPUTED_VALUE"""),434187.0)</f>
        <v>434187</v>
      </c>
    </row>
    <row r="2963">
      <c r="A2963" s="2">
        <f>IFERROR(__xludf.DUMMYFUNCTION("""COMPUTED_VALUE"""),43467.66666666667)</f>
        <v>43467.66667</v>
      </c>
      <c r="B2963" s="1">
        <f>IFERROR(__xludf.DUMMYFUNCTION("""COMPUTED_VALUE"""),1.38)</f>
        <v>1.38</v>
      </c>
      <c r="C2963" s="1">
        <f>IFERROR(__xludf.DUMMYFUNCTION("""COMPUTED_VALUE"""),1.52)</f>
        <v>1.52</v>
      </c>
      <c r="D2963" s="1">
        <f>IFERROR(__xludf.DUMMYFUNCTION("""COMPUTED_VALUE"""),1.38)</f>
        <v>1.38</v>
      </c>
      <c r="E2963" s="1">
        <f>IFERROR(__xludf.DUMMYFUNCTION("""COMPUTED_VALUE"""),1.51)</f>
        <v>1.51</v>
      </c>
      <c r="F2963" s="1">
        <f>IFERROR(__xludf.DUMMYFUNCTION("""COMPUTED_VALUE"""),232625.0)</f>
        <v>232625</v>
      </c>
    </row>
    <row r="2964">
      <c r="A2964" s="2">
        <f>IFERROR(__xludf.DUMMYFUNCTION("""COMPUTED_VALUE"""),43468.66666666667)</f>
        <v>43468.66667</v>
      </c>
      <c r="B2964" s="1">
        <f>IFERROR(__xludf.DUMMYFUNCTION("""COMPUTED_VALUE"""),1.51)</f>
        <v>1.51</v>
      </c>
      <c r="C2964" s="1">
        <f>IFERROR(__xludf.DUMMYFUNCTION("""COMPUTED_VALUE"""),1.58)</f>
        <v>1.58</v>
      </c>
      <c r="D2964" s="1">
        <f>IFERROR(__xludf.DUMMYFUNCTION("""COMPUTED_VALUE"""),1.45)</f>
        <v>1.45</v>
      </c>
      <c r="E2964" s="1">
        <f>IFERROR(__xludf.DUMMYFUNCTION("""COMPUTED_VALUE"""),1.57)</f>
        <v>1.57</v>
      </c>
      <c r="F2964" s="1">
        <f>IFERROR(__xludf.DUMMYFUNCTION("""COMPUTED_VALUE"""),321717.0)</f>
        <v>321717</v>
      </c>
    </row>
    <row r="2965">
      <c r="A2965" s="2">
        <f>IFERROR(__xludf.DUMMYFUNCTION("""COMPUTED_VALUE"""),43469.66666666667)</f>
        <v>43469.66667</v>
      </c>
      <c r="B2965" s="1">
        <f>IFERROR(__xludf.DUMMYFUNCTION("""COMPUTED_VALUE"""),1.56)</f>
        <v>1.56</v>
      </c>
      <c r="C2965" s="1">
        <f>IFERROR(__xludf.DUMMYFUNCTION("""COMPUTED_VALUE"""),1.59)</f>
        <v>1.59</v>
      </c>
      <c r="D2965" s="1">
        <f>IFERROR(__xludf.DUMMYFUNCTION("""COMPUTED_VALUE"""),1.53)</f>
        <v>1.53</v>
      </c>
      <c r="E2965" s="1">
        <f>IFERROR(__xludf.DUMMYFUNCTION("""COMPUTED_VALUE"""),1.56)</f>
        <v>1.56</v>
      </c>
      <c r="F2965" s="1">
        <f>IFERROR(__xludf.DUMMYFUNCTION("""COMPUTED_VALUE"""),159530.0)</f>
        <v>159530</v>
      </c>
    </row>
    <row r="2966">
      <c r="A2966" s="2">
        <f>IFERROR(__xludf.DUMMYFUNCTION("""COMPUTED_VALUE"""),43472.66666666667)</f>
        <v>43472.66667</v>
      </c>
      <c r="B2966" s="1">
        <f>IFERROR(__xludf.DUMMYFUNCTION("""COMPUTED_VALUE"""),1.54)</f>
        <v>1.54</v>
      </c>
      <c r="C2966" s="1">
        <f>IFERROR(__xludf.DUMMYFUNCTION("""COMPUTED_VALUE"""),1.58)</f>
        <v>1.58</v>
      </c>
      <c r="D2966" s="1">
        <f>IFERROR(__xludf.DUMMYFUNCTION("""COMPUTED_VALUE"""),1.53)</f>
        <v>1.53</v>
      </c>
      <c r="E2966" s="1">
        <f>IFERROR(__xludf.DUMMYFUNCTION("""COMPUTED_VALUE"""),1.57)</f>
        <v>1.57</v>
      </c>
      <c r="F2966" s="1">
        <f>IFERROR(__xludf.DUMMYFUNCTION("""COMPUTED_VALUE"""),307833.0)</f>
        <v>307833</v>
      </c>
    </row>
    <row r="2967">
      <c r="A2967" s="2">
        <f>IFERROR(__xludf.DUMMYFUNCTION("""COMPUTED_VALUE"""),43473.66666666667)</f>
        <v>43473.66667</v>
      </c>
      <c r="B2967" s="1">
        <f>IFERROR(__xludf.DUMMYFUNCTION("""COMPUTED_VALUE"""),1.58)</f>
        <v>1.58</v>
      </c>
      <c r="C2967" s="1">
        <f>IFERROR(__xludf.DUMMYFUNCTION("""COMPUTED_VALUE"""),1.59)</f>
        <v>1.59</v>
      </c>
      <c r="D2967" s="1">
        <f>IFERROR(__xludf.DUMMYFUNCTION("""COMPUTED_VALUE"""),1.55)</f>
        <v>1.55</v>
      </c>
      <c r="E2967" s="1">
        <f>IFERROR(__xludf.DUMMYFUNCTION("""COMPUTED_VALUE"""),1.56)</f>
        <v>1.56</v>
      </c>
      <c r="F2967" s="1">
        <f>IFERROR(__xludf.DUMMYFUNCTION("""COMPUTED_VALUE"""),165077.0)</f>
        <v>165077</v>
      </c>
    </row>
    <row r="2968">
      <c r="A2968" s="2">
        <f>IFERROR(__xludf.DUMMYFUNCTION("""COMPUTED_VALUE"""),43474.66666666667)</f>
        <v>43474.66667</v>
      </c>
      <c r="B2968" s="1">
        <f>IFERROR(__xludf.DUMMYFUNCTION("""COMPUTED_VALUE"""),1.57)</f>
        <v>1.57</v>
      </c>
      <c r="C2968" s="1">
        <f>IFERROR(__xludf.DUMMYFUNCTION("""COMPUTED_VALUE"""),1.57)</f>
        <v>1.57</v>
      </c>
      <c r="D2968" s="1">
        <f>IFERROR(__xludf.DUMMYFUNCTION("""COMPUTED_VALUE"""),1.55)</f>
        <v>1.55</v>
      </c>
      <c r="E2968" s="1">
        <f>IFERROR(__xludf.DUMMYFUNCTION("""COMPUTED_VALUE"""),1.55)</f>
        <v>1.55</v>
      </c>
      <c r="F2968" s="1">
        <f>IFERROR(__xludf.DUMMYFUNCTION("""COMPUTED_VALUE"""),16206.0)</f>
        <v>16206</v>
      </c>
    </row>
    <row r="2969">
      <c r="A2969" s="2">
        <f>IFERROR(__xludf.DUMMYFUNCTION("""COMPUTED_VALUE"""),43475.66666666667)</f>
        <v>43475.66667</v>
      </c>
      <c r="B2969" s="1">
        <f>IFERROR(__xludf.DUMMYFUNCTION("""COMPUTED_VALUE"""),1.55)</f>
        <v>1.55</v>
      </c>
      <c r="C2969" s="1">
        <f>IFERROR(__xludf.DUMMYFUNCTION("""COMPUTED_VALUE"""),1.56)</f>
        <v>1.56</v>
      </c>
      <c r="D2969" s="1">
        <f>IFERROR(__xludf.DUMMYFUNCTION("""COMPUTED_VALUE"""),1.5)</f>
        <v>1.5</v>
      </c>
      <c r="E2969" s="1">
        <f>IFERROR(__xludf.DUMMYFUNCTION("""COMPUTED_VALUE"""),1.55)</f>
        <v>1.55</v>
      </c>
      <c r="F2969" s="1">
        <f>IFERROR(__xludf.DUMMYFUNCTION("""COMPUTED_VALUE"""),29751.0)</f>
        <v>29751</v>
      </c>
    </row>
    <row r="2970">
      <c r="A2970" s="2">
        <f>IFERROR(__xludf.DUMMYFUNCTION("""COMPUTED_VALUE"""),43476.66666666667)</f>
        <v>43476.66667</v>
      </c>
      <c r="B2970" s="1">
        <f>IFERROR(__xludf.DUMMYFUNCTION("""COMPUTED_VALUE"""),1.55)</f>
        <v>1.55</v>
      </c>
      <c r="C2970" s="1">
        <f>IFERROR(__xludf.DUMMYFUNCTION("""COMPUTED_VALUE"""),1.55)</f>
        <v>1.55</v>
      </c>
      <c r="D2970" s="1">
        <f>IFERROR(__xludf.DUMMYFUNCTION("""COMPUTED_VALUE"""),1.49)</f>
        <v>1.49</v>
      </c>
      <c r="E2970" s="1">
        <f>IFERROR(__xludf.DUMMYFUNCTION("""COMPUTED_VALUE"""),1.5)</f>
        <v>1.5</v>
      </c>
      <c r="F2970" s="1">
        <f>IFERROR(__xludf.DUMMYFUNCTION("""COMPUTED_VALUE"""),94587.0)</f>
        <v>94587</v>
      </c>
    </row>
    <row r="2971">
      <c r="A2971" s="2">
        <f>IFERROR(__xludf.DUMMYFUNCTION("""COMPUTED_VALUE"""),43479.66666666667)</f>
        <v>43479.66667</v>
      </c>
      <c r="B2971" s="1">
        <f>IFERROR(__xludf.DUMMYFUNCTION("""COMPUTED_VALUE"""),1.52)</f>
        <v>1.52</v>
      </c>
      <c r="C2971" s="1">
        <f>IFERROR(__xludf.DUMMYFUNCTION("""COMPUTED_VALUE"""),1.53)</f>
        <v>1.53</v>
      </c>
      <c r="D2971" s="1">
        <f>IFERROR(__xludf.DUMMYFUNCTION("""COMPUTED_VALUE"""),1.44)</f>
        <v>1.44</v>
      </c>
      <c r="E2971" s="1">
        <f>IFERROR(__xludf.DUMMYFUNCTION("""COMPUTED_VALUE"""),1.53)</f>
        <v>1.53</v>
      </c>
      <c r="F2971" s="1">
        <f>IFERROR(__xludf.DUMMYFUNCTION("""COMPUTED_VALUE"""),209994.0)</f>
        <v>209994</v>
      </c>
    </row>
    <row r="2972">
      <c r="A2972" s="2">
        <f>IFERROR(__xludf.DUMMYFUNCTION("""COMPUTED_VALUE"""),43480.66666666667)</f>
        <v>43480.66667</v>
      </c>
      <c r="B2972" s="1">
        <f>IFERROR(__xludf.DUMMYFUNCTION("""COMPUTED_VALUE"""),1.54)</f>
        <v>1.54</v>
      </c>
      <c r="C2972" s="1">
        <f>IFERROR(__xludf.DUMMYFUNCTION("""COMPUTED_VALUE"""),1.54)</f>
        <v>1.54</v>
      </c>
      <c r="D2972" s="1">
        <f>IFERROR(__xludf.DUMMYFUNCTION("""COMPUTED_VALUE"""),1.51)</f>
        <v>1.51</v>
      </c>
      <c r="E2972" s="1">
        <f>IFERROR(__xludf.DUMMYFUNCTION("""COMPUTED_VALUE"""),1.51)</f>
        <v>1.51</v>
      </c>
      <c r="F2972" s="1">
        <f>IFERROR(__xludf.DUMMYFUNCTION("""COMPUTED_VALUE"""),85856.0)</f>
        <v>85856</v>
      </c>
    </row>
    <row r="2973">
      <c r="A2973" s="2">
        <f>IFERROR(__xludf.DUMMYFUNCTION("""COMPUTED_VALUE"""),43481.66666666667)</f>
        <v>43481.66667</v>
      </c>
      <c r="B2973" s="1">
        <f>IFERROR(__xludf.DUMMYFUNCTION("""COMPUTED_VALUE"""),1.51)</f>
        <v>1.51</v>
      </c>
      <c r="C2973" s="1">
        <f>IFERROR(__xludf.DUMMYFUNCTION("""COMPUTED_VALUE"""),1.51)</f>
        <v>1.51</v>
      </c>
      <c r="D2973" s="1">
        <f>IFERROR(__xludf.DUMMYFUNCTION("""COMPUTED_VALUE"""),1.49)</f>
        <v>1.49</v>
      </c>
      <c r="E2973" s="1">
        <f>IFERROR(__xludf.DUMMYFUNCTION("""COMPUTED_VALUE"""),1.5)</f>
        <v>1.5</v>
      </c>
      <c r="F2973" s="1">
        <f>IFERROR(__xludf.DUMMYFUNCTION("""COMPUTED_VALUE"""),322125.0)</f>
        <v>322125</v>
      </c>
    </row>
    <row r="2974">
      <c r="A2974" s="2">
        <f>IFERROR(__xludf.DUMMYFUNCTION("""COMPUTED_VALUE"""),43482.66666666667)</f>
        <v>43482.66667</v>
      </c>
      <c r="B2974" s="1">
        <f>IFERROR(__xludf.DUMMYFUNCTION("""COMPUTED_VALUE"""),1.49)</f>
        <v>1.49</v>
      </c>
      <c r="C2974" s="1">
        <f>IFERROR(__xludf.DUMMYFUNCTION("""COMPUTED_VALUE"""),1.5)</f>
        <v>1.5</v>
      </c>
      <c r="D2974" s="1">
        <f>IFERROR(__xludf.DUMMYFUNCTION("""COMPUTED_VALUE"""),1.45)</f>
        <v>1.45</v>
      </c>
      <c r="E2974" s="1">
        <f>IFERROR(__xludf.DUMMYFUNCTION("""COMPUTED_VALUE"""),1.48)</f>
        <v>1.48</v>
      </c>
      <c r="F2974" s="1">
        <f>IFERROR(__xludf.DUMMYFUNCTION("""COMPUTED_VALUE"""),282569.0)</f>
        <v>282569</v>
      </c>
    </row>
    <row r="2975">
      <c r="A2975" s="2">
        <f>IFERROR(__xludf.DUMMYFUNCTION("""COMPUTED_VALUE"""),43483.66666666667)</f>
        <v>43483.66667</v>
      </c>
      <c r="B2975" s="1">
        <f>IFERROR(__xludf.DUMMYFUNCTION("""COMPUTED_VALUE"""),1.48)</f>
        <v>1.48</v>
      </c>
      <c r="C2975" s="1">
        <f>IFERROR(__xludf.DUMMYFUNCTION("""COMPUTED_VALUE"""),1.51)</f>
        <v>1.51</v>
      </c>
      <c r="D2975" s="1">
        <f>IFERROR(__xludf.DUMMYFUNCTION("""COMPUTED_VALUE"""),1.47)</f>
        <v>1.47</v>
      </c>
      <c r="E2975" s="1">
        <f>IFERROR(__xludf.DUMMYFUNCTION("""COMPUTED_VALUE"""),1.5)</f>
        <v>1.5</v>
      </c>
      <c r="F2975" s="1">
        <f>IFERROR(__xludf.DUMMYFUNCTION("""COMPUTED_VALUE"""),136670.0)</f>
        <v>136670</v>
      </c>
    </row>
    <row r="2976">
      <c r="A2976" s="2">
        <f>IFERROR(__xludf.DUMMYFUNCTION("""COMPUTED_VALUE"""),43487.66666666667)</f>
        <v>43487.66667</v>
      </c>
      <c r="B2976" s="1">
        <f>IFERROR(__xludf.DUMMYFUNCTION("""COMPUTED_VALUE"""),1.45)</f>
        <v>1.45</v>
      </c>
      <c r="C2976" s="1">
        <f>IFERROR(__xludf.DUMMYFUNCTION("""COMPUTED_VALUE"""),1.5)</f>
        <v>1.5</v>
      </c>
      <c r="D2976" s="1">
        <f>IFERROR(__xludf.DUMMYFUNCTION("""COMPUTED_VALUE"""),1.45)</f>
        <v>1.45</v>
      </c>
      <c r="E2976" s="1">
        <f>IFERROR(__xludf.DUMMYFUNCTION("""COMPUTED_VALUE"""),1.47)</f>
        <v>1.47</v>
      </c>
      <c r="F2976" s="1">
        <f>IFERROR(__xludf.DUMMYFUNCTION("""COMPUTED_VALUE"""),174419.0)</f>
        <v>174419</v>
      </c>
    </row>
    <row r="2977">
      <c r="A2977" s="2">
        <f>IFERROR(__xludf.DUMMYFUNCTION("""COMPUTED_VALUE"""),43488.66666666667)</f>
        <v>43488.66667</v>
      </c>
      <c r="B2977" s="1">
        <f>IFERROR(__xludf.DUMMYFUNCTION("""COMPUTED_VALUE"""),1.47)</f>
        <v>1.47</v>
      </c>
      <c r="C2977" s="1">
        <f>IFERROR(__xludf.DUMMYFUNCTION("""COMPUTED_VALUE"""),1.5)</f>
        <v>1.5</v>
      </c>
      <c r="D2977" s="1">
        <f>IFERROR(__xludf.DUMMYFUNCTION("""COMPUTED_VALUE"""),1.47)</f>
        <v>1.47</v>
      </c>
      <c r="E2977" s="1">
        <f>IFERROR(__xludf.DUMMYFUNCTION("""COMPUTED_VALUE"""),1.49)</f>
        <v>1.49</v>
      </c>
      <c r="F2977" s="1">
        <f>IFERROR(__xludf.DUMMYFUNCTION("""COMPUTED_VALUE"""),308129.0)</f>
        <v>308129</v>
      </c>
    </row>
    <row r="2978">
      <c r="A2978" s="2">
        <f>IFERROR(__xludf.DUMMYFUNCTION("""COMPUTED_VALUE"""),43489.66666666667)</f>
        <v>43489.66667</v>
      </c>
      <c r="B2978" s="1">
        <f>IFERROR(__xludf.DUMMYFUNCTION("""COMPUTED_VALUE"""),1.5)</f>
        <v>1.5</v>
      </c>
      <c r="C2978" s="1">
        <f>IFERROR(__xludf.DUMMYFUNCTION("""COMPUTED_VALUE"""),1.51)</f>
        <v>1.51</v>
      </c>
      <c r="D2978" s="1">
        <f>IFERROR(__xludf.DUMMYFUNCTION("""COMPUTED_VALUE"""),1.49)</f>
        <v>1.49</v>
      </c>
      <c r="E2978" s="1">
        <f>IFERROR(__xludf.DUMMYFUNCTION("""COMPUTED_VALUE"""),1.5)</f>
        <v>1.5</v>
      </c>
      <c r="F2978" s="1">
        <f>IFERROR(__xludf.DUMMYFUNCTION("""COMPUTED_VALUE"""),218495.0)</f>
        <v>218495</v>
      </c>
    </row>
    <row r="2979">
      <c r="A2979" s="2">
        <f>IFERROR(__xludf.DUMMYFUNCTION("""COMPUTED_VALUE"""),43490.66666666667)</f>
        <v>43490.66667</v>
      </c>
      <c r="B2979" s="1">
        <f>IFERROR(__xludf.DUMMYFUNCTION("""COMPUTED_VALUE"""),1.5)</f>
        <v>1.5</v>
      </c>
      <c r="C2979" s="1">
        <f>IFERROR(__xludf.DUMMYFUNCTION("""COMPUTED_VALUE"""),1.51)</f>
        <v>1.51</v>
      </c>
      <c r="D2979" s="1">
        <f>IFERROR(__xludf.DUMMYFUNCTION("""COMPUTED_VALUE"""),1.5)</f>
        <v>1.5</v>
      </c>
      <c r="E2979" s="1">
        <f>IFERROR(__xludf.DUMMYFUNCTION("""COMPUTED_VALUE"""),1.5)</f>
        <v>1.5</v>
      </c>
      <c r="F2979" s="1">
        <f>IFERROR(__xludf.DUMMYFUNCTION("""COMPUTED_VALUE"""),266124.0)</f>
        <v>266124</v>
      </c>
    </row>
    <row r="2980">
      <c r="A2980" s="2">
        <f>IFERROR(__xludf.DUMMYFUNCTION("""COMPUTED_VALUE"""),43493.66666666667)</f>
        <v>43493.66667</v>
      </c>
      <c r="B2980" s="1">
        <f>IFERROR(__xludf.DUMMYFUNCTION("""COMPUTED_VALUE"""),1.5)</f>
        <v>1.5</v>
      </c>
      <c r="C2980" s="1">
        <f>IFERROR(__xludf.DUMMYFUNCTION("""COMPUTED_VALUE"""),1.5)</f>
        <v>1.5</v>
      </c>
      <c r="D2980" s="1">
        <f>IFERROR(__xludf.DUMMYFUNCTION("""COMPUTED_VALUE"""),1.48)</f>
        <v>1.48</v>
      </c>
      <c r="E2980" s="1">
        <f>IFERROR(__xludf.DUMMYFUNCTION("""COMPUTED_VALUE"""),1.48)</f>
        <v>1.48</v>
      </c>
      <c r="F2980" s="1">
        <f>IFERROR(__xludf.DUMMYFUNCTION("""COMPUTED_VALUE"""),102854.0)</f>
        <v>102854</v>
      </c>
    </row>
    <row r="2981">
      <c r="A2981" s="2">
        <f>IFERROR(__xludf.DUMMYFUNCTION("""COMPUTED_VALUE"""),43494.66666666667)</f>
        <v>43494.66667</v>
      </c>
      <c r="B2981" s="1">
        <f>IFERROR(__xludf.DUMMYFUNCTION("""COMPUTED_VALUE"""),1.48)</f>
        <v>1.48</v>
      </c>
      <c r="C2981" s="1">
        <f>IFERROR(__xludf.DUMMYFUNCTION("""COMPUTED_VALUE"""),1.5)</f>
        <v>1.5</v>
      </c>
      <c r="D2981" s="1">
        <f>IFERROR(__xludf.DUMMYFUNCTION("""COMPUTED_VALUE"""),1.47)</f>
        <v>1.47</v>
      </c>
      <c r="E2981" s="1">
        <f>IFERROR(__xludf.DUMMYFUNCTION("""COMPUTED_VALUE"""),1.5)</f>
        <v>1.5</v>
      </c>
      <c r="F2981" s="1">
        <f>IFERROR(__xludf.DUMMYFUNCTION("""COMPUTED_VALUE"""),98573.0)</f>
        <v>98573</v>
      </c>
    </row>
    <row r="2982">
      <c r="A2982" s="2">
        <f>IFERROR(__xludf.DUMMYFUNCTION("""COMPUTED_VALUE"""),43495.66666666667)</f>
        <v>43495.66667</v>
      </c>
      <c r="B2982" s="1">
        <f>IFERROR(__xludf.DUMMYFUNCTION("""COMPUTED_VALUE"""),1.5)</f>
        <v>1.5</v>
      </c>
      <c r="C2982" s="1">
        <f>IFERROR(__xludf.DUMMYFUNCTION("""COMPUTED_VALUE"""),1.51)</f>
        <v>1.51</v>
      </c>
      <c r="D2982" s="1">
        <f>IFERROR(__xludf.DUMMYFUNCTION("""COMPUTED_VALUE"""),1.49)</f>
        <v>1.49</v>
      </c>
      <c r="E2982" s="1">
        <f>IFERROR(__xludf.DUMMYFUNCTION("""COMPUTED_VALUE"""),1.51)</f>
        <v>1.51</v>
      </c>
      <c r="F2982" s="1">
        <f>IFERROR(__xludf.DUMMYFUNCTION("""COMPUTED_VALUE"""),65177.0)</f>
        <v>65177</v>
      </c>
    </row>
    <row r="2983">
      <c r="A2983" s="2">
        <f>IFERROR(__xludf.DUMMYFUNCTION("""COMPUTED_VALUE"""),43496.66666666667)</f>
        <v>43496.66667</v>
      </c>
      <c r="B2983" s="1">
        <f>IFERROR(__xludf.DUMMYFUNCTION("""COMPUTED_VALUE"""),1.5)</f>
        <v>1.5</v>
      </c>
      <c r="C2983" s="1">
        <f>IFERROR(__xludf.DUMMYFUNCTION("""COMPUTED_VALUE"""),1.51)</f>
        <v>1.51</v>
      </c>
      <c r="D2983" s="1">
        <f>IFERROR(__xludf.DUMMYFUNCTION("""COMPUTED_VALUE"""),1.48)</f>
        <v>1.48</v>
      </c>
      <c r="E2983" s="1">
        <f>IFERROR(__xludf.DUMMYFUNCTION("""COMPUTED_VALUE"""),1.51)</f>
        <v>1.51</v>
      </c>
      <c r="F2983" s="1">
        <f>IFERROR(__xludf.DUMMYFUNCTION("""COMPUTED_VALUE"""),117186.0)</f>
        <v>117186</v>
      </c>
    </row>
    <row r="2984">
      <c r="A2984" s="2">
        <f>IFERROR(__xludf.DUMMYFUNCTION("""COMPUTED_VALUE"""),43497.66666666667)</f>
        <v>43497.66667</v>
      </c>
      <c r="B2984" s="1">
        <f>IFERROR(__xludf.DUMMYFUNCTION("""COMPUTED_VALUE"""),1.51)</f>
        <v>1.51</v>
      </c>
      <c r="C2984" s="1">
        <f>IFERROR(__xludf.DUMMYFUNCTION("""COMPUTED_VALUE"""),1.55)</f>
        <v>1.55</v>
      </c>
      <c r="D2984" s="1">
        <f>IFERROR(__xludf.DUMMYFUNCTION("""COMPUTED_VALUE"""),1.51)</f>
        <v>1.51</v>
      </c>
      <c r="E2984" s="1">
        <f>IFERROR(__xludf.DUMMYFUNCTION("""COMPUTED_VALUE"""),1.53)</f>
        <v>1.53</v>
      </c>
      <c r="F2984" s="1">
        <f>IFERROR(__xludf.DUMMYFUNCTION("""COMPUTED_VALUE"""),64550.0)</f>
        <v>64550</v>
      </c>
    </row>
    <row r="2985">
      <c r="A2985" s="2">
        <f>IFERROR(__xludf.DUMMYFUNCTION("""COMPUTED_VALUE"""),43500.66666666667)</f>
        <v>43500.66667</v>
      </c>
      <c r="B2985" s="1">
        <f>IFERROR(__xludf.DUMMYFUNCTION("""COMPUTED_VALUE"""),1.53)</f>
        <v>1.53</v>
      </c>
      <c r="C2985" s="1">
        <f>IFERROR(__xludf.DUMMYFUNCTION("""COMPUTED_VALUE"""),1.55)</f>
        <v>1.55</v>
      </c>
      <c r="D2985" s="1">
        <f>IFERROR(__xludf.DUMMYFUNCTION("""COMPUTED_VALUE"""),1.52)</f>
        <v>1.52</v>
      </c>
      <c r="E2985" s="1">
        <f>IFERROR(__xludf.DUMMYFUNCTION("""COMPUTED_VALUE"""),1.53)</f>
        <v>1.53</v>
      </c>
      <c r="F2985" s="1">
        <f>IFERROR(__xludf.DUMMYFUNCTION("""COMPUTED_VALUE"""),46263.0)</f>
        <v>46263</v>
      </c>
    </row>
    <row r="2986">
      <c r="A2986" s="2">
        <f>IFERROR(__xludf.DUMMYFUNCTION("""COMPUTED_VALUE"""),43501.66666666667)</f>
        <v>43501.66667</v>
      </c>
      <c r="B2986" s="1">
        <f>IFERROR(__xludf.DUMMYFUNCTION("""COMPUTED_VALUE"""),1.54)</f>
        <v>1.54</v>
      </c>
      <c r="C2986" s="1">
        <f>IFERROR(__xludf.DUMMYFUNCTION("""COMPUTED_VALUE"""),1.57)</f>
        <v>1.57</v>
      </c>
      <c r="D2986" s="1">
        <f>IFERROR(__xludf.DUMMYFUNCTION("""COMPUTED_VALUE"""),1.54)</f>
        <v>1.54</v>
      </c>
      <c r="E2986" s="1">
        <f>IFERROR(__xludf.DUMMYFUNCTION("""COMPUTED_VALUE"""),1.57)</f>
        <v>1.57</v>
      </c>
      <c r="F2986" s="1">
        <f>IFERROR(__xludf.DUMMYFUNCTION("""COMPUTED_VALUE"""),265373.0)</f>
        <v>265373</v>
      </c>
    </row>
    <row r="2987">
      <c r="A2987" s="2">
        <f>IFERROR(__xludf.DUMMYFUNCTION("""COMPUTED_VALUE"""),43502.66666666667)</f>
        <v>43502.66667</v>
      </c>
      <c r="B2987" s="1">
        <f>IFERROR(__xludf.DUMMYFUNCTION("""COMPUTED_VALUE"""),1.56)</f>
        <v>1.56</v>
      </c>
      <c r="C2987" s="1">
        <f>IFERROR(__xludf.DUMMYFUNCTION("""COMPUTED_VALUE"""),1.59)</f>
        <v>1.59</v>
      </c>
      <c r="D2987" s="1">
        <f>IFERROR(__xludf.DUMMYFUNCTION("""COMPUTED_VALUE"""),1.55)</f>
        <v>1.55</v>
      </c>
      <c r="E2987" s="1">
        <f>IFERROR(__xludf.DUMMYFUNCTION("""COMPUTED_VALUE"""),1.57)</f>
        <v>1.57</v>
      </c>
      <c r="F2987" s="1">
        <f>IFERROR(__xludf.DUMMYFUNCTION("""COMPUTED_VALUE"""),82787.0)</f>
        <v>82787</v>
      </c>
    </row>
    <row r="2988">
      <c r="A2988" s="2">
        <f>IFERROR(__xludf.DUMMYFUNCTION("""COMPUTED_VALUE"""),43503.66666666667)</f>
        <v>43503.66667</v>
      </c>
      <c r="B2988" s="1">
        <f>IFERROR(__xludf.DUMMYFUNCTION("""COMPUTED_VALUE"""),1.56)</f>
        <v>1.56</v>
      </c>
      <c r="C2988" s="1">
        <f>IFERROR(__xludf.DUMMYFUNCTION("""COMPUTED_VALUE"""),1.56)</f>
        <v>1.56</v>
      </c>
      <c r="D2988" s="1">
        <f>IFERROR(__xludf.DUMMYFUNCTION("""COMPUTED_VALUE"""),1.52)</f>
        <v>1.52</v>
      </c>
      <c r="E2988" s="1">
        <f>IFERROR(__xludf.DUMMYFUNCTION("""COMPUTED_VALUE"""),1.54)</f>
        <v>1.54</v>
      </c>
      <c r="F2988" s="1">
        <f>IFERROR(__xludf.DUMMYFUNCTION("""COMPUTED_VALUE"""),30214.0)</f>
        <v>30214</v>
      </c>
    </row>
    <row r="2989">
      <c r="A2989" s="2">
        <f>IFERROR(__xludf.DUMMYFUNCTION("""COMPUTED_VALUE"""),43504.66666666667)</f>
        <v>43504.66667</v>
      </c>
      <c r="B2989" s="1">
        <f>IFERROR(__xludf.DUMMYFUNCTION("""COMPUTED_VALUE"""),1.52)</f>
        <v>1.52</v>
      </c>
      <c r="C2989" s="1">
        <f>IFERROR(__xludf.DUMMYFUNCTION("""COMPUTED_VALUE"""),1.54)</f>
        <v>1.54</v>
      </c>
      <c r="D2989" s="1">
        <f>IFERROR(__xludf.DUMMYFUNCTION("""COMPUTED_VALUE"""),1.52)</f>
        <v>1.52</v>
      </c>
      <c r="E2989" s="1">
        <f>IFERROR(__xludf.DUMMYFUNCTION("""COMPUTED_VALUE"""),1.54)</f>
        <v>1.54</v>
      </c>
      <c r="F2989" s="1">
        <f>IFERROR(__xludf.DUMMYFUNCTION("""COMPUTED_VALUE"""),176282.0)</f>
        <v>176282</v>
      </c>
    </row>
    <row r="2990">
      <c r="A2990" s="2">
        <f>IFERROR(__xludf.DUMMYFUNCTION("""COMPUTED_VALUE"""),43507.66666666667)</f>
        <v>43507.66667</v>
      </c>
      <c r="B2990" s="1">
        <f>IFERROR(__xludf.DUMMYFUNCTION("""COMPUTED_VALUE"""),1.53)</f>
        <v>1.53</v>
      </c>
      <c r="C2990" s="1">
        <f>IFERROR(__xludf.DUMMYFUNCTION("""COMPUTED_VALUE"""),1.55)</f>
        <v>1.55</v>
      </c>
      <c r="D2990" s="1">
        <f>IFERROR(__xludf.DUMMYFUNCTION("""COMPUTED_VALUE"""),1.53)</f>
        <v>1.53</v>
      </c>
      <c r="E2990" s="1">
        <f>IFERROR(__xludf.DUMMYFUNCTION("""COMPUTED_VALUE"""),1.55)</f>
        <v>1.55</v>
      </c>
      <c r="F2990" s="1">
        <f>IFERROR(__xludf.DUMMYFUNCTION("""COMPUTED_VALUE"""),58959.0)</f>
        <v>58959</v>
      </c>
    </row>
    <row r="2991">
      <c r="A2991" s="2">
        <f>IFERROR(__xludf.DUMMYFUNCTION("""COMPUTED_VALUE"""),43508.66666666667)</f>
        <v>43508.66667</v>
      </c>
      <c r="B2991" s="1">
        <f>IFERROR(__xludf.DUMMYFUNCTION("""COMPUTED_VALUE"""),1.55)</f>
        <v>1.55</v>
      </c>
      <c r="C2991" s="1">
        <f>IFERROR(__xludf.DUMMYFUNCTION("""COMPUTED_VALUE"""),1.62)</f>
        <v>1.62</v>
      </c>
      <c r="D2991" s="1">
        <f>IFERROR(__xludf.DUMMYFUNCTION("""COMPUTED_VALUE"""),1.55)</f>
        <v>1.55</v>
      </c>
      <c r="E2991" s="1">
        <f>IFERROR(__xludf.DUMMYFUNCTION("""COMPUTED_VALUE"""),1.62)</f>
        <v>1.62</v>
      </c>
      <c r="F2991" s="1">
        <f>IFERROR(__xludf.DUMMYFUNCTION("""COMPUTED_VALUE"""),162869.0)</f>
        <v>162869</v>
      </c>
    </row>
    <row r="2992">
      <c r="A2992" s="2">
        <f>IFERROR(__xludf.DUMMYFUNCTION("""COMPUTED_VALUE"""),43509.66666666667)</f>
        <v>43509.66667</v>
      </c>
      <c r="B2992" s="1">
        <f>IFERROR(__xludf.DUMMYFUNCTION("""COMPUTED_VALUE"""),1.62)</f>
        <v>1.62</v>
      </c>
      <c r="C2992" s="1">
        <f>IFERROR(__xludf.DUMMYFUNCTION("""COMPUTED_VALUE"""),1.64)</f>
        <v>1.64</v>
      </c>
      <c r="D2992" s="1">
        <f>IFERROR(__xludf.DUMMYFUNCTION("""COMPUTED_VALUE"""),1.61)</f>
        <v>1.61</v>
      </c>
      <c r="E2992" s="1">
        <f>IFERROR(__xludf.DUMMYFUNCTION("""COMPUTED_VALUE"""),1.64)</f>
        <v>1.64</v>
      </c>
      <c r="F2992" s="1">
        <f>IFERROR(__xludf.DUMMYFUNCTION("""COMPUTED_VALUE"""),89727.0)</f>
        <v>89727</v>
      </c>
    </row>
    <row r="2993">
      <c r="A2993" s="2">
        <f>IFERROR(__xludf.DUMMYFUNCTION("""COMPUTED_VALUE"""),43510.66666666667)</f>
        <v>43510.66667</v>
      </c>
      <c r="B2993" s="1">
        <f>IFERROR(__xludf.DUMMYFUNCTION("""COMPUTED_VALUE"""),1.62)</f>
        <v>1.62</v>
      </c>
      <c r="C2993" s="1">
        <f>IFERROR(__xludf.DUMMYFUNCTION("""COMPUTED_VALUE"""),1.64)</f>
        <v>1.64</v>
      </c>
      <c r="D2993" s="1">
        <f>IFERROR(__xludf.DUMMYFUNCTION("""COMPUTED_VALUE"""),1.62)</f>
        <v>1.62</v>
      </c>
      <c r="E2993" s="1">
        <f>IFERROR(__xludf.DUMMYFUNCTION("""COMPUTED_VALUE"""),1.62)</f>
        <v>1.62</v>
      </c>
      <c r="F2993" s="1">
        <f>IFERROR(__xludf.DUMMYFUNCTION("""COMPUTED_VALUE"""),92076.0)</f>
        <v>92076</v>
      </c>
    </row>
    <row r="2994">
      <c r="A2994" s="2">
        <f>IFERROR(__xludf.DUMMYFUNCTION("""COMPUTED_VALUE"""),43511.66666666667)</f>
        <v>43511.66667</v>
      </c>
      <c r="B2994" s="1">
        <f>IFERROR(__xludf.DUMMYFUNCTION("""COMPUTED_VALUE"""),1.71)</f>
        <v>1.71</v>
      </c>
      <c r="C2994" s="1">
        <f>IFERROR(__xludf.DUMMYFUNCTION("""COMPUTED_VALUE"""),2.0)</f>
        <v>2</v>
      </c>
      <c r="D2994" s="1">
        <f>IFERROR(__xludf.DUMMYFUNCTION("""COMPUTED_VALUE"""),1.71)</f>
        <v>1.71</v>
      </c>
      <c r="E2994" s="1">
        <f>IFERROR(__xludf.DUMMYFUNCTION("""COMPUTED_VALUE"""),1.98)</f>
        <v>1.98</v>
      </c>
      <c r="F2994" s="1">
        <f>IFERROR(__xludf.DUMMYFUNCTION("""COMPUTED_VALUE"""),992075.0)</f>
        <v>992075</v>
      </c>
    </row>
    <row r="2995">
      <c r="A2995" s="2">
        <f>IFERROR(__xludf.DUMMYFUNCTION("""COMPUTED_VALUE"""),43515.66666666667)</f>
        <v>43515.66667</v>
      </c>
      <c r="B2995" s="1">
        <f>IFERROR(__xludf.DUMMYFUNCTION("""COMPUTED_VALUE"""),1.96)</f>
        <v>1.96</v>
      </c>
      <c r="C2995" s="1">
        <f>IFERROR(__xludf.DUMMYFUNCTION("""COMPUTED_VALUE"""),2.05)</f>
        <v>2.05</v>
      </c>
      <c r="D2995" s="1">
        <f>IFERROR(__xludf.DUMMYFUNCTION("""COMPUTED_VALUE"""),1.96)</f>
        <v>1.96</v>
      </c>
      <c r="E2995" s="1">
        <f>IFERROR(__xludf.DUMMYFUNCTION("""COMPUTED_VALUE"""),2.0)</f>
        <v>2</v>
      </c>
      <c r="F2995" s="1">
        <f>IFERROR(__xludf.DUMMYFUNCTION("""COMPUTED_VALUE"""),493779.0)</f>
        <v>493779</v>
      </c>
    </row>
    <row r="2996">
      <c r="A2996" s="2">
        <f>IFERROR(__xludf.DUMMYFUNCTION("""COMPUTED_VALUE"""),43516.66666666667)</f>
        <v>43516.66667</v>
      </c>
      <c r="B2996" s="1">
        <f>IFERROR(__xludf.DUMMYFUNCTION("""COMPUTED_VALUE"""),1.99)</f>
        <v>1.99</v>
      </c>
      <c r="C2996" s="1">
        <f>IFERROR(__xludf.DUMMYFUNCTION("""COMPUTED_VALUE"""),1.99)</f>
        <v>1.99</v>
      </c>
      <c r="D2996" s="1">
        <f>IFERROR(__xludf.DUMMYFUNCTION("""COMPUTED_VALUE"""),1.9)</f>
        <v>1.9</v>
      </c>
      <c r="E2996" s="1">
        <f>IFERROR(__xludf.DUMMYFUNCTION("""COMPUTED_VALUE"""),1.92)</f>
        <v>1.92</v>
      </c>
      <c r="F2996" s="1">
        <f>IFERROR(__xludf.DUMMYFUNCTION("""COMPUTED_VALUE"""),162923.0)</f>
        <v>162923</v>
      </c>
    </row>
    <row r="2997">
      <c r="A2997" s="2">
        <f>IFERROR(__xludf.DUMMYFUNCTION("""COMPUTED_VALUE"""),43517.66666666667)</f>
        <v>43517.66667</v>
      </c>
      <c r="B2997" s="1">
        <f>IFERROR(__xludf.DUMMYFUNCTION("""COMPUTED_VALUE"""),1.9)</f>
        <v>1.9</v>
      </c>
      <c r="C2997" s="1">
        <f>IFERROR(__xludf.DUMMYFUNCTION("""COMPUTED_VALUE"""),1.95)</f>
        <v>1.95</v>
      </c>
      <c r="D2997" s="1">
        <f>IFERROR(__xludf.DUMMYFUNCTION("""COMPUTED_VALUE"""),1.9)</f>
        <v>1.9</v>
      </c>
      <c r="E2997" s="1">
        <f>IFERROR(__xludf.DUMMYFUNCTION("""COMPUTED_VALUE"""),1.93)</f>
        <v>1.93</v>
      </c>
      <c r="F2997" s="1">
        <f>IFERROR(__xludf.DUMMYFUNCTION("""COMPUTED_VALUE"""),158318.0)</f>
        <v>158318</v>
      </c>
    </row>
    <row r="2998">
      <c r="A2998" s="2">
        <f>IFERROR(__xludf.DUMMYFUNCTION("""COMPUTED_VALUE"""),43518.66666666667)</f>
        <v>43518.66667</v>
      </c>
      <c r="B2998" s="1">
        <f>IFERROR(__xludf.DUMMYFUNCTION("""COMPUTED_VALUE"""),1.92)</f>
        <v>1.92</v>
      </c>
      <c r="C2998" s="1">
        <f>IFERROR(__xludf.DUMMYFUNCTION("""COMPUTED_VALUE"""),1.97)</f>
        <v>1.97</v>
      </c>
      <c r="D2998" s="1">
        <f>IFERROR(__xludf.DUMMYFUNCTION("""COMPUTED_VALUE"""),1.92)</f>
        <v>1.92</v>
      </c>
      <c r="E2998" s="1">
        <f>IFERROR(__xludf.DUMMYFUNCTION("""COMPUTED_VALUE"""),1.97)</f>
        <v>1.97</v>
      </c>
      <c r="F2998" s="1">
        <f>IFERROR(__xludf.DUMMYFUNCTION("""COMPUTED_VALUE"""),152547.0)</f>
        <v>152547</v>
      </c>
    </row>
    <row r="2999">
      <c r="A2999" s="2">
        <f>IFERROR(__xludf.DUMMYFUNCTION("""COMPUTED_VALUE"""),43521.66666666667)</f>
        <v>43521.66667</v>
      </c>
      <c r="B2999" s="1">
        <f>IFERROR(__xludf.DUMMYFUNCTION("""COMPUTED_VALUE"""),1.97)</f>
        <v>1.97</v>
      </c>
      <c r="C2999" s="1">
        <f>IFERROR(__xludf.DUMMYFUNCTION("""COMPUTED_VALUE"""),1.97)</f>
        <v>1.97</v>
      </c>
      <c r="D2999" s="1">
        <f>IFERROR(__xludf.DUMMYFUNCTION("""COMPUTED_VALUE"""),1.92)</f>
        <v>1.92</v>
      </c>
      <c r="E2999" s="1">
        <f>IFERROR(__xludf.DUMMYFUNCTION("""COMPUTED_VALUE"""),1.97)</f>
        <v>1.97</v>
      </c>
      <c r="F2999" s="1">
        <f>IFERROR(__xludf.DUMMYFUNCTION("""COMPUTED_VALUE"""),109430.0)</f>
        <v>109430</v>
      </c>
    </row>
    <row r="3000">
      <c r="A3000" s="2">
        <f>IFERROR(__xludf.DUMMYFUNCTION("""COMPUTED_VALUE"""),43522.66666666667)</f>
        <v>43522.66667</v>
      </c>
      <c r="B3000" s="1">
        <f>IFERROR(__xludf.DUMMYFUNCTION("""COMPUTED_VALUE"""),1.97)</f>
        <v>1.97</v>
      </c>
      <c r="C3000" s="1">
        <f>IFERROR(__xludf.DUMMYFUNCTION("""COMPUTED_VALUE"""),1.97)</f>
        <v>1.97</v>
      </c>
      <c r="D3000" s="1">
        <f>IFERROR(__xludf.DUMMYFUNCTION("""COMPUTED_VALUE"""),1.94)</f>
        <v>1.94</v>
      </c>
      <c r="E3000" s="1">
        <f>IFERROR(__xludf.DUMMYFUNCTION("""COMPUTED_VALUE"""),1.94)</f>
        <v>1.94</v>
      </c>
      <c r="F3000" s="1">
        <f>IFERROR(__xludf.DUMMYFUNCTION("""COMPUTED_VALUE"""),19798.0)</f>
        <v>19798</v>
      </c>
    </row>
    <row r="3001">
      <c r="A3001" s="2">
        <f>IFERROR(__xludf.DUMMYFUNCTION("""COMPUTED_VALUE"""),43523.66666666667)</f>
        <v>43523.66667</v>
      </c>
      <c r="B3001" s="1">
        <f>IFERROR(__xludf.DUMMYFUNCTION("""COMPUTED_VALUE"""),1.93)</f>
        <v>1.93</v>
      </c>
      <c r="C3001" s="1">
        <f>IFERROR(__xludf.DUMMYFUNCTION("""COMPUTED_VALUE"""),1.95)</f>
        <v>1.95</v>
      </c>
      <c r="D3001" s="1">
        <f>IFERROR(__xludf.DUMMYFUNCTION("""COMPUTED_VALUE"""),1.9)</f>
        <v>1.9</v>
      </c>
      <c r="E3001" s="1">
        <f>IFERROR(__xludf.DUMMYFUNCTION("""COMPUTED_VALUE"""),1.91)</f>
        <v>1.91</v>
      </c>
      <c r="F3001" s="1">
        <f>IFERROR(__xludf.DUMMYFUNCTION("""COMPUTED_VALUE"""),105341.0)</f>
        <v>105341</v>
      </c>
    </row>
    <row r="3002">
      <c r="A3002" s="2">
        <f>IFERROR(__xludf.DUMMYFUNCTION("""COMPUTED_VALUE"""),43524.66666666667)</f>
        <v>43524.66667</v>
      </c>
      <c r="B3002" s="1">
        <f>IFERROR(__xludf.DUMMYFUNCTION("""COMPUTED_VALUE"""),1.91)</f>
        <v>1.91</v>
      </c>
      <c r="C3002" s="1">
        <f>IFERROR(__xludf.DUMMYFUNCTION("""COMPUTED_VALUE"""),1.94)</f>
        <v>1.94</v>
      </c>
      <c r="D3002" s="1">
        <f>IFERROR(__xludf.DUMMYFUNCTION("""COMPUTED_VALUE"""),1.89)</f>
        <v>1.89</v>
      </c>
      <c r="E3002" s="1">
        <f>IFERROR(__xludf.DUMMYFUNCTION("""COMPUTED_VALUE"""),1.91)</f>
        <v>1.91</v>
      </c>
      <c r="F3002" s="1">
        <f>IFERROR(__xludf.DUMMYFUNCTION("""COMPUTED_VALUE"""),168068.0)</f>
        <v>168068</v>
      </c>
    </row>
    <row r="3003">
      <c r="A3003" s="2">
        <f>IFERROR(__xludf.DUMMYFUNCTION("""COMPUTED_VALUE"""),43525.66666666667)</f>
        <v>43525.66667</v>
      </c>
      <c r="B3003" s="1">
        <f>IFERROR(__xludf.DUMMYFUNCTION("""COMPUTED_VALUE"""),1.92)</f>
        <v>1.92</v>
      </c>
      <c r="C3003" s="1">
        <f>IFERROR(__xludf.DUMMYFUNCTION("""COMPUTED_VALUE"""),1.96)</f>
        <v>1.96</v>
      </c>
      <c r="D3003" s="1">
        <f>IFERROR(__xludf.DUMMYFUNCTION("""COMPUTED_VALUE"""),1.91)</f>
        <v>1.91</v>
      </c>
      <c r="E3003" s="1">
        <f>IFERROR(__xludf.DUMMYFUNCTION("""COMPUTED_VALUE"""),1.96)</f>
        <v>1.96</v>
      </c>
      <c r="F3003" s="1">
        <f>IFERROR(__xludf.DUMMYFUNCTION("""COMPUTED_VALUE"""),203438.0)</f>
        <v>203438</v>
      </c>
    </row>
    <row r="3004">
      <c r="A3004" s="2">
        <f>IFERROR(__xludf.DUMMYFUNCTION("""COMPUTED_VALUE"""),43528.66666666667)</f>
        <v>43528.66667</v>
      </c>
      <c r="B3004" s="1">
        <f>IFERROR(__xludf.DUMMYFUNCTION("""COMPUTED_VALUE"""),1.92)</f>
        <v>1.92</v>
      </c>
      <c r="C3004" s="1">
        <f>IFERROR(__xludf.DUMMYFUNCTION("""COMPUTED_VALUE"""),1.96)</f>
        <v>1.96</v>
      </c>
      <c r="D3004" s="1">
        <f>IFERROR(__xludf.DUMMYFUNCTION("""COMPUTED_VALUE"""),1.92)</f>
        <v>1.92</v>
      </c>
      <c r="E3004" s="1">
        <f>IFERROR(__xludf.DUMMYFUNCTION("""COMPUTED_VALUE"""),1.96)</f>
        <v>1.96</v>
      </c>
      <c r="F3004" s="1">
        <f>IFERROR(__xludf.DUMMYFUNCTION("""COMPUTED_VALUE"""),67813.0)</f>
        <v>67813</v>
      </c>
    </row>
    <row r="3005">
      <c r="A3005" s="2">
        <f>IFERROR(__xludf.DUMMYFUNCTION("""COMPUTED_VALUE"""),43529.66666666667)</f>
        <v>43529.66667</v>
      </c>
      <c r="B3005" s="1">
        <f>IFERROR(__xludf.DUMMYFUNCTION("""COMPUTED_VALUE"""),1.92)</f>
        <v>1.92</v>
      </c>
      <c r="C3005" s="1">
        <f>IFERROR(__xludf.DUMMYFUNCTION("""COMPUTED_VALUE"""),1.98)</f>
        <v>1.98</v>
      </c>
      <c r="D3005" s="1">
        <f>IFERROR(__xludf.DUMMYFUNCTION("""COMPUTED_VALUE"""),1.92)</f>
        <v>1.92</v>
      </c>
      <c r="E3005" s="1">
        <f>IFERROR(__xludf.DUMMYFUNCTION("""COMPUTED_VALUE"""),1.98)</f>
        <v>1.98</v>
      </c>
      <c r="F3005" s="1">
        <f>IFERROR(__xludf.DUMMYFUNCTION("""COMPUTED_VALUE"""),48334.0)</f>
        <v>48334</v>
      </c>
    </row>
    <row r="3006">
      <c r="A3006" s="2">
        <f>IFERROR(__xludf.DUMMYFUNCTION("""COMPUTED_VALUE"""),43530.66666666667)</f>
        <v>43530.66667</v>
      </c>
      <c r="B3006" s="1">
        <f>IFERROR(__xludf.DUMMYFUNCTION("""COMPUTED_VALUE"""),1.96)</f>
        <v>1.96</v>
      </c>
      <c r="C3006" s="1">
        <f>IFERROR(__xludf.DUMMYFUNCTION("""COMPUTED_VALUE"""),1.98)</f>
        <v>1.98</v>
      </c>
      <c r="D3006" s="1">
        <f>IFERROR(__xludf.DUMMYFUNCTION("""COMPUTED_VALUE"""),1.91)</f>
        <v>1.91</v>
      </c>
      <c r="E3006" s="1">
        <f>IFERROR(__xludf.DUMMYFUNCTION("""COMPUTED_VALUE"""),1.92)</f>
        <v>1.92</v>
      </c>
      <c r="F3006" s="1">
        <f>IFERROR(__xludf.DUMMYFUNCTION("""COMPUTED_VALUE"""),79527.0)</f>
        <v>79527</v>
      </c>
    </row>
    <row r="3007">
      <c r="A3007" s="2">
        <f>IFERROR(__xludf.DUMMYFUNCTION("""COMPUTED_VALUE"""),43531.66666666667)</f>
        <v>43531.66667</v>
      </c>
      <c r="B3007" s="1">
        <f>IFERROR(__xludf.DUMMYFUNCTION("""COMPUTED_VALUE"""),1.91)</f>
        <v>1.91</v>
      </c>
      <c r="C3007" s="1">
        <f>IFERROR(__xludf.DUMMYFUNCTION("""COMPUTED_VALUE"""),1.95)</f>
        <v>1.95</v>
      </c>
      <c r="D3007" s="1">
        <f>IFERROR(__xludf.DUMMYFUNCTION("""COMPUTED_VALUE"""),1.91)</f>
        <v>1.91</v>
      </c>
      <c r="E3007" s="1">
        <f>IFERROR(__xludf.DUMMYFUNCTION("""COMPUTED_VALUE"""),1.95)</f>
        <v>1.95</v>
      </c>
      <c r="F3007" s="1">
        <f>IFERROR(__xludf.DUMMYFUNCTION("""COMPUTED_VALUE"""),72031.0)</f>
        <v>72031</v>
      </c>
    </row>
    <row r="3008">
      <c r="A3008" s="2">
        <f>IFERROR(__xludf.DUMMYFUNCTION("""COMPUTED_VALUE"""),43532.66666666667)</f>
        <v>43532.66667</v>
      </c>
      <c r="B3008" s="1">
        <f>IFERROR(__xludf.DUMMYFUNCTION("""COMPUTED_VALUE"""),1.95)</f>
        <v>1.95</v>
      </c>
      <c r="C3008" s="1">
        <f>IFERROR(__xludf.DUMMYFUNCTION("""COMPUTED_VALUE"""),1.95)</f>
        <v>1.95</v>
      </c>
      <c r="D3008" s="1">
        <f>IFERROR(__xludf.DUMMYFUNCTION("""COMPUTED_VALUE"""),1.93)</f>
        <v>1.93</v>
      </c>
      <c r="E3008" s="1">
        <f>IFERROR(__xludf.DUMMYFUNCTION("""COMPUTED_VALUE"""),1.95)</f>
        <v>1.95</v>
      </c>
      <c r="F3008" s="1">
        <f>IFERROR(__xludf.DUMMYFUNCTION("""COMPUTED_VALUE"""),170374.0)</f>
        <v>170374</v>
      </c>
    </row>
    <row r="3009">
      <c r="A3009" s="2">
        <f>IFERROR(__xludf.DUMMYFUNCTION("""COMPUTED_VALUE"""),43535.66666666667)</f>
        <v>43535.66667</v>
      </c>
      <c r="B3009" s="1">
        <f>IFERROR(__xludf.DUMMYFUNCTION("""COMPUTED_VALUE"""),1.92)</f>
        <v>1.92</v>
      </c>
      <c r="C3009" s="1">
        <f>IFERROR(__xludf.DUMMYFUNCTION("""COMPUTED_VALUE"""),1.96)</f>
        <v>1.96</v>
      </c>
      <c r="D3009" s="1">
        <f>IFERROR(__xludf.DUMMYFUNCTION("""COMPUTED_VALUE"""),1.92)</f>
        <v>1.92</v>
      </c>
      <c r="E3009" s="1">
        <f>IFERROR(__xludf.DUMMYFUNCTION("""COMPUTED_VALUE"""),1.95)</f>
        <v>1.95</v>
      </c>
      <c r="F3009" s="1">
        <f>IFERROR(__xludf.DUMMYFUNCTION("""COMPUTED_VALUE"""),121013.0)</f>
        <v>121013</v>
      </c>
    </row>
    <row r="3010">
      <c r="A3010" s="2">
        <f>IFERROR(__xludf.DUMMYFUNCTION("""COMPUTED_VALUE"""),43536.66666666667)</f>
        <v>43536.66667</v>
      </c>
      <c r="B3010" s="1">
        <f>IFERROR(__xludf.DUMMYFUNCTION("""COMPUTED_VALUE"""),1.95)</f>
        <v>1.95</v>
      </c>
      <c r="C3010" s="1">
        <f>IFERROR(__xludf.DUMMYFUNCTION("""COMPUTED_VALUE"""),1.96)</f>
        <v>1.96</v>
      </c>
      <c r="D3010" s="1">
        <f>IFERROR(__xludf.DUMMYFUNCTION("""COMPUTED_VALUE"""),1.93)</f>
        <v>1.93</v>
      </c>
      <c r="E3010" s="1">
        <f>IFERROR(__xludf.DUMMYFUNCTION("""COMPUTED_VALUE"""),1.96)</f>
        <v>1.96</v>
      </c>
      <c r="F3010" s="1">
        <f>IFERROR(__xludf.DUMMYFUNCTION("""COMPUTED_VALUE"""),144339.0)</f>
        <v>144339</v>
      </c>
    </row>
    <row r="3011">
      <c r="A3011" s="2">
        <f>IFERROR(__xludf.DUMMYFUNCTION("""COMPUTED_VALUE"""),43537.66666666667)</f>
        <v>43537.66667</v>
      </c>
      <c r="B3011" s="1">
        <f>IFERROR(__xludf.DUMMYFUNCTION("""COMPUTED_VALUE"""),1.96)</f>
        <v>1.96</v>
      </c>
      <c r="C3011" s="1">
        <f>IFERROR(__xludf.DUMMYFUNCTION("""COMPUTED_VALUE"""),1.99)</f>
        <v>1.99</v>
      </c>
      <c r="D3011" s="1">
        <f>IFERROR(__xludf.DUMMYFUNCTION("""COMPUTED_VALUE"""),1.95)</f>
        <v>1.95</v>
      </c>
      <c r="E3011" s="1">
        <f>IFERROR(__xludf.DUMMYFUNCTION("""COMPUTED_VALUE"""),1.98)</f>
        <v>1.98</v>
      </c>
      <c r="F3011" s="1">
        <f>IFERROR(__xludf.DUMMYFUNCTION("""COMPUTED_VALUE"""),149161.0)</f>
        <v>149161</v>
      </c>
    </row>
    <row r="3012">
      <c r="A3012" s="2">
        <f>IFERROR(__xludf.DUMMYFUNCTION("""COMPUTED_VALUE"""),43538.66666666667)</f>
        <v>43538.66667</v>
      </c>
      <c r="B3012" s="1">
        <f>IFERROR(__xludf.DUMMYFUNCTION("""COMPUTED_VALUE"""),1.92)</f>
        <v>1.92</v>
      </c>
      <c r="C3012" s="1">
        <f>IFERROR(__xludf.DUMMYFUNCTION("""COMPUTED_VALUE"""),2.02)</f>
        <v>2.02</v>
      </c>
      <c r="D3012" s="1">
        <f>IFERROR(__xludf.DUMMYFUNCTION("""COMPUTED_VALUE"""),1.92)</f>
        <v>1.92</v>
      </c>
      <c r="E3012" s="1">
        <f>IFERROR(__xludf.DUMMYFUNCTION("""COMPUTED_VALUE"""),2.0)</f>
        <v>2</v>
      </c>
      <c r="F3012" s="1">
        <f>IFERROR(__xludf.DUMMYFUNCTION("""COMPUTED_VALUE"""),125536.0)</f>
        <v>125536</v>
      </c>
    </row>
    <row r="3013">
      <c r="A3013" s="2">
        <f>IFERROR(__xludf.DUMMYFUNCTION("""COMPUTED_VALUE"""),43539.66666666667)</f>
        <v>43539.66667</v>
      </c>
      <c r="B3013" s="1">
        <f>IFERROR(__xludf.DUMMYFUNCTION("""COMPUTED_VALUE"""),2.0)</f>
        <v>2</v>
      </c>
      <c r="C3013" s="1">
        <f>IFERROR(__xludf.DUMMYFUNCTION("""COMPUTED_VALUE"""),2.01)</f>
        <v>2.01</v>
      </c>
      <c r="D3013" s="1">
        <f>IFERROR(__xludf.DUMMYFUNCTION("""COMPUTED_VALUE"""),1.99)</f>
        <v>1.99</v>
      </c>
      <c r="E3013" s="1">
        <f>IFERROR(__xludf.DUMMYFUNCTION("""COMPUTED_VALUE"""),2.01)</f>
        <v>2.01</v>
      </c>
      <c r="F3013" s="1">
        <f>IFERROR(__xludf.DUMMYFUNCTION("""COMPUTED_VALUE"""),65504.0)</f>
        <v>65504</v>
      </c>
    </row>
    <row r="3014">
      <c r="A3014" s="2">
        <f>IFERROR(__xludf.DUMMYFUNCTION("""COMPUTED_VALUE"""),43542.66666666667)</f>
        <v>43542.66667</v>
      </c>
      <c r="B3014" s="1">
        <f>IFERROR(__xludf.DUMMYFUNCTION("""COMPUTED_VALUE"""),2.0)</f>
        <v>2</v>
      </c>
      <c r="C3014" s="1">
        <f>IFERROR(__xludf.DUMMYFUNCTION("""COMPUTED_VALUE"""),2.03)</f>
        <v>2.03</v>
      </c>
      <c r="D3014" s="1">
        <f>IFERROR(__xludf.DUMMYFUNCTION("""COMPUTED_VALUE"""),2.0)</f>
        <v>2</v>
      </c>
      <c r="E3014" s="1">
        <f>IFERROR(__xludf.DUMMYFUNCTION("""COMPUTED_VALUE"""),2.03)</f>
        <v>2.03</v>
      </c>
      <c r="F3014" s="1">
        <f>IFERROR(__xludf.DUMMYFUNCTION("""COMPUTED_VALUE"""),279806.0)</f>
        <v>279806</v>
      </c>
    </row>
    <row r="3015">
      <c r="A3015" s="2">
        <f>IFERROR(__xludf.DUMMYFUNCTION("""COMPUTED_VALUE"""),43543.66666666667)</f>
        <v>43543.66667</v>
      </c>
      <c r="B3015" s="1">
        <f>IFERROR(__xludf.DUMMYFUNCTION("""COMPUTED_VALUE"""),2.0)</f>
        <v>2</v>
      </c>
      <c r="C3015" s="1">
        <f>IFERROR(__xludf.DUMMYFUNCTION("""COMPUTED_VALUE"""),2.03)</f>
        <v>2.03</v>
      </c>
      <c r="D3015" s="1">
        <f>IFERROR(__xludf.DUMMYFUNCTION("""COMPUTED_VALUE"""),2.0)</f>
        <v>2</v>
      </c>
      <c r="E3015" s="1">
        <f>IFERROR(__xludf.DUMMYFUNCTION("""COMPUTED_VALUE"""),2.03)</f>
        <v>2.03</v>
      </c>
      <c r="F3015" s="1">
        <f>IFERROR(__xludf.DUMMYFUNCTION("""COMPUTED_VALUE"""),195933.0)</f>
        <v>195933</v>
      </c>
    </row>
    <row r="3016">
      <c r="A3016" s="2">
        <f>IFERROR(__xludf.DUMMYFUNCTION("""COMPUTED_VALUE"""),43544.66666666667)</f>
        <v>43544.66667</v>
      </c>
      <c r="B3016" s="1">
        <f>IFERROR(__xludf.DUMMYFUNCTION("""COMPUTED_VALUE"""),2.02)</f>
        <v>2.02</v>
      </c>
      <c r="C3016" s="1">
        <f>IFERROR(__xludf.DUMMYFUNCTION("""COMPUTED_VALUE"""),2.06)</f>
        <v>2.06</v>
      </c>
      <c r="D3016" s="1">
        <f>IFERROR(__xludf.DUMMYFUNCTION("""COMPUTED_VALUE"""),2.02)</f>
        <v>2.02</v>
      </c>
      <c r="E3016" s="1">
        <f>IFERROR(__xludf.DUMMYFUNCTION("""COMPUTED_VALUE"""),2.05)</f>
        <v>2.05</v>
      </c>
      <c r="F3016" s="1">
        <f>IFERROR(__xludf.DUMMYFUNCTION("""COMPUTED_VALUE"""),84659.0)</f>
        <v>84659</v>
      </c>
    </row>
    <row r="3017">
      <c r="A3017" s="2">
        <f>IFERROR(__xludf.DUMMYFUNCTION("""COMPUTED_VALUE"""),43545.66666666667)</f>
        <v>43545.66667</v>
      </c>
      <c r="B3017" s="1">
        <f>IFERROR(__xludf.DUMMYFUNCTION("""COMPUTED_VALUE"""),2.04)</f>
        <v>2.04</v>
      </c>
      <c r="C3017" s="1">
        <f>IFERROR(__xludf.DUMMYFUNCTION("""COMPUTED_VALUE"""),2.07)</f>
        <v>2.07</v>
      </c>
      <c r="D3017" s="1">
        <f>IFERROR(__xludf.DUMMYFUNCTION("""COMPUTED_VALUE"""),2.03)</f>
        <v>2.03</v>
      </c>
      <c r="E3017" s="1">
        <f>IFERROR(__xludf.DUMMYFUNCTION("""COMPUTED_VALUE"""),2.07)</f>
        <v>2.07</v>
      </c>
      <c r="F3017" s="1">
        <f>IFERROR(__xludf.DUMMYFUNCTION("""COMPUTED_VALUE"""),59085.0)</f>
        <v>59085</v>
      </c>
    </row>
    <row r="3018">
      <c r="A3018" s="2">
        <f>IFERROR(__xludf.DUMMYFUNCTION("""COMPUTED_VALUE"""),43546.66666666667)</f>
        <v>43546.66667</v>
      </c>
      <c r="B3018" s="1">
        <f>IFERROR(__xludf.DUMMYFUNCTION("""COMPUTED_VALUE"""),2.05)</f>
        <v>2.05</v>
      </c>
      <c r="C3018" s="1">
        <f>IFERROR(__xludf.DUMMYFUNCTION("""COMPUTED_VALUE"""),2.08)</f>
        <v>2.08</v>
      </c>
      <c r="D3018" s="1">
        <f>IFERROR(__xludf.DUMMYFUNCTION("""COMPUTED_VALUE"""),2.05)</f>
        <v>2.05</v>
      </c>
      <c r="E3018" s="1">
        <f>IFERROR(__xludf.DUMMYFUNCTION("""COMPUTED_VALUE"""),2.06)</f>
        <v>2.06</v>
      </c>
      <c r="F3018" s="1">
        <f>IFERROR(__xludf.DUMMYFUNCTION("""COMPUTED_VALUE"""),110942.0)</f>
        <v>110942</v>
      </c>
    </row>
    <row r="3019">
      <c r="A3019" s="2">
        <f>IFERROR(__xludf.DUMMYFUNCTION("""COMPUTED_VALUE"""),43549.66666666667)</f>
        <v>43549.66667</v>
      </c>
      <c r="B3019" s="1">
        <f>IFERROR(__xludf.DUMMYFUNCTION("""COMPUTED_VALUE"""),2.06)</f>
        <v>2.06</v>
      </c>
      <c r="C3019" s="1">
        <f>IFERROR(__xludf.DUMMYFUNCTION("""COMPUTED_VALUE"""),2.1)</f>
        <v>2.1</v>
      </c>
      <c r="D3019" s="1">
        <f>IFERROR(__xludf.DUMMYFUNCTION("""COMPUTED_VALUE"""),2.06)</f>
        <v>2.06</v>
      </c>
      <c r="E3019" s="1">
        <f>IFERROR(__xludf.DUMMYFUNCTION("""COMPUTED_VALUE"""),2.09)</f>
        <v>2.09</v>
      </c>
      <c r="F3019" s="1">
        <f>IFERROR(__xludf.DUMMYFUNCTION("""COMPUTED_VALUE"""),403612.0)</f>
        <v>403612</v>
      </c>
    </row>
    <row r="3020">
      <c r="A3020" s="2">
        <f>IFERROR(__xludf.DUMMYFUNCTION("""COMPUTED_VALUE"""),43550.66666666667)</f>
        <v>43550.66667</v>
      </c>
      <c r="B3020" s="1">
        <f>IFERROR(__xludf.DUMMYFUNCTION("""COMPUTED_VALUE"""),2.08)</f>
        <v>2.08</v>
      </c>
      <c r="C3020" s="1">
        <f>IFERROR(__xludf.DUMMYFUNCTION("""COMPUTED_VALUE"""),2.1)</f>
        <v>2.1</v>
      </c>
      <c r="D3020" s="1">
        <f>IFERROR(__xludf.DUMMYFUNCTION("""COMPUTED_VALUE"""),2.08)</f>
        <v>2.08</v>
      </c>
      <c r="E3020" s="1">
        <f>IFERROR(__xludf.DUMMYFUNCTION("""COMPUTED_VALUE"""),2.09)</f>
        <v>2.09</v>
      </c>
      <c r="F3020" s="1">
        <f>IFERROR(__xludf.DUMMYFUNCTION("""COMPUTED_VALUE"""),168832.0)</f>
        <v>168832</v>
      </c>
    </row>
    <row r="3021">
      <c r="A3021" s="2">
        <f>IFERROR(__xludf.DUMMYFUNCTION("""COMPUTED_VALUE"""),43551.66666666667)</f>
        <v>43551.66667</v>
      </c>
      <c r="B3021" s="1">
        <f>IFERROR(__xludf.DUMMYFUNCTION("""COMPUTED_VALUE"""),2.08)</f>
        <v>2.08</v>
      </c>
      <c r="C3021" s="1">
        <f>IFERROR(__xludf.DUMMYFUNCTION("""COMPUTED_VALUE"""),2.1)</f>
        <v>2.1</v>
      </c>
      <c r="D3021" s="1">
        <f>IFERROR(__xludf.DUMMYFUNCTION("""COMPUTED_VALUE"""),2.08)</f>
        <v>2.08</v>
      </c>
      <c r="E3021" s="1">
        <f>IFERROR(__xludf.DUMMYFUNCTION("""COMPUTED_VALUE"""),2.1)</f>
        <v>2.1</v>
      </c>
      <c r="F3021" s="1">
        <f>IFERROR(__xludf.DUMMYFUNCTION("""COMPUTED_VALUE"""),151823.0)</f>
        <v>151823</v>
      </c>
    </row>
    <row r="3022">
      <c r="A3022" s="2">
        <f>IFERROR(__xludf.DUMMYFUNCTION("""COMPUTED_VALUE"""),43552.66666666667)</f>
        <v>43552.66667</v>
      </c>
      <c r="B3022" s="1">
        <f>IFERROR(__xludf.DUMMYFUNCTION("""COMPUTED_VALUE"""),2.1)</f>
        <v>2.1</v>
      </c>
      <c r="C3022" s="1">
        <f>IFERROR(__xludf.DUMMYFUNCTION("""COMPUTED_VALUE"""),2.11)</f>
        <v>2.11</v>
      </c>
      <c r="D3022" s="1">
        <f>IFERROR(__xludf.DUMMYFUNCTION("""COMPUTED_VALUE"""),2.1)</f>
        <v>2.1</v>
      </c>
      <c r="E3022" s="1">
        <f>IFERROR(__xludf.DUMMYFUNCTION("""COMPUTED_VALUE"""),2.1)</f>
        <v>2.1</v>
      </c>
      <c r="F3022" s="1">
        <f>IFERROR(__xludf.DUMMYFUNCTION("""COMPUTED_VALUE"""),228400.0)</f>
        <v>228400</v>
      </c>
    </row>
    <row r="3023">
      <c r="A3023" s="2">
        <f>IFERROR(__xludf.DUMMYFUNCTION("""COMPUTED_VALUE"""),43553.66666666667)</f>
        <v>43553.66667</v>
      </c>
      <c r="B3023" s="1">
        <f>IFERROR(__xludf.DUMMYFUNCTION("""COMPUTED_VALUE"""),2.11)</f>
        <v>2.11</v>
      </c>
      <c r="C3023" s="1">
        <f>IFERROR(__xludf.DUMMYFUNCTION("""COMPUTED_VALUE"""),2.12)</f>
        <v>2.12</v>
      </c>
      <c r="D3023" s="1">
        <f>IFERROR(__xludf.DUMMYFUNCTION("""COMPUTED_VALUE"""),2.1)</f>
        <v>2.1</v>
      </c>
      <c r="E3023" s="1">
        <f>IFERROR(__xludf.DUMMYFUNCTION("""COMPUTED_VALUE"""),2.11)</f>
        <v>2.11</v>
      </c>
      <c r="F3023" s="1">
        <f>IFERROR(__xludf.DUMMYFUNCTION("""COMPUTED_VALUE"""),116638.0)</f>
        <v>116638</v>
      </c>
    </row>
    <row r="3024">
      <c r="A3024" s="2">
        <f>IFERROR(__xludf.DUMMYFUNCTION("""COMPUTED_VALUE"""),43556.66666666667)</f>
        <v>43556.66667</v>
      </c>
      <c r="B3024" s="1">
        <f>IFERROR(__xludf.DUMMYFUNCTION("""COMPUTED_VALUE"""),2.11)</f>
        <v>2.11</v>
      </c>
      <c r="C3024" s="1">
        <f>IFERROR(__xludf.DUMMYFUNCTION("""COMPUTED_VALUE"""),2.2)</f>
        <v>2.2</v>
      </c>
      <c r="D3024" s="1">
        <f>IFERROR(__xludf.DUMMYFUNCTION("""COMPUTED_VALUE"""),2.11)</f>
        <v>2.11</v>
      </c>
      <c r="E3024" s="1">
        <f>IFERROR(__xludf.DUMMYFUNCTION("""COMPUTED_VALUE"""),2.19)</f>
        <v>2.19</v>
      </c>
      <c r="F3024" s="1">
        <f>IFERROR(__xludf.DUMMYFUNCTION("""COMPUTED_VALUE"""),225226.0)</f>
        <v>225226</v>
      </c>
    </row>
    <row r="3025">
      <c r="A3025" s="2">
        <f>IFERROR(__xludf.DUMMYFUNCTION("""COMPUTED_VALUE"""),43557.66666666667)</f>
        <v>43557.66667</v>
      </c>
      <c r="B3025" s="1">
        <f>IFERROR(__xludf.DUMMYFUNCTION("""COMPUTED_VALUE"""),2.19)</f>
        <v>2.19</v>
      </c>
      <c r="C3025" s="1">
        <f>IFERROR(__xludf.DUMMYFUNCTION("""COMPUTED_VALUE"""),2.2)</f>
        <v>2.2</v>
      </c>
      <c r="D3025" s="1">
        <f>IFERROR(__xludf.DUMMYFUNCTION("""COMPUTED_VALUE"""),2.15)</f>
        <v>2.15</v>
      </c>
      <c r="E3025" s="1">
        <f>IFERROR(__xludf.DUMMYFUNCTION("""COMPUTED_VALUE"""),2.19)</f>
        <v>2.19</v>
      </c>
      <c r="F3025" s="1">
        <f>IFERROR(__xludf.DUMMYFUNCTION("""COMPUTED_VALUE"""),264444.0)</f>
        <v>264444</v>
      </c>
    </row>
    <row r="3026">
      <c r="A3026" s="2">
        <f>IFERROR(__xludf.DUMMYFUNCTION("""COMPUTED_VALUE"""),43558.66666666667)</f>
        <v>43558.66667</v>
      </c>
      <c r="B3026" s="1">
        <f>IFERROR(__xludf.DUMMYFUNCTION("""COMPUTED_VALUE"""),2.19)</f>
        <v>2.19</v>
      </c>
      <c r="C3026" s="1">
        <f>IFERROR(__xludf.DUMMYFUNCTION("""COMPUTED_VALUE"""),2.21)</f>
        <v>2.21</v>
      </c>
      <c r="D3026" s="1">
        <f>IFERROR(__xludf.DUMMYFUNCTION("""COMPUTED_VALUE"""),2.19)</f>
        <v>2.19</v>
      </c>
      <c r="E3026" s="1">
        <f>IFERROR(__xludf.DUMMYFUNCTION("""COMPUTED_VALUE"""),2.2)</f>
        <v>2.2</v>
      </c>
      <c r="F3026" s="1">
        <f>IFERROR(__xludf.DUMMYFUNCTION("""COMPUTED_VALUE"""),306581.0)</f>
        <v>306581</v>
      </c>
    </row>
    <row r="3027">
      <c r="A3027" s="2">
        <f>IFERROR(__xludf.DUMMYFUNCTION("""COMPUTED_VALUE"""),43559.66666666667)</f>
        <v>43559.66667</v>
      </c>
      <c r="B3027" s="1">
        <f>IFERROR(__xludf.DUMMYFUNCTION("""COMPUTED_VALUE"""),2.21)</f>
        <v>2.21</v>
      </c>
      <c r="C3027" s="1">
        <f>IFERROR(__xludf.DUMMYFUNCTION("""COMPUTED_VALUE"""),2.21)</f>
        <v>2.21</v>
      </c>
      <c r="D3027" s="1">
        <f>IFERROR(__xludf.DUMMYFUNCTION("""COMPUTED_VALUE"""),2.2)</f>
        <v>2.2</v>
      </c>
      <c r="E3027" s="1">
        <f>IFERROR(__xludf.DUMMYFUNCTION("""COMPUTED_VALUE"""),2.2)</f>
        <v>2.2</v>
      </c>
      <c r="F3027" s="1">
        <f>IFERROR(__xludf.DUMMYFUNCTION("""COMPUTED_VALUE"""),286998.0)</f>
        <v>286998</v>
      </c>
    </row>
    <row r="3028">
      <c r="A3028" s="2">
        <f>IFERROR(__xludf.DUMMYFUNCTION("""COMPUTED_VALUE"""),43560.66666666667)</f>
        <v>43560.66667</v>
      </c>
      <c r="B3028" s="1">
        <f>IFERROR(__xludf.DUMMYFUNCTION("""COMPUTED_VALUE"""),2.2)</f>
        <v>2.2</v>
      </c>
      <c r="C3028" s="1">
        <f>IFERROR(__xludf.DUMMYFUNCTION("""COMPUTED_VALUE"""),2.21)</f>
        <v>2.21</v>
      </c>
      <c r="D3028" s="1">
        <f>IFERROR(__xludf.DUMMYFUNCTION("""COMPUTED_VALUE"""),2.2)</f>
        <v>2.2</v>
      </c>
      <c r="E3028" s="1">
        <f>IFERROR(__xludf.DUMMYFUNCTION("""COMPUTED_VALUE"""),2.2)</f>
        <v>2.2</v>
      </c>
      <c r="F3028" s="1">
        <f>IFERROR(__xludf.DUMMYFUNCTION("""COMPUTED_VALUE"""),130944.0)</f>
        <v>130944</v>
      </c>
    </row>
    <row r="3029">
      <c r="A3029" s="2">
        <f>IFERROR(__xludf.DUMMYFUNCTION("""COMPUTED_VALUE"""),43563.66666666667)</f>
        <v>43563.66667</v>
      </c>
      <c r="B3029" s="1">
        <f>IFERROR(__xludf.DUMMYFUNCTION("""COMPUTED_VALUE"""),2.2)</f>
        <v>2.2</v>
      </c>
      <c r="C3029" s="1">
        <f>IFERROR(__xludf.DUMMYFUNCTION("""COMPUTED_VALUE"""),2.2)</f>
        <v>2.2</v>
      </c>
      <c r="D3029" s="1">
        <f>IFERROR(__xludf.DUMMYFUNCTION("""COMPUTED_VALUE"""),2.14)</f>
        <v>2.14</v>
      </c>
      <c r="E3029" s="1">
        <f>IFERROR(__xludf.DUMMYFUNCTION("""COMPUTED_VALUE"""),2.2)</f>
        <v>2.2</v>
      </c>
      <c r="F3029" s="1">
        <f>IFERROR(__xludf.DUMMYFUNCTION("""COMPUTED_VALUE"""),84099.0)</f>
        <v>84099</v>
      </c>
    </row>
    <row r="3030">
      <c r="A3030" s="2">
        <f>IFERROR(__xludf.DUMMYFUNCTION("""COMPUTED_VALUE"""),43564.66666666667)</f>
        <v>43564.66667</v>
      </c>
      <c r="B3030" s="1">
        <f>IFERROR(__xludf.DUMMYFUNCTION("""COMPUTED_VALUE"""),2.19)</f>
        <v>2.19</v>
      </c>
      <c r="C3030" s="1">
        <f>IFERROR(__xludf.DUMMYFUNCTION("""COMPUTED_VALUE"""),2.2)</f>
        <v>2.2</v>
      </c>
      <c r="D3030" s="1">
        <f>IFERROR(__xludf.DUMMYFUNCTION("""COMPUTED_VALUE"""),2.18)</f>
        <v>2.18</v>
      </c>
      <c r="E3030" s="1">
        <f>IFERROR(__xludf.DUMMYFUNCTION("""COMPUTED_VALUE"""),2.2)</f>
        <v>2.2</v>
      </c>
      <c r="F3030" s="1">
        <f>IFERROR(__xludf.DUMMYFUNCTION("""COMPUTED_VALUE"""),54716.0)</f>
        <v>54716</v>
      </c>
    </row>
    <row r="3031">
      <c r="A3031" s="2">
        <f>IFERROR(__xludf.DUMMYFUNCTION("""COMPUTED_VALUE"""),43565.66666666667)</f>
        <v>43565.66667</v>
      </c>
      <c r="B3031" s="1">
        <f>IFERROR(__xludf.DUMMYFUNCTION("""COMPUTED_VALUE"""),2.2)</f>
        <v>2.2</v>
      </c>
      <c r="C3031" s="1">
        <f>IFERROR(__xludf.DUMMYFUNCTION("""COMPUTED_VALUE"""),2.2)</f>
        <v>2.2</v>
      </c>
      <c r="D3031" s="1">
        <f>IFERROR(__xludf.DUMMYFUNCTION("""COMPUTED_VALUE"""),2.19)</f>
        <v>2.19</v>
      </c>
      <c r="E3031" s="1">
        <f>IFERROR(__xludf.DUMMYFUNCTION("""COMPUTED_VALUE"""),2.19)</f>
        <v>2.19</v>
      </c>
      <c r="F3031" s="1">
        <f>IFERROR(__xludf.DUMMYFUNCTION("""COMPUTED_VALUE"""),93707.0)</f>
        <v>93707</v>
      </c>
    </row>
    <row r="3032">
      <c r="A3032" s="2">
        <f>IFERROR(__xludf.DUMMYFUNCTION("""COMPUTED_VALUE"""),43566.66666666667)</f>
        <v>43566.66667</v>
      </c>
      <c r="B3032" s="1">
        <f>IFERROR(__xludf.DUMMYFUNCTION("""COMPUTED_VALUE"""),2.19)</f>
        <v>2.19</v>
      </c>
      <c r="C3032" s="1">
        <f>IFERROR(__xludf.DUMMYFUNCTION("""COMPUTED_VALUE"""),2.2)</f>
        <v>2.2</v>
      </c>
      <c r="D3032" s="1">
        <f>IFERROR(__xludf.DUMMYFUNCTION("""COMPUTED_VALUE"""),2.19)</f>
        <v>2.19</v>
      </c>
      <c r="E3032" s="1">
        <f>IFERROR(__xludf.DUMMYFUNCTION("""COMPUTED_VALUE"""),2.2)</f>
        <v>2.2</v>
      </c>
      <c r="F3032" s="1">
        <f>IFERROR(__xludf.DUMMYFUNCTION("""COMPUTED_VALUE"""),76801.0)</f>
        <v>76801</v>
      </c>
    </row>
    <row r="3033">
      <c r="A3033" s="2">
        <f>IFERROR(__xludf.DUMMYFUNCTION("""COMPUTED_VALUE"""),43567.66666666667)</f>
        <v>43567.66667</v>
      </c>
      <c r="B3033" s="1">
        <f>IFERROR(__xludf.DUMMYFUNCTION("""COMPUTED_VALUE"""),2.2)</f>
        <v>2.2</v>
      </c>
      <c r="C3033" s="1">
        <f>IFERROR(__xludf.DUMMYFUNCTION("""COMPUTED_VALUE"""),2.2)</f>
        <v>2.2</v>
      </c>
      <c r="D3033" s="1">
        <f>IFERROR(__xludf.DUMMYFUNCTION("""COMPUTED_VALUE"""),2.2)</f>
        <v>2.2</v>
      </c>
      <c r="E3033" s="1">
        <f>IFERROR(__xludf.DUMMYFUNCTION("""COMPUTED_VALUE"""),2.2)</f>
        <v>2.2</v>
      </c>
      <c r="F3033" s="1">
        <f>IFERROR(__xludf.DUMMYFUNCTION("""COMPUTED_VALUE"""),115585.0)</f>
        <v>115585</v>
      </c>
    </row>
    <row r="3034">
      <c r="A3034" s="2">
        <f>IFERROR(__xludf.DUMMYFUNCTION("""COMPUTED_VALUE"""),43570.66666666667)</f>
        <v>43570.66667</v>
      </c>
      <c r="B3034" s="1">
        <f>IFERROR(__xludf.DUMMYFUNCTION("""COMPUTED_VALUE"""),2.19)</f>
        <v>2.19</v>
      </c>
      <c r="C3034" s="1">
        <f>IFERROR(__xludf.DUMMYFUNCTION("""COMPUTED_VALUE"""),2.22)</f>
        <v>2.22</v>
      </c>
      <c r="D3034" s="1">
        <f>IFERROR(__xludf.DUMMYFUNCTION("""COMPUTED_VALUE"""),2.19)</f>
        <v>2.19</v>
      </c>
      <c r="E3034" s="1">
        <f>IFERROR(__xludf.DUMMYFUNCTION("""COMPUTED_VALUE"""),2.2)</f>
        <v>2.2</v>
      </c>
      <c r="F3034" s="1">
        <f>IFERROR(__xludf.DUMMYFUNCTION("""COMPUTED_VALUE"""),106758.0)</f>
        <v>106758</v>
      </c>
    </row>
    <row r="3035">
      <c r="A3035" s="2">
        <f>IFERROR(__xludf.DUMMYFUNCTION("""COMPUTED_VALUE"""),43571.66666666667)</f>
        <v>43571.66667</v>
      </c>
      <c r="B3035" s="1">
        <f>IFERROR(__xludf.DUMMYFUNCTION("""COMPUTED_VALUE"""),2.19)</f>
        <v>2.19</v>
      </c>
      <c r="C3035" s="1">
        <f>IFERROR(__xludf.DUMMYFUNCTION("""COMPUTED_VALUE"""),2.21)</f>
        <v>2.21</v>
      </c>
      <c r="D3035" s="1">
        <f>IFERROR(__xludf.DUMMYFUNCTION("""COMPUTED_VALUE"""),2.19)</f>
        <v>2.19</v>
      </c>
      <c r="E3035" s="1">
        <f>IFERROR(__xludf.DUMMYFUNCTION("""COMPUTED_VALUE"""),2.2)</f>
        <v>2.2</v>
      </c>
      <c r="F3035" s="1">
        <f>IFERROR(__xludf.DUMMYFUNCTION("""COMPUTED_VALUE"""),23931.0)</f>
        <v>23931</v>
      </c>
    </row>
    <row r="3036">
      <c r="A3036" s="2">
        <f>IFERROR(__xludf.DUMMYFUNCTION("""COMPUTED_VALUE"""),43572.66666666667)</f>
        <v>43572.66667</v>
      </c>
      <c r="B3036" s="1">
        <f>IFERROR(__xludf.DUMMYFUNCTION("""COMPUTED_VALUE"""),2.2)</f>
        <v>2.2</v>
      </c>
      <c r="C3036" s="1">
        <f>IFERROR(__xludf.DUMMYFUNCTION("""COMPUTED_VALUE"""),2.21)</f>
        <v>2.21</v>
      </c>
      <c r="D3036" s="1">
        <f>IFERROR(__xludf.DUMMYFUNCTION("""COMPUTED_VALUE"""),2.2)</f>
        <v>2.2</v>
      </c>
      <c r="E3036" s="1">
        <f>IFERROR(__xludf.DUMMYFUNCTION("""COMPUTED_VALUE"""),2.21)</f>
        <v>2.21</v>
      </c>
      <c r="F3036" s="1">
        <f>IFERROR(__xludf.DUMMYFUNCTION("""COMPUTED_VALUE"""),34746.0)</f>
        <v>34746</v>
      </c>
    </row>
    <row r="3037">
      <c r="A3037" s="2">
        <f>IFERROR(__xludf.DUMMYFUNCTION("""COMPUTED_VALUE"""),43573.66666666667)</f>
        <v>43573.66667</v>
      </c>
      <c r="B3037" s="1">
        <f>IFERROR(__xludf.DUMMYFUNCTION("""COMPUTED_VALUE"""),2.2)</f>
        <v>2.2</v>
      </c>
      <c r="C3037" s="1">
        <f>IFERROR(__xludf.DUMMYFUNCTION("""COMPUTED_VALUE"""),2.21)</f>
        <v>2.21</v>
      </c>
      <c r="D3037" s="1">
        <f>IFERROR(__xludf.DUMMYFUNCTION("""COMPUTED_VALUE"""),2.19)</f>
        <v>2.19</v>
      </c>
      <c r="E3037" s="1">
        <f>IFERROR(__xludf.DUMMYFUNCTION("""COMPUTED_VALUE"""),2.2)</f>
        <v>2.2</v>
      </c>
      <c r="F3037" s="1">
        <f>IFERROR(__xludf.DUMMYFUNCTION("""COMPUTED_VALUE"""),85702.0)</f>
        <v>85702</v>
      </c>
    </row>
    <row r="3038">
      <c r="A3038" s="2">
        <f>IFERROR(__xludf.DUMMYFUNCTION("""COMPUTED_VALUE"""),43577.66666666667)</f>
        <v>43577.66667</v>
      </c>
      <c r="B3038" s="1">
        <f>IFERROR(__xludf.DUMMYFUNCTION("""COMPUTED_VALUE"""),2.2)</f>
        <v>2.2</v>
      </c>
      <c r="C3038" s="1">
        <f>IFERROR(__xludf.DUMMYFUNCTION("""COMPUTED_VALUE"""),2.21)</f>
        <v>2.21</v>
      </c>
      <c r="D3038" s="1">
        <f>IFERROR(__xludf.DUMMYFUNCTION("""COMPUTED_VALUE"""),2.19)</f>
        <v>2.19</v>
      </c>
      <c r="E3038" s="1">
        <f>IFERROR(__xludf.DUMMYFUNCTION("""COMPUTED_VALUE"""),2.2)</f>
        <v>2.2</v>
      </c>
      <c r="F3038" s="1">
        <f>IFERROR(__xludf.DUMMYFUNCTION("""COMPUTED_VALUE"""),85272.0)</f>
        <v>85272</v>
      </c>
    </row>
    <row r="3039">
      <c r="A3039" s="2">
        <f>IFERROR(__xludf.DUMMYFUNCTION("""COMPUTED_VALUE"""),43578.66666666667)</f>
        <v>43578.66667</v>
      </c>
      <c r="B3039" s="1">
        <f>IFERROR(__xludf.DUMMYFUNCTION("""COMPUTED_VALUE"""),2.2)</f>
        <v>2.2</v>
      </c>
      <c r="C3039" s="1">
        <f>IFERROR(__xludf.DUMMYFUNCTION("""COMPUTED_VALUE"""),2.22)</f>
        <v>2.22</v>
      </c>
      <c r="D3039" s="1">
        <f>IFERROR(__xludf.DUMMYFUNCTION("""COMPUTED_VALUE"""),2.2)</f>
        <v>2.2</v>
      </c>
      <c r="E3039" s="1">
        <f>IFERROR(__xludf.DUMMYFUNCTION("""COMPUTED_VALUE"""),2.22)</f>
        <v>2.22</v>
      </c>
      <c r="F3039" s="1">
        <f>IFERROR(__xludf.DUMMYFUNCTION("""COMPUTED_VALUE"""),274499.0)</f>
        <v>274499</v>
      </c>
    </row>
    <row r="3040">
      <c r="A3040" s="2">
        <f>IFERROR(__xludf.DUMMYFUNCTION("""COMPUTED_VALUE"""),43579.66666666667)</f>
        <v>43579.66667</v>
      </c>
      <c r="B3040" s="1">
        <f>IFERROR(__xludf.DUMMYFUNCTION("""COMPUTED_VALUE"""),2.22)</f>
        <v>2.22</v>
      </c>
      <c r="C3040" s="1">
        <f>IFERROR(__xludf.DUMMYFUNCTION("""COMPUTED_VALUE"""),2.22)</f>
        <v>2.22</v>
      </c>
      <c r="D3040" s="1">
        <f>IFERROR(__xludf.DUMMYFUNCTION("""COMPUTED_VALUE"""),2.21)</f>
        <v>2.21</v>
      </c>
      <c r="E3040" s="1">
        <f>IFERROR(__xludf.DUMMYFUNCTION("""COMPUTED_VALUE"""),2.22)</f>
        <v>2.22</v>
      </c>
      <c r="F3040" s="1">
        <f>IFERROR(__xludf.DUMMYFUNCTION("""COMPUTED_VALUE"""),41027.0)</f>
        <v>41027</v>
      </c>
    </row>
    <row r="3041">
      <c r="A3041" s="2">
        <f>IFERROR(__xludf.DUMMYFUNCTION("""COMPUTED_VALUE"""),43580.66666666667)</f>
        <v>43580.66667</v>
      </c>
      <c r="B3041" s="1">
        <f>IFERROR(__xludf.DUMMYFUNCTION("""COMPUTED_VALUE"""),2.22)</f>
        <v>2.22</v>
      </c>
      <c r="C3041" s="1">
        <f>IFERROR(__xludf.DUMMYFUNCTION("""COMPUTED_VALUE"""),2.23)</f>
        <v>2.23</v>
      </c>
      <c r="D3041" s="1">
        <f>IFERROR(__xludf.DUMMYFUNCTION("""COMPUTED_VALUE"""),2.22)</f>
        <v>2.22</v>
      </c>
      <c r="E3041" s="1">
        <f>IFERROR(__xludf.DUMMYFUNCTION("""COMPUTED_VALUE"""),2.23)</f>
        <v>2.23</v>
      </c>
      <c r="F3041" s="1">
        <f>IFERROR(__xludf.DUMMYFUNCTION("""COMPUTED_VALUE"""),208601.0)</f>
        <v>208601</v>
      </c>
    </row>
    <row r="3042">
      <c r="A3042" s="2">
        <f>IFERROR(__xludf.DUMMYFUNCTION("""COMPUTED_VALUE"""),43581.66666666667)</f>
        <v>43581.66667</v>
      </c>
      <c r="B3042" s="1">
        <f>IFERROR(__xludf.DUMMYFUNCTION("""COMPUTED_VALUE"""),2.23)</f>
        <v>2.23</v>
      </c>
      <c r="C3042" s="1">
        <f>IFERROR(__xludf.DUMMYFUNCTION("""COMPUTED_VALUE"""),2.23)</f>
        <v>2.23</v>
      </c>
      <c r="D3042" s="1">
        <f>IFERROR(__xludf.DUMMYFUNCTION("""COMPUTED_VALUE"""),2.21)</f>
        <v>2.21</v>
      </c>
      <c r="E3042" s="1">
        <f>IFERROR(__xludf.DUMMYFUNCTION("""COMPUTED_VALUE"""),2.22)</f>
        <v>2.22</v>
      </c>
      <c r="F3042" s="1">
        <f>IFERROR(__xludf.DUMMYFUNCTION("""COMPUTED_VALUE"""),202345.0)</f>
        <v>202345</v>
      </c>
    </row>
    <row r="3043">
      <c r="A3043" s="2">
        <f>IFERROR(__xludf.DUMMYFUNCTION("""COMPUTED_VALUE"""),43584.66666666667)</f>
        <v>43584.66667</v>
      </c>
      <c r="B3043" s="1">
        <f>IFERROR(__xludf.DUMMYFUNCTION("""COMPUTED_VALUE"""),2.22)</f>
        <v>2.22</v>
      </c>
      <c r="C3043" s="1">
        <f>IFERROR(__xludf.DUMMYFUNCTION("""COMPUTED_VALUE"""),2.24)</f>
        <v>2.24</v>
      </c>
      <c r="D3043" s="1">
        <f>IFERROR(__xludf.DUMMYFUNCTION("""COMPUTED_VALUE"""),2.22)</f>
        <v>2.22</v>
      </c>
      <c r="E3043" s="1">
        <f>IFERROR(__xludf.DUMMYFUNCTION("""COMPUTED_VALUE"""),2.23)</f>
        <v>2.23</v>
      </c>
      <c r="F3043" s="1">
        <f>IFERROR(__xludf.DUMMYFUNCTION("""COMPUTED_VALUE"""),66187.0)</f>
        <v>66187</v>
      </c>
    </row>
    <row r="3044">
      <c r="A3044" s="2">
        <f>IFERROR(__xludf.DUMMYFUNCTION("""COMPUTED_VALUE"""),43585.66666666667)</f>
        <v>43585.66667</v>
      </c>
      <c r="B3044" s="1">
        <f>IFERROR(__xludf.DUMMYFUNCTION("""COMPUTED_VALUE"""),2.23)</f>
        <v>2.23</v>
      </c>
      <c r="C3044" s="1">
        <f>IFERROR(__xludf.DUMMYFUNCTION("""COMPUTED_VALUE"""),2.24)</f>
        <v>2.24</v>
      </c>
      <c r="D3044" s="1">
        <f>IFERROR(__xludf.DUMMYFUNCTION("""COMPUTED_VALUE"""),2.23)</f>
        <v>2.23</v>
      </c>
      <c r="E3044" s="1">
        <f>IFERROR(__xludf.DUMMYFUNCTION("""COMPUTED_VALUE"""),2.24)</f>
        <v>2.24</v>
      </c>
      <c r="F3044" s="1">
        <f>IFERROR(__xludf.DUMMYFUNCTION("""COMPUTED_VALUE"""),125835.0)</f>
        <v>125835</v>
      </c>
    </row>
    <row r="3045">
      <c r="A3045" s="2">
        <f>IFERROR(__xludf.DUMMYFUNCTION("""COMPUTED_VALUE"""),43586.66666666667)</f>
        <v>43586.66667</v>
      </c>
      <c r="B3045" s="1">
        <f>IFERROR(__xludf.DUMMYFUNCTION("""COMPUTED_VALUE"""),2.25)</f>
        <v>2.25</v>
      </c>
      <c r="C3045" s="1">
        <f>IFERROR(__xludf.DUMMYFUNCTION("""COMPUTED_VALUE"""),2.3)</f>
        <v>2.3</v>
      </c>
      <c r="D3045" s="1">
        <f>IFERROR(__xludf.DUMMYFUNCTION("""COMPUTED_VALUE"""),2.25)</f>
        <v>2.25</v>
      </c>
      <c r="E3045" s="1">
        <f>IFERROR(__xludf.DUMMYFUNCTION("""COMPUTED_VALUE"""),2.29)</f>
        <v>2.29</v>
      </c>
      <c r="F3045" s="1">
        <f>IFERROR(__xludf.DUMMYFUNCTION("""COMPUTED_VALUE"""),40799.0)</f>
        <v>40799</v>
      </c>
    </row>
    <row r="3046">
      <c r="A3046" s="2">
        <f>IFERROR(__xludf.DUMMYFUNCTION("""COMPUTED_VALUE"""),43587.66666666667)</f>
        <v>43587.66667</v>
      </c>
      <c r="B3046" s="1">
        <f>IFERROR(__xludf.DUMMYFUNCTION("""COMPUTED_VALUE"""),2.27)</f>
        <v>2.27</v>
      </c>
      <c r="C3046" s="1">
        <f>IFERROR(__xludf.DUMMYFUNCTION("""COMPUTED_VALUE"""),2.29)</f>
        <v>2.29</v>
      </c>
      <c r="D3046" s="1">
        <f>IFERROR(__xludf.DUMMYFUNCTION("""COMPUTED_VALUE"""),2.23)</f>
        <v>2.23</v>
      </c>
      <c r="E3046" s="1">
        <f>IFERROR(__xludf.DUMMYFUNCTION("""COMPUTED_VALUE"""),2.24)</f>
        <v>2.24</v>
      </c>
      <c r="F3046" s="1">
        <f>IFERROR(__xludf.DUMMYFUNCTION("""COMPUTED_VALUE"""),113061.0)</f>
        <v>113061</v>
      </c>
    </row>
    <row r="3047">
      <c r="A3047" s="2">
        <f>IFERROR(__xludf.DUMMYFUNCTION("""COMPUTED_VALUE"""),43588.66666666667)</f>
        <v>43588.66667</v>
      </c>
      <c r="B3047" s="1">
        <f>IFERROR(__xludf.DUMMYFUNCTION("""COMPUTED_VALUE"""),2.25)</f>
        <v>2.25</v>
      </c>
      <c r="C3047" s="1">
        <f>IFERROR(__xludf.DUMMYFUNCTION("""COMPUTED_VALUE"""),2.26)</f>
        <v>2.26</v>
      </c>
      <c r="D3047" s="1">
        <f>IFERROR(__xludf.DUMMYFUNCTION("""COMPUTED_VALUE"""),2.24)</f>
        <v>2.24</v>
      </c>
      <c r="E3047" s="1">
        <f>IFERROR(__xludf.DUMMYFUNCTION("""COMPUTED_VALUE"""),2.25)</f>
        <v>2.25</v>
      </c>
      <c r="F3047" s="1">
        <f>IFERROR(__xludf.DUMMYFUNCTION("""COMPUTED_VALUE"""),185787.0)</f>
        <v>185787</v>
      </c>
    </row>
    <row r="3048">
      <c r="A3048" s="2">
        <f>IFERROR(__xludf.DUMMYFUNCTION("""COMPUTED_VALUE"""),43591.66666666667)</f>
        <v>43591.66667</v>
      </c>
      <c r="B3048" s="1">
        <f>IFERROR(__xludf.DUMMYFUNCTION("""COMPUTED_VALUE"""),2.25)</f>
        <v>2.25</v>
      </c>
      <c r="C3048" s="1">
        <f>IFERROR(__xludf.DUMMYFUNCTION("""COMPUTED_VALUE"""),2.26)</f>
        <v>2.26</v>
      </c>
      <c r="D3048" s="1">
        <f>IFERROR(__xludf.DUMMYFUNCTION("""COMPUTED_VALUE"""),2.23)</f>
        <v>2.23</v>
      </c>
      <c r="E3048" s="1">
        <f>IFERROR(__xludf.DUMMYFUNCTION("""COMPUTED_VALUE"""),2.25)</f>
        <v>2.25</v>
      </c>
      <c r="F3048" s="1">
        <f>IFERROR(__xludf.DUMMYFUNCTION("""COMPUTED_VALUE"""),167846.0)</f>
        <v>167846</v>
      </c>
    </row>
    <row r="3049">
      <c r="A3049" s="2">
        <f>IFERROR(__xludf.DUMMYFUNCTION("""COMPUTED_VALUE"""),43592.66666666667)</f>
        <v>43592.66667</v>
      </c>
      <c r="B3049" s="1">
        <f>IFERROR(__xludf.DUMMYFUNCTION("""COMPUTED_VALUE"""),2.24)</f>
        <v>2.24</v>
      </c>
      <c r="C3049" s="1">
        <f>IFERROR(__xludf.DUMMYFUNCTION("""COMPUTED_VALUE"""),2.25)</f>
        <v>2.25</v>
      </c>
      <c r="D3049" s="1">
        <f>IFERROR(__xludf.DUMMYFUNCTION("""COMPUTED_VALUE"""),2.21)</f>
        <v>2.21</v>
      </c>
      <c r="E3049" s="1">
        <f>IFERROR(__xludf.DUMMYFUNCTION("""COMPUTED_VALUE"""),2.21)</f>
        <v>2.21</v>
      </c>
      <c r="F3049" s="1">
        <f>IFERROR(__xludf.DUMMYFUNCTION("""COMPUTED_VALUE"""),287747.0)</f>
        <v>287747</v>
      </c>
    </row>
    <row r="3050">
      <c r="A3050" s="2">
        <f>IFERROR(__xludf.DUMMYFUNCTION("""COMPUTED_VALUE"""),43593.66666666667)</f>
        <v>43593.66667</v>
      </c>
      <c r="B3050" s="1">
        <f>IFERROR(__xludf.DUMMYFUNCTION("""COMPUTED_VALUE"""),2.21)</f>
        <v>2.21</v>
      </c>
      <c r="C3050" s="1">
        <f>IFERROR(__xludf.DUMMYFUNCTION("""COMPUTED_VALUE"""),2.23)</f>
        <v>2.23</v>
      </c>
      <c r="D3050" s="1">
        <f>IFERROR(__xludf.DUMMYFUNCTION("""COMPUTED_VALUE"""),2.08)</f>
        <v>2.08</v>
      </c>
      <c r="E3050" s="1">
        <f>IFERROR(__xludf.DUMMYFUNCTION("""COMPUTED_VALUE"""),2.13)</f>
        <v>2.13</v>
      </c>
      <c r="F3050" s="1">
        <f>IFERROR(__xludf.DUMMYFUNCTION("""COMPUTED_VALUE"""),184922.0)</f>
        <v>184922</v>
      </c>
    </row>
    <row r="3051">
      <c r="A3051" s="2">
        <f>IFERROR(__xludf.DUMMYFUNCTION("""COMPUTED_VALUE"""),43594.66666666667)</f>
        <v>43594.66667</v>
      </c>
      <c r="B3051" s="1">
        <f>IFERROR(__xludf.DUMMYFUNCTION("""COMPUTED_VALUE"""),2.13)</f>
        <v>2.13</v>
      </c>
      <c r="C3051" s="1">
        <f>IFERROR(__xludf.DUMMYFUNCTION("""COMPUTED_VALUE"""),2.14)</f>
        <v>2.14</v>
      </c>
      <c r="D3051" s="1">
        <f>IFERROR(__xludf.DUMMYFUNCTION("""COMPUTED_VALUE"""),2.1)</f>
        <v>2.1</v>
      </c>
      <c r="E3051" s="1">
        <f>IFERROR(__xludf.DUMMYFUNCTION("""COMPUTED_VALUE"""),2.1)</f>
        <v>2.1</v>
      </c>
      <c r="F3051" s="1">
        <f>IFERROR(__xludf.DUMMYFUNCTION("""COMPUTED_VALUE"""),141405.0)</f>
        <v>141405</v>
      </c>
    </row>
    <row r="3052">
      <c r="A3052" s="2">
        <f>IFERROR(__xludf.DUMMYFUNCTION("""COMPUTED_VALUE"""),43595.66666666667)</f>
        <v>43595.66667</v>
      </c>
      <c r="B3052" s="1">
        <f>IFERROR(__xludf.DUMMYFUNCTION("""COMPUTED_VALUE"""),2.09)</f>
        <v>2.09</v>
      </c>
      <c r="C3052" s="1">
        <f>IFERROR(__xludf.DUMMYFUNCTION("""COMPUTED_VALUE"""),2.09)</f>
        <v>2.09</v>
      </c>
      <c r="D3052" s="1">
        <f>IFERROR(__xludf.DUMMYFUNCTION("""COMPUTED_VALUE"""),1.97)</f>
        <v>1.97</v>
      </c>
      <c r="E3052" s="1">
        <f>IFERROR(__xludf.DUMMYFUNCTION("""COMPUTED_VALUE"""),2.01)</f>
        <v>2.01</v>
      </c>
      <c r="F3052" s="1">
        <f>IFERROR(__xludf.DUMMYFUNCTION("""COMPUTED_VALUE"""),91703.0)</f>
        <v>91703</v>
      </c>
    </row>
    <row r="3053">
      <c r="A3053" s="2">
        <f>IFERROR(__xludf.DUMMYFUNCTION("""COMPUTED_VALUE"""),43598.66666666667)</f>
        <v>43598.66667</v>
      </c>
      <c r="B3053" s="1">
        <f>IFERROR(__xludf.DUMMYFUNCTION("""COMPUTED_VALUE"""),2.0)</f>
        <v>2</v>
      </c>
      <c r="C3053" s="1">
        <f>IFERROR(__xludf.DUMMYFUNCTION("""COMPUTED_VALUE"""),2.01)</f>
        <v>2.01</v>
      </c>
      <c r="D3053" s="1">
        <f>IFERROR(__xludf.DUMMYFUNCTION("""COMPUTED_VALUE"""),1.93)</f>
        <v>1.93</v>
      </c>
      <c r="E3053" s="1">
        <f>IFERROR(__xludf.DUMMYFUNCTION("""COMPUTED_VALUE"""),1.97)</f>
        <v>1.97</v>
      </c>
      <c r="F3053" s="1">
        <f>IFERROR(__xludf.DUMMYFUNCTION("""COMPUTED_VALUE"""),223181.0)</f>
        <v>223181</v>
      </c>
    </row>
    <row r="3054">
      <c r="A3054" s="2">
        <f>IFERROR(__xludf.DUMMYFUNCTION("""COMPUTED_VALUE"""),43599.66666666667)</f>
        <v>43599.66667</v>
      </c>
      <c r="B3054" s="1">
        <f>IFERROR(__xludf.DUMMYFUNCTION("""COMPUTED_VALUE"""),1.99)</f>
        <v>1.99</v>
      </c>
      <c r="C3054" s="1">
        <f>IFERROR(__xludf.DUMMYFUNCTION("""COMPUTED_VALUE"""),2.01)</f>
        <v>2.01</v>
      </c>
      <c r="D3054" s="1">
        <f>IFERROR(__xludf.DUMMYFUNCTION("""COMPUTED_VALUE"""),1.98)</f>
        <v>1.98</v>
      </c>
      <c r="E3054" s="1">
        <f>IFERROR(__xludf.DUMMYFUNCTION("""COMPUTED_VALUE"""),1.99)</f>
        <v>1.99</v>
      </c>
      <c r="F3054" s="1">
        <f>IFERROR(__xludf.DUMMYFUNCTION("""COMPUTED_VALUE"""),154029.0)</f>
        <v>154029</v>
      </c>
    </row>
    <row r="3055">
      <c r="A3055" s="2">
        <f>IFERROR(__xludf.DUMMYFUNCTION("""COMPUTED_VALUE"""),43600.66666666667)</f>
        <v>43600.66667</v>
      </c>
      <c r="B3055" s="1">
        <f>IFERROR(__xludf.DUMMYFUNCTION("""COMPUTED_VALUE"""),2.01)</f>
        <v>2.01</v>
      </c>
      <c r="C3055" s="1">
        <f>IFERROR(__xludf.DUMMYFUNCTION("""COMPUTED_VALUE"""),2.04)</f>
        <v>2.04</v>
      </c>
      <c r="D3055" s="1">
        <f>IFERROR(__xludf.DUMMYFUNCTION("""COMPUTED_VALUE"""),1.99)</f>
        <v>1.99</v>
      </c>
      <c r="E3055" s="1">
        <f>IFERROR(__xludf.DUMMYFUNCTION("""COMPUTED_VALUE"""),2.04)</f>
        <v>2.04</v>
      </c>
      <c r="F3055" s="1">
        <f>IFERROR(__xludf.DUMMYFUNCTION("""COMPUTED_VALUE"""),10317.0)</f>
        <v>10317</v>
      </c>
    </row>
    <row r="3056">
      <c r="A3056" s="2">
        <f>IFERROR(__xludf.DUMMYFUNCTION("""COMPUTED_VALUE"""),43601.66666666667)</f>
        <v>43601.66667</v>
      </c>
      <c r="B3056" s="1">
        <f>IFERROR(__xludf.DUMMYFUNCTION("""COMPUTED_VALUE"""),2.04)</f>
        <v>2.04</v>
      </c>
      <c r="C3056" s="1">
        <f>IFERROR(__xludf.DUMMYFUNCTION("""COMPUTED_VALUE"""),2.12)</f>
        <v>2.12</v>
      </c>
      <c r="D3056" s="1">
        <f>IFERROR(__xludf.DUMMYFUNCTION("""COMPUTED_VALUE"""),2.0)</f>
        <v>2</v>
      </c>
      <c r="E3056" s="1">
        <f>IFERROR(__xludf.DUMMYFUNCTION("""COMPUTED_VALUE"""),2.0)</f>
        <v>2</v>
      </c>
      <c r="F3056" s="1">
        <f>IFERROR(__xludf.DUMMYFUNCTION("""COMPUTED_VALUE"""),250938.0)</f>
        <v>250938</v>
      </c>
    </row>
    <row r="3057">
      <c r="A3057" s="2">
        <f>IFERROR(__xludf.DUMMYFUNCTION("""COMPUTED_VALUE"""),43602.66666666667)</f>
        <v>43602.66667</v>
      </c>
      <c r="B3057" s="1">
        <f>IFERROR(__xludf.DUMMYFUNCTION("""COMPUTED_VALUE"""),2.01)</f>
        <v>2.01</v>
      </c>
      <c r="C3057" s="1">
        <f>IFERROR(__xludf.DUMMYFUNCTION("""COMPUTED_VALUE"""),2.04)</f>
        <v>2.04</v>
      </c>
      <c r="D3057" s="1">
        <f>IFERROR(__xludf.DUMMYFUNCTION("""COMPUTED_VALUE"""),1.94)</f>
        <v>1.94</v>
      </c>
      <c r="E3057" s="1">
        <f>IFERROR(__xludf.DUMMYFUNCTION("""COMPUTED_VALUE"""),1.99)</f>
        <v>1.99</v>
      </c>
      <c r="F3057" s="1">
        <f>IFERROR(__xludf.DUMMYFUNCTION("""COMPUTED_VALUE"""),99075.0)</f>
        <v>99075</v>
      </c>
    </row>
    <row r="3058">
      <c r="A3058" s="2">
        <f>IFERROR(__xludf.DUMMYFUNCTION("""COMPUTED_VALUE"""),43605.66666666667)</f>
        <v>43605.66667</v>
      </c>
      <c r="B3058" s="1">
        <f>IFERROR(__xludf.DUMMYFUNCTION("""COMPUTED_VALUE"""),1.99)</f>
        <v>1.99</v>
      </c>
      <c r="C3058" s="1">
        <f>IFERROR(__xludf.DUMMYFUNCTION("""COMPUTED_VALUE"""),2.0)</f>
        <v>2</v>
      </c>
      <c r="D3058" s="1">
        <f>IFERROR(__xludf.DUMMYFUNCTION("""COMPUTED_VALUE"""),1.96)</f>
        <v>1.96</v>
      </c>
      <c r="E3058" s="1">
        <f>IFERROR(__xludf.DUMMYFUNCTION("""COMPUTED_VALUE"""),1.99)</f>
        <v>1.99</v>
      </c>
      <c r="F3058" s="1">
        <f>IFERROR(__xludf.DUMMYFUNCTION("""COMPUTED_VALUE"""),55277.0)</f>
        <v>55277</v>
      </c>
    </row>
    <row r="3059">
      <c r="A3059" s="2">
        <f>IFERROR(__xludf.DUMMYFUNCTION("""COMPUTED_VALUE"""),43606.66666666667)</f>
        <v>43606.66667</v>
      </c>
      <c r="B3059" s="1">
        <f>IFERROR(__xludf.DUMMYFUNCTION("""COMPUTED_VALUE"""),1.99)</f>
        <v>1.99</v>
      </c>
      <c r="C3059" s="1">
        <f>IFERROR(__xludf.DUMMYFUNCTION("""COMPUTED_VALUE"""),2.01)</f>
        <v>2.01</v>
      </c>
      <c r="D3059" s="1">
        <f>IFERROR(__xludf.DUMMYFUNCTION("""COMPUTED_VALUE"""),1.99)</f>
        <v>1.99</v>
      </c>
      <c r="E3059" s="1">
        <f>IFERROR(__xludf.DUMMYFUNCTION("""COMPUTED_VALUE"""),2.01)</f>
        <v>2.01</v>
      </c>
      <c r="F3059" s="1">
        <f>IFERROR(__xludf.DUMMYFUNCTION("""COMPUTED_VALUE"""),336991.0)</f>
        <v>336991</v>
      </c>
    </row>
    <row r="3060">
      <c r="A3060" s="2">
        <f>IFERROR(__xludf.DUMMYFUNCTION("""COMPUTED_VALUE"""),43607.66666666667)</f>
        <v>43607.66667</v>
      </c>
      <c r="B3060" s="1">
        <f>IFERROR(__xludf.DUMMYFUNCTION("""COMPUTED_VALUE"""),2.01)</f>
        <v>2.01</v>
      </c>
      <c r="C3060" s="1">
        <f>IFERROR(__xludf.DUMMYFUNCTION("""COMPUTED_VALUE"""),2.05)</f>
        <v>2.05</v>
      </c>
      <c r="D3060" s="1">
        <f>IFERROR(__xludf.DUMMYFUNCTION("""COMPUTED_VALUE"""),2.01)</f>
        <v>2.01</v>
      </c>
      <c r="E3060" s="1">
        <f>IFERROR(__xludf.DUMMYFUNCTION("""COMPUTED_VALUE"""),2.02)</f>
        <v>2.02</v>
      </c>
      <c r="F3060" s="1">
        <f>IFERROR(__xludf.DUMMYFUNCTION("""COMPUTED_VALUE"""),446165.0)</f>
        <v>446165</v>
      </c>
    </row>
    <row r="3061">
      <c r="A3061" s="2">
        <f>IFERROR(__xludf.DUMMYFUNCTION("""COMPUTED_VALUE"""),43608.66666666667)</f>
        <v>43608.66667</v>
      </c>
      <c r="B3061" s="1">
        <f>IFERROR(__xludf.DUMMYFUNCTION("""COMPUTED_VALUE"""),2.02)</f>
        <v>2.02</v>
      </c>
      <c r="C3061" s="1">
        <f>IFERROR(__xludf.DUMMYFUNCTION("""COMPUTED_VALUE"""),2.02)</f>
        <v>2.02</v>
      </c>
      <c r="D3061" s="1">
        <f>IFERROR(__xludf.DUMMYFUNCTION("""COMPUTED_VALUE"""),1.99)</f>
        <v>1.99</v>
      </c>
      <c r="E3061" s="1">
        <f>IFERROR(__xludf.DUMMYFUNCTION("""COMPUTED_VALUE"""),1.99)</f>
        <v>1.99</v>
      </c>
      <c r="F3061" s="1">
        <f>IFERROR(__xludf.DUMMYFUNCTION("""COMPUTED_VALUE"""),446566.0)</f>
        <v>446566</v>
      </c>
    </row>
    <row r="3062">
      <c r="A3062" s="2">
        <f>IFERROR(__xludf.DUMMYFUNCTION("""COMPUTED_VALUE"""),43609.66666666667)</f>
        <v>43609.66667</v>
      </c>
      <c r="B3062" s="1">
        <f>IFERROR(__xludf.DUMMYFUNCTION("""COMPUTED_VALUE"""),1.99)</f>
        <v>1.99</v>
      </c>
      <c r="C3062" s="1">
        <f>IFERROR(__xludf.DUMMYFUNCTION("""COMPUTED_VALUE"""),2.0)</f>
        <v>2</v>
      </c>
      <c r="D3062" s="1">
        <f>IFERROR(__xludf.DUMMYFUNCTION("""COMPUTED_VALUE"""),1.98)</f>
        <v>1.98</v>
      </c>
      <c r="E3062" s="1">
        <f>IFERROR(__xludf.DUMMYFUNCTION("""COMPUTED_VALUE"""),1.99)</f>
        <v>1.99</v>
      </c>
      <c r="F3062" s="1">
        <f>IFERROR(__xludf.DUMMYFUNCTION("""COMPUTED_VALUE"""),164437.0)</f>
        <v>164437</v>
      </c>
    </row>
    <row r="3063">
      <c r="A3063" s="2">
        <f>IFERROR(__xludf.DUMMYFUNCTION("""COMPUTED_VALUE"""),43613.66666666667)</f>
        <v>43613.66667</v>
      </c>
      <c r="B3063" s="1">
        <f>IFERROR(__xludf.DUMMYFUNCTION("""COMPUTED_VALUE"""),1.97)</f>
        <v>1.97</v>
      </c>
      <c r="C3063" s="1">
        <f>IFERROR(__xludf.DUMMYFUNCTION("""COMPUTED_VALUE"""),1.99)</f>
        <v>1.99</v>
      </c>
      <c r="D3063" s="1">
        <f>IFERROR(__xludf.DUMMYFUNCTION("""COMPUTED_VALUE"""),1.97)</f>
        <v>1.97</v>
      </c>
      <c r="E3063" s="1">
        <f>IFERROR(__xludf.DUMMYFUNCTION("""COMPUTED_VALUE"""),1.97)</f>
        <v>1.97</v>
      </c>
      <c r="F3063" s="1">
        <f>IFERROR(__xludf.DUMMYFUNCTION("""COMPUTED_VALUE"""),168946.0)</f>
        <v>168946</v>
      </c>
    </row>
    <row r="3064">
      <c r="A3064" s="2">
        <f>IFERROR(__xludf.DUMMYFUNCTION("""COMPUTED_VALUE"""),43614.66666666667)</f>
        <v>43614.66667</v>
      </c>
      <c r="B3064" s="1">
        <f>IFERROR(__xludf.DUMMYFUNCTION("""COMPUTED_VALUE"""),1.97)</f>
        <v>1.97</v>
      </c>
      <c r="C3064" s="1">
        <f>IFERROR(__xludf.DUMMYFUNCTION("""COMPUTED_VALUE"""),1.97)</f>
        <v>1.97</v>
      </c>
      <c r="D3064" s="1">
        <f>IFERROR(__xludf.DUMMYFUNCTION("""COMPUTED_VALUE"""),1.91)</f>
        <v>1.91</v>
      </c>
      <c r="E3064" s="1">
        <f>IFERROR(__xludf.DUMMYFUNCTION("""COMPUTED_VALUE"""),1.92)</f>
        <v>1.92</v>
      </c>
      <c r="F3064" s="1">
        <f>IFERROR(__xludf.DUMMYFUNCTION("""COMPUTED_VALUE"""),63339.0)</f>
        <v>63339</v>
      </c>
    </row>
    <row r="3065">
      <c r="A3065" s="2">
        <f>IFERROR(__xludf.DUMMYFUNCTION("""COMPUTED_VALUE"""),43615.66666666667)</f>
        <v>43615.66667</v>
      </c>
      <c r="B3065" s="1">
        <f>IFERROR(__xludf.DUMMYFUNCTION("""COMPUTED_VALUE"""),1.92)</f>
        <v>1.92</v>
      </c>
      <c r="C3065" s="1">
        <f>IFERROR(__xludf.DUMMYFUNCTION("""COMPUTED_VALUE"""),1.96)</f>
        <v>1.96</v>
      </c>
      <c r="D3065" s="1">
        <f>IFERROR(__xludf.DUMMYFUNCTION("""COMPUTED_VALUE"""),1.92)</f>
        <v>1.92</v>
      </c>
      <c r="E3065" s="1">
        <f>IFERROR(__xludf.DUMMYFUNCTION("""COMPUTED_VALUE"""),1.93)</f>
        <v>1.93</v>
      </c>
      <c r="F3065" s="1">
        <f>IFERROR(__xludf.DUMMYFUNCTION("""COMPUTED_VALUE"""),45178.0)</f>
        <v>45178</v>
      </c>
    </row>
    <row r="3066">
      <c r="A3066" s="2">
        <f>IFERROR(__xludf.DUMMYFUNCTION("""COMPUTED_VALUE"""),43616.66666666667)</f>
        <v>43616.66667</v>
      </c>
      <c r="B3066" s="1">
        <f>IFERROR(__xludf.DUMMYFUNCTION("""COMPUTED_VALUE"""),1.91)</f>
        <v>1.91</v>
      </c>
      <c r="C3066" s="1">
        <f>IFERROR(__xludf.DUMMYFUNCTION("""COMPUTED_VALUE"""),2.0)</f>
        <v>2</v>
      </c>
      <c r="D3066" s="1">
        <f>IFERROR(__xludf.DUMMYFUNCTION("""COMPUTED_VALUE"""),1.82)</f>
        <v>1.82</v>
      </c>
      <c r="E3066" s="1">
        <f>IFERROR(__xludf.DUMMYFUNCTION("""COMPUTED_VALUE"""),1.9)</f>
        <v>1.9</v>
      </c>
      <c r="F3066" s="1">
        <f>IFERROR(__xludf.DUMMYFUNCTION("""COMPUTED_VALUE"""),121660.0)</f>
        <v>121660</v>
      </c>
    </row>
    <row r="3067">
      <c r="A3067" s="2">
        <f>IFERROR(__xludf.DUMMYFUNCTION("""COMPUTED_VALUE"""),43619.66666666667)</f>
        <v>43619.66667</v>
      </c>
      <c r="B3067" s="1">
        <f>IFERROR(__xludf.DUMMYFUNCTION("""COMPUTED_VALUE"""),1.9)</f>
        <v>1.9</v>
      </c>
      <c r="C3067" s="1">
        <f>IFERROR(__xludf.DUMMYFUNCTION("""COMPUTED_VALUE"""),1.95)</f>
        <v>1.95</v>
      </c>
      <c r="D3067" s="1">
        <f>IFERROR(__xludf.DUMMYFUNCTION("""COMPUTED_VALUE"""),1.9)</f>
        <v>1.9</v>
      </c>
      <c r="E3067" s="1">
        <f>IFERROR(__xludf.DUMMYFUNCTION("""COMPUTED_VALUE"""),1.93)</f>
        <v>1.93</v>
      </c>
      <c r="F3067" s="1">
        <f>IFERROR(__xludf.DUMMYFUNCTION("""COMPUTED_VALUE"""),143742.0)</f>
        <v>143742</v>
      </c>
    </row>
    <row r="3068">
      <c r="A3068" s="2">
        <f>IFERROR(__xludf.DUMMYFUNCTION("""COMPUTED_VALUE"""),43620.66666666667)</f>
        <v>43620.66667</v>
      </c>
      <c r="B3068" s="1">
        <f>IFERROR(__xludf.DUMMYFUNCTION("""COMPUTED_VALUE"""),1.93)</f>
        <v>1.93</v>
      </c>
      <c r="C3068" s="1">
        <f>IFERROR(__xludf.DUMMYFUNCTION("""COMPUTED_VALUE"""),1.97)</f>
        <v>1.97</v>
      </c>
      <c r="D3068" s="1">
        <f>IFERROR(__xludf.DUMMYFUNCTION("""COMPUTED_VALUE"""),1.9)</f>
        <v>1.9</v>
      </c>
      <c r="E3068" s="1">
        <f>IFERROR(__xludf.DUMMYFUNCTION("""COMPUTED_VALUE"""),1.9)</f>
        <v>1.9</v>
      </c>
      <c r="F3068" s="1">
        <f>IFERROR(__xludf.DUMMYFUNCTION("""COMPUTED_VALUE"""),118697.0)</f>
        <v>118697</v>
      </c>
    </row>
    <row r="3069">
      <c r="A3069" s="2">
        <f>IFERROR(__xludf.DUMMYFUNCTION("""COMPUTED_VALUE"""),43621.66666666667)</f>
        <v>43621.66667</v>
      </c>
      <c r="B3069" s="1">
        <f>IFERROR(__xludf.DUMMYFUNCTION("""COMPUTED_VALUE"""),1.94)</f>
        <v>1.94</v>
      </c>
      <c r="C3069" s="1">
        <f>IFERROR(__xludf.DUMMYFUNCTION("""COMPUTED_VALUE"""),1.95)</f>
        <v>1.95</v>
      </c>
      <c r="D3069" s="1">
        <f>IFERROR(__xludf.DUMMYFUNCTION("""COMPUTED_VALUE"""),1.89)</f>
        <v>1.89</v>
      </c>
      <c r="E3069" s="1">
        <f>IFERROR(__xludf.DUMMYFUNCTION("""COMPUTED_VALUE"""),1.89)</f>
        <v>1.89</v>
      </c>
      <c r="F3069" s="1">
        <f>IFERROR(__xludf.DUMMYFUNCTION("""COMPUTED_VALUE"""),39938.0)</f>
        <v>39938</v>
      </c>
    </row>
    <row r="3070">
      <c r="A3070" s="2">
        <f>IFERROR(__xludf.DUMMYFUNCTION("""COMPUTED_VALUE"""),43622.66666666667)</f>
        <v>43622.66667</v>
      </c>
      <c r="B3070" s="1">
        <f>IFERROR(__xludf.DUMMYFUNCTION("""COMPUTED_VALUE"""),1.89)</f>
        <v>1.89</v>
      </c>
      <c r="C3070" s="1">
        <f>IFERROR(__xludf.DUMMYFUNCTION("""COMPUTED_VALUE"""),1.89)</f>
        <v>1.89</v>
      </c>
      <c r="D3070" s="1">
        <f>IFERROR(__xludf.DUMMYFUNCTION("""COMPUTED_VALUE"""),1.8)</f>
        <v>1.8</v>
      </c>
      <c r="E3070" s="1">
        <f>IFERROR(__xludf.DUMMYFUNCTION("""COMPUTED_VALUE"""),1.83)</f>
        <v>1.83</v>
      </c>
      <c r="F3070" s="1">
        <f>IFERROR(__xludf.DUMMYFUNCTION("""COMPUTED_VALUE"""),110592.0)</f>
        <v>110592</v>
      </c>
    </row>
    <row r="3071">
      <c r="A3071" s="2">
        <f>IFERROR(__xludf.DUMMYFUNCTION("""COMPUTED_VALUE"""),43623.66666666667)</f>
        <v>43623.66667</v>
      </c>
      <c r="B3071" s="1">
        <f>IFERROR(__xludf.DUMMYFUNCTION("""COMPUTED_VALUE"""),1.83)</f>
        <v>1.83</v>
      </c>
      <c r="C3071" s="1">
        <f>IFERROR(__xludf.DUMMYFUNCTION("""COMPUTED_VALUE"""),1.85)</f>
        <v>1.85</v>
      </c>
      <c r="D3071" s="1">
        <f>IFERROR(__xludf.DUMMYFUNCTION("""COMPUTED_VALUE"""),1.82)</f>
        <v>1.82</v>
      </c>
      <c r="E3071" s="1">
        <f>IFERROR(__xludf.DUMMYFUNCTION("""COMPUTED_VALUE"""),1.84)</f>
        <v>1.84</v>
      </c>
      <c r="F3071" s="1">
        <f>IFERROR(__xludf.DUMMYFUNCTION("""COMPUTED_VALUE"""),46666.0)</f>
        <v>46666</v>
      </c>
    </row>
    <row r="3072">
      <c r="A3072" s="2">
        <f>IFERROR(__xludf.DUMMYFUNCTION("""COMPUTED_VALUE"""),43626.66666666667)</f>
        <v>43626.66667</v>
      </c>
      <c r="B3072" s="1">
        <f>IFERROR(__xludf.DUMMYFUNCTION("""COMPUTED_VALUE"""),1.9)</f>
        <v>1.9</v>
      </c>
      <c r="C3072" s="1">
        <f>IFERROR(__xludf.DUMMYFUNCTION("""COMPUTED_VALUE"""),1.9)</f>
        <v>1.9</v>
      </c>
      <c r="D3072" s="1">
        <f>IFERROR(__xludf.DUMMYFUNCTION("""COMPUTED_VALUE"""),1.85)</f>
        <v>1.85</v>
      </c>
      <c r="E3072" s="1">
        <f>IFERROR(__xludf.DUMMYFUNCTION("""COMPUTED_VALUE"""),1.85)</f>
        <v>1.85</v>
      </c>
      <c r="F3072" s="1">
        <f>IFERROR(__xludf.DUMMYFUNCTION("""COMPUTED_VALUE"""),41692.0)</f>
        <v>41692</v>
      </c>
    </row>
    <row r="3073">
      <c r="A3073" s="2">
        <f>IFERROR(__xludf.DUMMYFUNCTION("""COMPUTED_VALUE"""),43627.66666666667)</f>
        <v>43627.66667</v>
      </c>
      <c r="B3073" s="1">
        <f>IFERROR(__xludf.DUMMYFUNCTION("""COMPUTED_VALUE"""),1.85)</f>
        <v>1.85</v>
      </c>
      <c r="C3073" s="1">
        <f>IFERROR(__xludf.DUMMYFUNCTION("""COMPUTED_VALUE"""),1.89)</f>
        <v>1.89</v>
      </c>
      <c r="D3073" s="1">
        <f>IFERROR(__xludf.DUMMYFUNCTION("""COMPUTED_VALUE"""),1.83)</f>
        <v>1.83</v>
      </c>
      <c r="E3073" s="1">
        <f>IFERROR(__xludf.DUMMYFUNCTION("""COMPUTED_VALUE"""),1.84)</f>
        <v>1.84</v>
      </c>
      <c r="F3073" s="1">
        <f>IFERROR(__xludf.DUMMYFUNCTION("""COMPUTED_VALUE"""),72890.0)</f>
        <v>72890</v>
      </c>
    </row>
    <row r="3074">
      <c r="A3074" s="2">
        <f>IFERROR(__xludf.DUMMYFUNCTION("""COMPUTED_VALUE"""),43628.66666666667)</f>
        <v>43628.66667</v>
      </c>
      <c r="B3074" s="1">
        <f>IFERROR(__xludf.DUMMYFUNCTION("""COMPUTED_VALUE"""),1.85)</f>
        <v>1.85</v>
      </c>
      <c r="C3074" s="1">
        <f>IFERROR(__xludf.DUMMYFUNCTION("""COMPUTED_VALUE"""),1.85)</f>
        <v>1.85</v>
      </c>
      <c r="D3074" s="1">
        <f>IFERROR(__xludf.DUMMYFUNCTION("""COMPUTED_VALUE"""),1.81)</f>
        <v>1.81</v>
      </c>
      <c r="E3074" s="1">
        <f>IFERROR(__xludf.DUMMYFUNCTION("""COMPUTED_VALUE"""),1.82)</f>
        <v>1.82</v>
      </c>
      <c r="F3074" s="1">
        <f>IFERROR(__xludf.DUMMYFUNCTION("""COMPUTED_VALUE"""),49919.0)</f>
        <v>49919</v>
      </c>
    </row>
    <row r="3075">
      <c r="A3075" s="2">
        <f>IFERROR(__xludf.DUMMYFUNCTION("""COMPUTED_VALUE"""),43629.66666666667)</f>
        <v>43629.66667</v>
      </c>
      <c r="B3075" s="1">
        <f>IFERROR(__xludf.DUMMYFUNCTION("""COMPUTED_VALUE"""),1.81)</f>
        <v>1.81</v>
      </c>
      <c r="C3075" s="1">
        <f>IFERROR(__xludf.DUMMYFUNCTION("""COMPUTED_VALUE"""),1.82)</f>
        <v>1.82</v>
      </c>
      <c r="D3075" s="1">
        <f>IFERROR(__xludf.DUMMYFUNCTION("""COMPUTED_VALUE"""),1.71)</f>
        <v>1.71</v>
      </c>
      <c r="E3075" s="1">
        <f>IFERROR(__xludf.DUMMYFUNCTION("""COMPUTED_VALUE"""),1.74)</f>
        <v>1.74</v>
      </c>
      <c r="F3075" s="1">
        <f>IFERROR(__xludf.DUMMYFUNCTION("""COMPUTED_VALUE"""),204407.0)</f>
        <v>204407</v>
      </c>
    </row>
    <row r="3076">
      <c r="A3076" s="2">
        <f>IFERROR(__xludf.DUMMYFUNCTION("""COMPUTED_VALUE"""),43630.66666666667)</f>
        <v>43630.66667</v>
      </c>
      <c r="B3076" s="1">
        <f>IFERROR(__xludf.DUMMYFUNCTION("""COMPUTED_VALUE"""),1.73)</f>
        <v>1.73</v>
      </c>
      <c r="C3076" s="1">
        <f>IFERROR(__xludf.DUMMYFUNCTION("""COMPUTED_VALUE"""),1.76)</f>
        <v>1.76</v>
      </c>
      <c r="D3076" s="1">
        <f>IFERROR(__xludf.DUMMYFUNCTION("""COMPUTED_VALUE"""),1.73)</f>
        <v>1.73</v>
      </c>
      <c r="E3076" s="1">
        <f>IFERROR(__xludf.DUMMYFUNCTION("""COMPUTED_VALUE"""),1.75)</f>
        <v>1.75</v>
      </c>
      <c r="F3076" s="1">
        <f>IFERROR(__xludf.DUMMYFUNCTION("""COMPUTED_VALUE"""),217282.0)</f>
        <v>217282</v>
      </c>
    </row>
    <row r="3077">
      <c r="A3077" s="2">
        <f>IFERROR(__xludf.DUMMYFUNCTION("""COMPUTED_VALUE"""),43633.66666666667)</f>
        <v>43633.66667</v>
      </c>
      <c r="B3077" s="1">
        <f>IFERROR(__xludf.DUMMYFUNCTION("""COMPUTED_VALUE"""),1.75)</f>
        <v>1.75</v>
      </c>
      <c r="C3077" s="1">
        <f>IFERROR(__xludf.DUMMYFUNCTION("""COMPUTED_VALUE"""),1.82)</f>
        <v>1.82</v>
      </c>
      <c r="D3077" s="1">
        <f>IFERROR(__xludf.DUMMYFUNCTION("""COMPUTED_VALUE"""),1.74)</f>
        <v>1.74</v>
      </c>
      <c r="E3077" s="1">
        <f>IFERROR(__xludf.DUMMYFUNCTION("""COMPUTED_VALUE"""),1.8)</f>
        <v>1.8</v>
      </c>
      <c r="F3077" s="1">
        <f>IFERROR(__xludf.DUMMYFUNCTION("""COMPUTED_VALUE"""),101378.0)</f>
        <v>101378</v>
      </c>
    </row>
    <row r="3078">
      <c r="A3078" s="2">
        <f>IFERROR(__xludf.DUMMYFUNCTION("""COMPUTED_VALUE"""),43634.66666666667)</f>
        <v>43634.66667</v>
      </c>
      <c r="B3078" s="1">
        <f>IFERROR(__xludf.DUMMYFUNCTION("""COMPUTED_VALUE"""),1.82)</f>
        <v>1.82</v>
      </c>
      <c r="C3078" s="1">
        <f>IFERROR(__xludf.DUMMYFUNCTION("""COMPUTED_VALUE"""),1.9)</f>
        <v>1.9</v>
      </c>
      <c r="D3078" s="1">
        <f>IFERROR(__xludf.DUMMYFUNCTION("""COMPUTED_VALUE"""),1.82)</f>
        <v>1.82</v>
      </c>
      <c r="E3078" s="1">
        <f>IFERROR(__xludf.DUMMYFUNCTION("""COMPUTED_VALUE"""),1.84)</f>
        <v>1.84</v>
      </c>
      <c r="F3078" s="1">
        <f>IFERROR(__xludf.DUMMYFUNCTION("""COMPUTED_VALUE"""),16052.0)</f>
        <v>16052</v>
      </c>
    </row>
    <row r="3079">
      <c r="A3079" s="2">
        <f>IFERROR(__xludf.DUMMYFUNCTION("""COMPUTED_VALUE"""),43635.66666666667)</f>
        <v>43635.66667</v>
      </c>
      <c r="B3079" s="1">
        <f>IFERROR(__xludf.DUMMYFUNCTION("""COMPUTED_VALUE"""),1.84)</f>
        <v>1.84</v>
      </c>
      <c r="C3079" s="1">
        <f>IFERROR(__xludf.DUMMYFUNCTION("""COMPUTED_VALUE"""),1.87)</f>
        <v>1.87</v>
      </c>
      <c r="D3079" s="1">
        <f>IFERROR(__xludf.DUMMYFUNCTION("""COMPUTED_VALUE"""),1.82)</f>
        <v>1.82</v>
      </c>
      <c r="E3079" s="1">
        <f>IFERROR(__xludf.DUMMYFUNCTION("""COMPUTED_VALUE"""),1.87)</f>
        <v>1.87</v>
      </c>
      <c r="F3079" s="1">
        <f>IFERROR(__xludf.DUMMYFUNCTION("""COMPUTED_VALUE"""),82376.0)</f>
        <v>82376</v>
      </c>
    </row>
    <row r="3080">
      <c r="A3080" s="2">
        <f>IFERROR(__xludf.DUMMYFUNCTION("""COMPUTED_VALUE"""),43636.66666666667)</f>
        <v>43636.66667</v>
      </c>
      <c r="B3080" s="1">
        <f>IFERROR(__xludf.DUMMYFUNCTION("""COMPUTED_VALUE"""),1.86)</f>
        <v>1.86</v>
      </c>
      <c r="C3080" s="1">
        <f>IFERROR(__xludf.DUMMYFUNCTION("""COMPUTED_VALUE"""),1.91)</f>
        <v>1.91</v>
      </c>
      <c r="D3080" s="1">
        <f>IFERROR(__xludf.DUMMYFUNCTION("""COMPUTED_VALUE"""),1.85)</f>
        <v>1.85</v>
      </c>
      <c r="E3080" s="1">
        <f>IFERROR(__xludf.DUMMYFUNCTION("""COMPUTED_VALUE"""),1.9)</f>
        <v>1.9</v>
      </c>
      <c r="F3080" s="1">
        <f>IFERROR(__xludf.DUMMYFUNCTION("""COMPUTED_VALUE"""),25851.0)</f>
        <v>25851</v>
      </c>
    </row>
    <row r="3081">
      <c r="A3081" s="2">
        <f>IFERROR(__xludf.DUMMYFUNCTION("""COMPUTED_VALUE"""),43637.66666666667)</f>
        <v>43637.66667</v>
      </c>
      <c r="B3081" s="1">
        <f>IFERROR(__xludf.DUMMYFUNCTION("""COMPUTED_VALUE"""),1.9)</f>
        <v>1.9</v>
      </c>
      <c r="C3081" s="1">
        <f>IFERROR(__xludf.DUMMYFUNCTION("""COMPUTED_VALUE"""),1.93)</f>
        <v>1.93</v>
      </c>
      <c r="D3081" s="1">
        <f>IFERROR(__xludf.DUMMYFUNCTION("""COMPUTED_VALUE"""),1.9)</f>
        <v>1.9</v>
      </c>
      <c r="E3081" s="1">
        <f>IFERROR(__xludf.DUMMYFUNCTION("""COMPUTED_VALUE"""),1.91)</f>
        <v>1.91</v>
      </c>
      <c r="F3081" s="1">
        <f>IFERROR(__xludf.DUMMYFUNCTION("""COMPUTED_VALUE"""),92528.0)</f>
        <v>92528</v>
      </c>
    </row>
    <row r="3082">
      <c r="A3082" s="2">
        <f>IFERROR(__xludf.DUMMYFUNCTION("""COMPUTED_VALUE"""),43640.66666666667)</f>
        <v>43640.66667</v>
      </c>
      <c r="B3082" s="1">
        <f>IFERROR(__xludf.DUMMYFUNCTION("""COMPUTED_VALUE"""),1.92)</f>
        <v>1.92</v>
      </c>
      <c r="C3082" s="1">
        <f>IFERROR(__xludf.DUMMYFUNCTION("""COMPUTED_VALUE"""),1.96)</f>
        <v>1.96</v>
      </c>
      <c r="D3082" s="1">
        <f>IFERROR(__xludf.DUMMYFUNCTION("""COMPUTED_VALUE"""),1.92)</f>
        <v>1.92</v>
      </c>
      <c r="E3082" s="1">
        <f>IFERROR(__xludf.DUMMYFUNCTION("""COMPUTED_VALUE"""),1.94)</f>
        <v>1.94</v>
      </c>
      <c r="F3082" s="1">
        <f>IFERROR(__xludf.DUMMYFUNCTION("""COMPUTED_VALUE"""),131291.0)</f>
        <v>131291</v>
      </c>
    </row>
    <row r="3083">
      <c r="A3083" s="2">
        <f>IFERROR(__xludf.DUMMYFUNCTION("""COMPUTED_VALUE"""),43641.66666666667)</f>
        <v>43641.66667</v>
      </c>
      <c r="B3083" s="1">
        <f>IFERROR(__xludf.DUMMYFUNCTION("""COMPUTED_VALUE"""),1.94)</f>
        <v>1.94</v>
      </c>
      <c r="C3083" s="1">
        <f>IFERROR(__xludf.DUMMYFUNCTION("""COMPUTED_VALUE"""),1.94)</f>
        <v>1.94</v>
      </c>
      <c r="D3083" s="1">
        <f>IFERROR(__xludf.DUMMYFUNCTION("""COMPUTED_VALUE"""),1.91)</f>
        <v>1.91</v>
      </c>
      <c r="E3083" s="1">
        <f>IFERROR(__xludf.DUMMYFUNCTION("""COMPUTED_VALUE"""),1.91)</f>
        <v>1.91</v>
      </c>
      <c r="F3083" s="1">
        <f>IFERROR(__xludf.DUMMYFUNCTION("""COMPUTED_VALUE"""),122204.0)</f>
        <v>122204</v>
      </c>
    </row>
    <row r="3084">
      <c r="A3084" s="2">
        <f>IFERROR(__xludf.DUMMYFUNCTION("""COMPUTED_VALUE"""),43642.66666666667)</f>
        <v>43642.66667</v>
      </c>
      <c r="B3084" s="1">
        <f>IFERROR(__xludf.DUMMYFUNCTION("""COMPUTED_VALUE"""),1.92)</f>
        <v>1.92</v>
      </c>
      <c r="C3084" s="1">
        <f>IFERROR(__xludf.DUMMYFUNCTION("""COMPUTED_VALUE"""),1.93)</f>
        <v>1.93</v>
      </c>
      <c r="D3084" s="1">
        <f>IFERROR(__xludf.DUMMYFUNCTION("""COMPUTED_VALUE"""),1.92)</f>
        <v>1.92</v>
      </c>
      <c r="E3084" s="1">
        <f>IFERROR(__xludf.DUMMYFUNCTION("""COMPUTED_VALUE"""),1.92)</f>
        <v>1.92</v>
      </c>
      <c r="F3084" s="1">
        <f>IFERROR(__xludf.DUMMYFUNCTION("""COMPUTED_VALUE"""),110419.0)</f>
        <v>110419</v>
      </c>
    </row>
    <row r="3085">
      <c r="A3085" s="2">
        <f>IFERROR(__xludf.DUMMYFUNCTION("""COMPUTED_VALUE"""),43643.66666666667)</f>
        <v>43643.66667</v>
      </c>
      <c r="B3085" s="1">
        <f>IFERROR(__xludf.DUMMYFUNCTION("""COMPUTED_VALUE"""),1.92)</f>
        <v>1.92</v>
      </c>
      <c r="C3085" s="1">
        <f>IFERROR(__xludf.DUMMYFUNCTION("""COMPUTED_VALUE"""),1.92)</f>
        <v>1.92</v>
      </c>
      <c r="D3085" s="1">
        <f>IFERROR(__xludf.DUMMYFUNCTION("""COMPUTED_VALUE"""),1.92)</f>
        <v>1.92</v>
      </c>
      <c r="E3085" s="1">
        <f>IFERROR(__xludf.DUMMYFUNCTION("""COMPUTED_VALUE"""),1.92)</f>
        <v>1.92</v>
      </c>
      <c r="F3085" s="1">
        <f>IFERROR(__xludf.DUMMYFUNCTION("""COMPUTED_VALUE"""),54162.0)</f>
        <v>54162</v>
      </c>
    </row>
    <row r="3086">
      <c r="A3086" s="2">
        <f>IFERROR(__xludf.DUMMYFUNCTION("""COMPUTED_VALUE"""),43644.66666666667)</f>
        <v>43644.66667</v>
      </c>
      <c r="B3086" s="1">
        <f>IFERROR(__xludf.DUMMYFUNCTION("""COMPUTED_VALUE"""),1.92)</f>
        <v>1.92</v>
      </c>
      <c r="C3086" s="1">
        <f>IFERROR(__xludf.DUMMYFUNCTION("""COMPUTED_VALUE"""),1.94)</f>
        <v>1.94</v>
      </c>
      <c r="D3086" s="1">
        <f>IFERROR(__xludf.DUMMYFUNCTION("""COMPUTED_VALUE"""),1.91)</f>
        <v>1.91</v>
      </c>
      <c r="E3086" s="1">
        <f>IFERROR(__xludf.DUMMYFUNCTION("""COMPUTED_VALUE"""),1.94)</f>
        <v>1.94</v>
      </c>
      <c r="F3086" s="1">
        <f>IFERROR(__xludf.DUMMYFUNCTION("""COMPUTED_VALUE"""),14399.0)</f>
        <v>14399</v>
      </c>
    </row>
    <row r="3087">
      <c r="A3087" s="2">
        <f>IFERROR(__xludf.DUMMYFUNCTION("""COMPUTED_VALUE"""),43647.66666666667)</f>
        <v>43647.66667</v>
      </c>
      <c r="B3087" s="1">
        <f>IFERROR(__xludf.DUMMYFUNCTION("""COMPUTED_VALUE"""),1.93)</f>
        <v>1.93</v>
      </c>
      <c r="C3087" s="1">
        <f>IFERROR(__xludf.DUMMYFUNCTION("""COMPUTED_VALUE"""),1.94)</f>
        <v>1.94</v>
      </c>
      <c r="D3087" s="1">
        <f>IFERROR(__xludf.DUMMYFUNCTION("""COMPUTED_VALUE"""),1.9)</f>
        <v>1.9</v>
      </c>
      <c r="E3087" s="1">
        <f>IFERROR(__xludf.DUMMYFUNCTION("""COMPUTED_VALUE"""),1.93)</f>
        <v>1.93</v>
      </c>
      <c r="F3087" s="1">
        <f>IFERROR(__xludf.DUMMYFUNCTION("""COMPUTED_VALUE"""),146075.0)</f>
        <v>146075</v>
      </c>
    </row>
    <row r="3088">
      <c r="A3088" s="2">
        <f>IFERROR(__xludf.DUMMYFUNCTION("""COMPUTED_VALUE"""),43648.66666666667)</f>
        <v>43648.66667</v>
      </c>
      <c r="B3088" s="1">
        <f>IFERROR(__xludf.DUMMYFUNCTION("""COMPUTED_VALUE"""),1.93)</f>
        <v>1.93</v>
      </c>
      <c r="C3088" s="1">
        <f>IFERROR(__xludf.DUMMYFUNCTION("""COMPUTED_VALUE"""),1.93)</f>
        <v>1.93</v>
      </c>
      <c r="D3088" s="1">
        <f>IFERROR(__xludf.DUMMYFUNCTION("""COMPUTED_VALUE"""),1.9)</f>
        <v>1.9</v>
      </c>
      <c r="E3088" s="1">
        <f>IFERROR(__xludf.DUMMYFUNCTION("""COMPUTED_VALUE"""),1.91)</f>
        <v>1.91</v>
      </c>
      <c r="F3088" s="1">
        <f>IFERROR(__xludf.DUMMYFUNCTION("""COMPUTED_VALUE"""),29139.0)</f>
        <v>29139</v>
      </c>
    </row>
    <row r="3089">
      <c r="A3089" s="2">
        <f>IFERROR(__xludf.DUMMYFUNCTION("""COMPUTED_VALUE"""),43649.54166666667)</f>
        <v>43649.54167</v>
      </c>
      <c r="B3089" s="1">
        <f>IFERROR(__xludf.DUMMYFUNCTION("""COMPUTED_VALUE"""),1.9)</f>
        <v>1.9</v>
      </c>
      <c r="C3089" s="1">
        <f>IFERROR(__xludf.DUMMYFUNCTION("""COMPUTED_VALUE"""),1.91)</f>
        <v>1.91</v>
      </c>
      <c r="D3089" s="1">
        <f>IFERROR(__xludf.DUMMYFUNCTION("""COMPUTED_VALUE"""),1.89)</f>
        <v>1.89</v>
      </c>
      <c r="E3089" s="1">
        <f>IFERROR(__xludf.DUMMYFUNCTION("""COMPUTED_VALUE"""),1.89)</f>
        <v>1.89</v>
      </c>
      <c r="F3089" s="1">
        <f>IFERROR(__xludf.DUMMYFUNCTION("""COMPUTED_VALUE"""),20403.0)</f>
        <v>20403</v>
      </c>
    </row>
    <row r="3090">
      <c r="A3090" s="2">
        <f>IFERROR(__xludf.DUMMYFUNCTION("""COMPUTED_VALUE"""),43651.66666666667)</f>
        <v>43651.66667</v>
      </c>
      <c r="B3090" s="1">
        <f>IFERROR(__xludf.DUMMYFUNCTION("""COMPUTED_VALUE"""),1.89)</f>
        <v>1.89</v>
      </c>
      <c r="C3090" s="1">
        <f>IFERROR(__xludf.DUMMYFUNCTION("""COMPUTED_VALUE"""),1.9)</f>
        <v>1.9</v>
      </c>
      <c r="D3090" s="1">
        <f>IFERROR(__xludf.DUMMYFUNCTION("""COMPUTED_VALUE"""),1.86)</f>
        <v>1.86</v>
      </c>
      <c r="E3090" s="1">
        <f>IFERROR(__xludf.DUMMYFUNCTION("""COMPUTED_VALUE"""),1.86)</f>
        <v>1.86</v>
      </c>
      <c r="F3090" s="1">
        <f>IFERROR(__xludf.DUMMYFUNCTION("""COMPUTED_VALUE"""),32666.0)</f>
        <v>32666</v>
      </c>
    </row>
    <row r="3091">
      <c r="A3091" s="2">
        <f>IFERROR(__xludf.DUMMYFUNCTION("""COMPUTED_VALUE"""),43654.66666666667)</f>
        <v>43654.66667</v>
      </c>
      <c r="B3091" s="1">
        <f>IFERROR(__xludf.DUMMYFUNCTION("""COMPUTED_VALUE"""),1.89)</f>
        <v>1.89</v>
      </c>
      <c r="C3091" s="1">
        <f>IFERROR(__xludf.DUMMYFUNCTION("""COMPUTED_VALUE"""),1.89)</f>
        <v>1.89</v>
      </c>
      <c r="D3091" s="1">
        <f>IFERROR(__xludf.DUMMYFUNCTION("""COMPUTED_VALUE"""),1.86)</f>
        <v>1.86</v>
      </c>
      <c r="E3091" s="1">
        <f>IFERROR(__xludf.DUMMYFUNCTION("""COMPUTED_VALUE"""),1.86)</f>
        <v>1.86</v>
      </c>
      <c r="F3091" s="1">
        <f>IFERROR(__xludf.DUMMYFUNCTION("""COMPUTED_VALUE"""),5139.0)</f>
        <v>5139</v>
      </c>
    </row>
    <row r="3092">
      <c r="A3092" s="2">
        <f>IFERROR(__xludf.DUMMYFUNCTION("""COMPUTED_VALUE"""),43655.66666666667)</f>
        <v>43655.66667</v>
      </c>
      <c r="B3092" s="1">
        <f>IFERROR(__xludf.DUMMYFUNCTION("""COMPUTED_VALUE"""),1.86)</f>
        <v>1.86</v>
      </c>
      <c r="C3092" s="1">
        <f>IFERROR(__xludf.DUMMYFUNCTION("""COMPUTED_VALUE"""),1.88)</f>
        <v>1.88</v>
      </c>
      <c r="D3092" s="1">
        <f>IFERROR(__xludf.DUMMYFUNCTION("""COMPUTED_VALUE"""),1.85)</f>
        <v>1.85</v>
      </c>
      <c r="E3092" s="1">
        <f>IFERROR(__xludf.DUMMYFUNCTION("""COMPUTED_VALUE"""),1.87)</f>
        <v>1.87</v>
      </c>
      <c r="F3092" s="1">
        <f>IFERROR(__xludf.DUMMYFUNCTION("""COMPUTED_VALUE"""),80569.0)</f>
        <v>80569</v>
      </c>
    </row>
    <row r="3093">
      <c r="A3093" s="2">
        <f>IFERROR(__xludf.DUMMYFUNCTION("""COMPUTED_VALUE"""),43656.66666666667)</f>
        <v>43656.66667</v>
      </c>
      <c r="B3093" s="1">
        <f>IFERROR(__xludf.DUMMYFUNCTION("""COMPUTED_VALUE"""),1.87)</f>
        <v>1.87</v>
      </c>
      <c r="C3093" s="1">
        <f>IFERROR(__xludf.DUMMYFUNCTION("""COMPUTED_VALUE"""),1.93)</f>
        <v>1.93</v>
      </c>
      <c r="D3093" s="1">
        <f>IFERROR(__xludf.DUMMYFUNCTION("""COMPUTED_VALUE"""),1.85)</f>
        <v>1.85</v>
      </c>
      <c r="E3093" s="1">
        <f>IFERROR(__xludf.DUMMYFUNCTION("""COMPUTED_VALUE"""),1.92)</f>
        <v>1.92</v>
      </c>
      <c r="F3093" s="1">
        <f>IFERROR(__xludf.DUMMYFUNCTION("""COMPUTED_VALUE"""),42506.0)</f>
        <v>42506</v>
      </c>
    </row>
    <row r="3094">
      <c r="A3094" s="2">
        <f>IFERROR(__xludf.DUMMYFUNCTION("""COMPUTED_VALUE"""),43657.66666666667)</f>
        <v>43657.66667</v>
      </c>
      <c r="B3094" s="1">
        <f>IFERROR(__xludf.DUMMYFUNCTION("""COMPUTED_VALUE"""),1.94)</f>
        <v>1.94</v>
      </c>
      <c r="C3094" s="1">
        <f>IFERROR(__xludf.DUMMYFUNCTION("""COMPUTED_VALUE"""),1.94)</f>
        <v>1.94</v>
      </c>
      <c r="D3094" s="1">
        <f>IFERROR(__xludf.DUMMYFUNCTION("""COMPUTED_VALUE"""),1.87)</f>
        <v>1.87</v>
      </c>
      <c r="E3094" s="1">
        <f>IFERROR(__xludf.DUMMYFUNCTION("""COMPUTED_VALUE"""),1.89)</f>
        <v>1.89</v>
      </c>
      <c r="F3094" s="1">
        <f>IFERROR(__xludf.DUMMYFUNCTION("""COMPUTED_VALUE"""),41431.0)</f>
        <v>41431</v>
      </c>
    </row>
    <row r="3095">
      <c r="A3095" s="2">
        <f>IFERROR(__xludf.DUMMYFUNCTION("""COMPUTED_VALUE"""),43658.66666666667)</f>
        <v>43658.66667</v>
      </c>
      <c r="B3095" s="1">
        <f>IFERROR(__xludf.DUMMYFUNCTION("""COMPUTED_VALUE"""),1.88)</f>
        <v>1.88</v>
      </c>
      <c r="C3095" s="1">
        <f>IFERROR(__xludf.DUMMYFUNCTION("""COMPUTED_VALUE"""),1.9)</f>
        <v>1.9</v>
      </c>
      <c r="D3095" s="1">
        <f>IFERROR(__xludf.DUMMYFUNCTION("""COMPUTED_VALUE"""),1.86)</f>
        <v>1.86</v>
      </c>
      <c r="E3095" s="1">
        <f>IFERROR(__xludf.DUMMYFUNCTION("""COMPUTED_VALUE"""),1.86)</f>
        <v>1.86</v>
      </c>
      <c r="F3095" s="1">
        <f>IFERROR(__xludf.DUMMYFUNCTION("""COMPUTED_VALUE"""),40820.0)</f>
        <v>40820</v>
      </c>
    </row>
    <row r="3096">
      <c r="A3096" s="2">
        <f>IFERROR(__xludf.DUMMYFUNCTION("""COMPUTED_VALUE"""),43661.66666666667)</f>
        <v>43661.66667</v>
      </c>
      <c r="B3096" s="1">
        <f>IFERROR(__xludf.DUMMYFUNCTION("""COMPUTED_VALUE"""),1.86)</f>
        <v>1.86</v>
      </c>
      <c r="C3096" s="1">
        <f>IFERROR(__xludf.DUMMYFUNCTION("""COMPUTED_VALUE"""),1.87)</f>
        <v>1.87</v>
      </c>
      <c r="D3096" s="1">
        <f>IFERROR(__xludf.DUMMYFUNCTION("""COMPUTED_VALUE"""),1.85)</f>
        <v>1.85</v>
      </c>
      <c r="E3096" s="1">
        <f>IFERROR(__xludf.DUMMYFUNCTION("""COMPUTED_VALUE"""),1.87)</f>
        <v>1.87</v>
      </c>
      <c r="F3096" s="1">
        <f>IFERROR(__xludf.DUMMYFUNCTION("""COMPUTED_VALUE"""),6094.0)</f>
        <v>6094</v>
      </c>
    </row>
    <row r="3097">
      <c r="A3097" s="2">
        <f>IFERROR(__xludf.DUMMYFUNCTION("""COMPUTED_VALUE"""),43662.66666666667)</f>
        <v>43662.66667</v>
      </c>
      <c r="B3097" s="1">
        <f>IFERROR(__xludf.DUMMYFUNCTION("""COMPUTED_VALUE"""),1.87)</f>
        <v>1.87</v>
      </c>
      <c r="C3097" s="1">
        <f>IFERROR(__xludf.DUMMYFUNCTION("""COMPUTED_VALUE"""),1.92)</f>
        <v>1.92</v>
      </c>
      <c r="D3097" s="1">
        <f>IFERROR(__xludf.DUMMYFUNCTION("""COMPUTED_VALUE"""),1.87)</f>
        <v>1.87</v>
      </c>
      <c r="E3097" s="1">
        <f>IFERROR(__xludf.DUMMYFUNCTION("""COMPUTED_VALUE"""),1.92)</f>
        <v>1.92</v>
      </c>
      <c r="F3097" s="1">
        <f>IFERROR(__xludf.DUMMYFUNCTION("""COMPUTED_VALUE"""),15020.0)</f>
        <v>15020</v>
      </c>
    </row>
    <row r="3098">
      <c r="A3098" s="2">
        <f>IFERROR(__xludf.DUMMYFUNCTION("""COMPUTED_VALUE"""),43663.66666666667)</f>
        <v>43663.66667</v>
      </c>
      <c r="B3098" s="1">
        <f>IFERROR(__xludf.DUMMYFUNCTION("""COMPUTED_VALUE"""),1.91)</f>
        <v>1.91</v>
      </c>
      <c r="C3098" s="1">
        <f>IFERROR(__xludf.DUMMYFUNCTION("""COMPUTED_VALUE"""),1.92)</f>
        <v>1.92</v>
      </c>
      <c r="D3098" s="1">
        <f>IFERROR(__xludf.DUMMYFUNCTION("""COMPUTED_VALUE"""),1.87)</f>
        <v>1.87</v>
      </c>
      <c r="E3098" s="1">
        <f>IFERROR(__xludf.DUMMYFUNCTION("""COMPUTED_VALUE"""),1.88)</f>
        <v>1.88</v>
      </c>
      <c r="F3098" s="1">
        <f>IFERROR(__xludf.DUMMYFUNCTION("""COMPUTED_VALUE"""),45440.0)</f>
        <v>45440</v>
      </c>
    </row>
    <row r="3099">
      <c r="A3099" s="2">
        <f>IFERROR(__xludf.DUMMYFUNCTION("""COMPUTED_VALUE"""),43664.66666666667)</f>
        <v>43664.66667</v>
      </c>
      <c r="B3099" s="1">
        <f>IFERROR(__xludf.DUMMYFUNCTION("""COMPUTED_VALUE"""),1.87)</f>
        <v>1.87</v>
      </c>
      <c r="C3099" s="1">
        <f>IFERROR(__xludf.DUMMYFUNCTION("""COMPUTED_VALUE"""),1.9)</f>
        <v>1.9</v>
      </c>
      <c r="D3099" s="1">
        <f>IFERROR(__xludf.DUMMYFUNCTION("""COMPUTED_VALUE"""),1.86)</f>
        <v>1.86</v>
      </c>
      <c r="E3099" s="1">
        <f>IFERROR(__xludf.DUMMYFUNCTION("""COMPUTED_VALUE"""),1.86)</f>
        <v>1.86</v>
      </c>
      <c r="F3099" s="1">
        <f>IFERROR(__xludf.DUMMYFUNCTION("""COMPUTED_VALUE"""),49671.0)</f>
        <v>49671</v>
      </c>
    </row>
    <row r="3100">
      <c r="A3100" s="2">
        <f>IFERROR(__xludf.DUMMYFUNCTION("""COMPUTED_VALUE"""),43665.66666666667)</f>
        <v>43665.66667</v>
      </c>
      <c r="B3100" s="1">
        <f>IFERROR(__xludf.DUMMYFUNCTION("""COMPUTED_VALUE"""),1.88)</f>
        <v>1.88</v>
      </c>
      <c r="C3100" s="1">
        <f>IFERROR(__xludf.DUMMYFUNCTION("""COMPUTED_VALUE"""),1.9)</f>
        <v>1.9</v>
      </c>
      <c r="D3100" s="1">
        <f>IFERROR(__xludf.DUMMYFUNCTION("""COMPUTED_VALUE"""),1.87)</f>
        <v>1.87</v>
      </c>
      <c r="E3100" s="1">
        <f>IFERROR(__xludf.DUMMYFUNCTION("""COMPUTED_VALUE"""),1.9)</f>
        <v>1.9</v>
      </c>
      <c r="F3100" s="1">
        <f>IFERROR(__xludf.DUMMYFUNCTION("""COMPUTED_VALUE"""),36143.0)</f>
        <v>36143</v>
      </c>
    </row>
    <row r="3101">
      <c r="A3101" s="2">
        <f>IFERROR(__xludf.DUMMYFUNCTION("""COMPUTED_VALUE"""),43668.66666666667)</f>
        <v>43668.66667</v>
      </c>
      <c r="B3101" s="1">
        <f>IFERROR(__xludf.DUMMYFUNCTION("""COMPUTED_VALUE"""),1.91)</f>
        <v>1.91</v>
      </c>
      <c r="C3101" s="1">
        <f>IFERROR(__xludf.DUMMYFUNCTION("""COMPUTED_VALUE"""),2.0)</f>
        <v>2</v>
      </c>
      <c r="D3101" s="1">
        <f>IFERROR(__xludf.DUMMYFUNCTION("""COMPUTED_VALUE"""),1.91)</f>
        <v>1.91</v>
      </c>
      <c r="E3101" s="1">
        <f>IFERROR(__xludf.DUMMYFUNCTION("""COMPUTED_VALUE"""),1.95)</f>
        <v>1.95</v>
      </c>
      <c r="F3101" s="1">
        <f>IFERROR(__xludf.DUMMYFUNCTION("""COMPUTED_VALUE"""),153673.0)</f>
        <v>153673</v>
      </c>
    </row>
    <row r="3102">
      <c r="A3102" s="2">
        <f>IFERROR(__xludf.DUMMYFUNCTION("""COMPUTED_VALUE"""),43669.66666666667)</f>
        <v>43669.66667</v>
      </c>
      <c r="B3102" s="1">
        <f>IFERROR(__xludf.DUMMYFUNCTION("""COMPUTED_VALUE"""),1.97)</f>
        <v>1.97</v>
      </c>
      <c r="C3102" s="1">
        <f>IFERROR(__xludf.DUMMYFUNCTION("""COMPUTED_VALUE"""),1.99)</f>
        <v>1.99</v>
      </c>
      <c r="D3102" s="1">
        <f>IFERROR(__xludf.DUMMYFUNCTION("""COMPUTED_VALUE"""),1.9)</f>
        <v>1.9</v>
      </c>
      <c r="E3102" s="1">
        <f>IFERROR(__xludf.DUMMYFUNCTION("""COMPUTED_VALUE"""),1.91)</f>
        <v>1.91</v>
      </c>
      <c r="F3102" s="1">
        <f>IFERROR(__xludf.DUMMYFUNCTION("""COMPUTED_VALUE"""),53129.0)</f>
        <v>53129</v>
      </c>
    </row>
    <row r="3103">
      <c r="A3103" s="2">
        <f>IFERROR(__xludf.DUMMYFUNCTION("""COMPUTED_VALUE"""),43670.66666666667)</f>
        <v>43670.66667</v>
      </c>
      <c r="B3103" s="1">
        <f>IFERROR(__xludf.DUMMYFUNCTION("""COMPUTED_VALUE"""),1.92)</f>
        <v>1.92</v>
      </c>
      <c r="C3103" s="1">
        <f>IFERROR(__xludf.DUMMYFUNCTION("""COMPUTED_VALUE"""),1.94)</f>
        <v>1.94</v>
      </c>
      <c r="D3103" s="1">
        <f>IFERROR(__xludf.DUMMYFUNCTION("""COMPUTED_VALUE"""),1.92)</f>
        <v>1.92</v>
      </c>
      <c r="E3103" s="1">
        <f>IFERROR(__xludf.DUMMYFUNCTION("""COMPUTED_VALUE"""),1.93)</f>
        <v>1.93</v>
      </c>
      <c r="F3103" s="1">
        <f>IFERROR(__xludf.DUMMYFUNCTION("""COMPUTED_VALUE"""),19134.0)</f>
        <v>19134</v>
      </c>
    </row>
    <row r="3104">
      <c r="A3104" s="2">
        <f>IFERROR(__xludf.DUMMYFUNCTION("""COMPUTED_VALUE"""),43671.66666666667)</f>
        <v>43671.66667</v>
      </c>
      <c r="B3104" s="1">
        <f>IFERROR(__xludf.DUMMYFUNCTION("""COMPUTED_VALUE"""),1.86)</f>
        <v>1.86</v>
      </c>
      <c r="C3104" s="1">
        <f>IFERROR(__xludf.DUMMYFUNCTION("""COMPUTED_VALUE"""),1.91)</f>
        <v>1.91</v>
      </c>
      <c r="D3104" s="1">
        <f>IFERROR(__xludf.DUMMYFUNCTION("""COMPUTED_VALUE"""),1.86)</f>
        <v>1.86</v>
      </c>
      <c r="E3104" s="1">
        <f>IFERROR(__xludf.DUMMYFUNCTION("""COMPUTED_VALUE"""),1.89)</f>
        <v>1.89</v>
      </c>
      <c r="F3104" s="1">
        <f>IFERROR(__xludf.DUMMYFUNCTION("""COMPUTED_VALUE"""),13788.0)</f>
        <v>13788</v>
      </c>
    </row>
    <row r="3105">
      <c r="A3105" s="2">
        <f>IFERROR(__xludf.DUMMYFUNCTION("""COMPUTED_VALUE"""),43672.66666666667)</f>
        <v>43672.66667</v>
      </c>
      <c r="B3105" s="1">
        <f>IFERROR(__xludf.DUMMYFUNCTION("""COMPUTED_VALUE"""),1.89)</f>
        <v>1.89</v>
      </c>
      <c r="C3105" s="1">
        <f>IFERROR(__xludf.DUMMYFUNCTION("""COMPUTED_VALUE"""),1.89)</f>
        <v>1.89</v>
      </c>
      <c r="D3105" s="1">
        <f>IFERROR(__xludf.DUMMYFUNCTION("""COMPUTED_VALUE"""),1.86)</f>
        <v>1.86</v>
      </c>
      <c r="E3105" s="1">
        <f>IFERROR(__xludf.DUMMYFUNCTION("""COMPUTED_VALUE"""),1.87)</f>
        <v>1.87</v>
      </c>
      <c r="F3105" s="1">
        <f>IFERROR(__xludf.DUMMYFUNCTION("""COMPUTED_VALUE"""),17619.0)</f>
        <v>17619</v>
      </c>
    </row>
    <row r="3106">
      <c r="A3106" s="2">
        <f>IFERROR(__xludf.DUMMYFUNCTION("""COMPUTED_VALUE"""),43675.66666666667)</f>
        <v>43675.66667</v>
      </c>
      <c r="B3106" s="1">
        <f>IFERROR(__xludf.DUMMYFUNCTION("""COMPUTED_VALUE"""),1.88)</f>
        <v>1.88</v>
      </c>
      <c r="C3106" s="1">
        <f>IFERROR(__xludf.DUMMYFUNCTION("""COMPUTED_VALUE"""),1.89)</f>
        <v>1.89</v>
      </c>
      <c r="D3106" s="1">
        <f>IFERROR(__xludf.DUMMYFUNCTION("""COMPUTED_VALUE"""),1.85)</f>
        <v>1.85</v>
      </c>
      <c r="E3106" s="1">
        <f>IFERROR(__xludf.DUMMYFUNCTION("""COMPUTED_VALUE"""),1.87)</f>
        <v>1.87</v>
      </c>
      <c r="F3106" s="1">
        <f>IFERROR(__xludf.DUMMYFUNCTION("""COMPUTED_VALUE"""),13046.0)</f>
        <v>13046</v>
      </c>
    </row>
    <row r="3107">
      <c r="A3107" s="2">
        <f>IFERROR(__xludf.DUMMYFUNCTION("""COMPUTED_VALUE"""),43676.66666666667)</f>
        <v>43676.66667</v>
      </c>
      <c r="B3107" s="1">
        <f>IFERROR(__xludf.DUMMYFUNCTION("""COMPUTED_VALUE"""),1.94)</f>
        <v>1.94</v>
      </c>
      <c r="C3107" s="1">
        <f>IFERROR(__xludf.DUMMYFUNCTION("""COMPUTED_VALUE"""),1.94)</f>
        <v>1.94</v>
      </c>
      <c r="D3107" s="1">
        <f>IFERROR(__xludf.DUMMYFUNCTION("""COMPUTED_VALUE"""),1.85)</f>
        <v>1.85</v>
      </c>
      <c r="E3107" s="1">
        <f>IFERROR(__xludf.DUMMYFUNCTION("""COMPUTED_VALUE"""),1.85)</f>
        <v>1.85</v>
      </c>
      <c r="F3107" s="1">
        <f>IFERROR(__xludf.DUMMYFUNCTION("""COMPUTED_VALUE"""),21865.0)</f>
        <v>21865</v>
      </c>
    </row>
    <row r="3108">
      <c r="A3108" s="2">
        <f>IFERROR(__xludf.DUMMYFUNCTION("""COMPUTED_VALUE"""),43677.66666666667)</f>
        <v>43677.66667</v>
      </c>
      <c r="B3108" s="1">
        <f>IFERROR(__xludf.DUMMYFUNCTION("""COMPUTED_VALUE"""),1.85)</f>
        <v>1.85</v>
      </c>
      <c r="C3108" s="1">
        <f>IFERROR(__xludf.DUMMYFUNCTION("""COMPUTED_VALUE"""),1.86)</f>
        <v>1.86</v>
      </c>
      <c r="D3108" s="1">
        <f>IFERROR(__xludf.DUMMYFUNCTION("""COMPUTED_VALUE"""),1.83)</f>
        <v>1.83</v>
      </c>
      <c r="E3108" s="1">
        <f>IFERROR(__xludf.DUMMYFUNCTION("""COMPUTED_VALUE"""),1.83)</f>
        <v>1.83</v>
      </c>
      <c r="F3108" s="1">
        <f>IFERROR(__xludf.DUMMYFUNCTION("""COMPUTED_VALUE"""),32054.0)</f>
        <v>32054</v>
      </c>
    </row>
    <row r="3109">
      <c r="A3109" s="2">
        <f>IFERROR(__xludf.DUMMYFUNCTION("""COMPUTED_VALUE"""),43678.66666666667)</f>
        <v>43678.66667</v>
      </c>
      <c r="B3109" s="1">
        <f>IFERROR(__xludf.DUMMYFUNCTION("""COMPUTED_VALUE"""),1.82)</f>
        <v>1.82</v>
      </c>
      <c r="C3109" s="1">
        <f>IFERROR(__xludf.DUMMYFUNCTION("""COMPUTED_VALUE"""),1.82)</f>
        <v>1.82</v>
      </c>
      <c r="D3109" s="1">
        <f>IFERROR(__xludf.DUMMYFUNCTION("""COMPUTED_VALUE"""),1.8)</f>
        <v>1.8</v>
      </c>
      <c r="E3109" s="1">
        <f>IFERROR(__xludf.DUMMYFUNCTION("""COMPUTED_VALUE"""),1.81)</f>
        <v>1.81</v>
      </c>
      <c r="F3109" s="1">
        <f>IFERROR(__xludf.DUMMYFUNCTION("""COMPUTED_VALUE"""),39412.0)</f>
        <v>39412</v>
      </c>
    </row>
    <row r="3110">
      <c r="A3110" s="2">
        <f>IFERROR(__xludf.DUMMYFUNCTION("""COMPUTED_VALUE"""),43679.66666666667)</f>
        <v>43679.66667</v>
      </c>
      <c r="B3110" s="1">
        <f>IFERROR(__xludf.DUMMYFUNCTION("""COMPUTED_VALUE"""),1.8)</f>
        <v>1.8</v>
      </c>
      <c r="C3110" s="1">
        <f>IFERROR(__xludf.DUMMYFUNCTION("""COMPUTED_VALUE"""),1.8)</f>
        <v>1.8</v>
      </c>
      <c r="D3110" s="1">
        <f>IFERROR(__xludf.DUMMYFUNCTION("""COMPUTED_VALUE"""),1.6)</f>
        <v>1.6</v>
      </c>
      <c r="E3110" s="1">
        <f>IFERROR(__xludf.DUMMYFUNCTION("""COMPUTED_VALUE"""),1.7)</f>
        <v>1.7</v>
      </c>
      <c r="F3110" s="1">
        <f>IFERROR(__xludf.DUMMYFUNCTION("""COMPUTED_VALUE"""),249002.0)</f>
        <v>249002</v>
      </c>
    </row>
    <row r="3111">
      <c r="A3111" s="2">
        <f>IFERROR(__xludf.DUMMYFUNCTION("""COMPUTED_VALUE"""),43682.66666666667)</f>
        <v>43682.66667</v>
      </c>
      <c r="B3111" s="1">
        <f>IFERROR(__xludf.DUMMYFUNCTION("""COMPUTED_VALUE"""),1.7)</f>
        <v>1.7</v>
      </c>
      <c r="C3111" s="1">
        <f>IFERROR(__xludf.DUMMYFUNCTION("""COMPUTED_VALUE"""),1.7)</f>
        <v>1.7</v>
      </c>
      <c r="D3111" s="1">
        <f>IFERROR(__xludf.DUMMYFUNCTION("""COMPUTED_VALUE"""),1.63)</f>
        <v>1.63</v>
      </c>
      <c r="E3111" s="1">
        <f>IFERROR(__xludf.DUMMYFUNCTION("""COMPUTED_VALUE"""),1.63)</f>
        <v>1.63</v>
      </c>
      <c r="F3111" s="1">
        <f>IFERROR(__xludf.DUMMYFUNCTION("""COMPUTED_VALUE"""),488137.0)</f>
        <v>488137</v>
      </c>
    </row>
    <row r="3112">
      <c r="A3112" s="2">
        <f>IFERROR(__xludf.DUMMYFUNCTION("""COMPUTED_VALUE"""),43683.66666666667)</f>
        <v>43683.66667</v>
      </c>
      <c r="B3112" s="1">
        <f>IFERROR(__xludf.DUMMYFUNCTION("""COMPUTED_VALUE"""),1.63)</f>
        <v>1.63</v>
      </c>
      <c r="C3112" s="1">
        <f>IFERROR(__xludf.DUMMYFUNCTION("""COMPUTED_VALUE"""),1.77)</f>
        <v>1.77</v>
      </c>
      <c r="D3112" s="1">
        <f>IFERROR(__xludf.DUMMYFUNCTION("""COMPUTED_VALUE"""),1.63)</f>
        <v>1.63</v>
      </c>
      <c r="E3112" s="1">
        <f>IFERROR(__xludf.DUMMYFUNCTION("""COMPUTED_VALUE"""),1.76)</f>
        <v>1.76</v>
      </c>
      <c r="F3112" s="1">
        <f>IFERROR(__xludf.DUMMYFUNCTION("""COMPUTED_VALUE"""),197687.0)</f>
        <v>197687</v>
      </c>
    </row>
    <row r="3113">
      <c r="A3113" s="2">
        <f>IFERROR(__xludf.DUMMYFUNCTION("""COMPUTED_VALUE"""),43684.66666666667)</f>
        <v>43684.66667</v>
      </c>
      <c r="B3113" s="1">
        <f>IFERROR(__xludf.DUMMYFUNCTION("""COMPUTED_VALUE"""),1.77)</f>
        <v>1.77</v>
      </c>
      <c r="C3113" s="1">
        <f>IFERROR(__xludf.DUMMYFUNCTION("""COMPUTED_VALUE"""),1.9)</f>
        <v>1.9</v>
      </c>
      <c r="D3113" s="1">
        <f>IFERROR(__xludf.DUMMYFUNCTION("""COMPUTED_VALUE"""),1.73)</f>
        <v>1.73</v>
      </c>
      <c r="E3113" s="1">
        <f>IFERROR(__xludf.DUMMYFUNCTION("""COMPUTED_VALUE"""),1.79)</f>
        <v>1.79</v>
      </c>
      <c r="F3113" s="1">
        <f>IFERROR(__xludf.DUMMYFUNCTION("""COMPUTED_VALUE"""),191606.0)</f>
        <v>191606</v>
      </c>
    </row>
    <row r="3114">
      <c r="A3114" s="2">
        <f>IFERROR(__xludf.DUMMYFUNCTION("""COMPUTED_VALUE"""),43685.66666666667)</f>
        <v>43685.66667</v>
      </c>
      <c r="B3114" s="1">
        <f>IFERROR(__xludf.DUMMYFUNCTION("""COMPUTED_VALUE"""),1.77)</f>
        <v>1.77</v>
      </c>
      <c r="C3114" s="1">
        <f>IFERROR(__xludf.DUMMYFUNCTION("""COMPUTED_VALUE"""),1.81)</f>
        <v>1.81</v>
      </c>
      <c r="D3114" s="1">
        <f>IFERROR(__xludf.DUMMYFUNCTION("""COMPUTED_VALUE"""),1.7)</f>
        <v>1.7</v>
      </c>
      <c r="E3114" s="1">
        <f>IFERROR(__xludf.DUMMYFUNCTION("""COMPUTED_VALUE"""),1.8)</f>
        <v>1.8</v>
      </c>
      <c r="F3114" s="1">
        <f>IFERROR(__xludf.DUMMYFUNCTION("""COMPUTED_VALUE"""),64234.0)</f>
        <v>64234</v>
      </c>
    </row>
    <row r="3115">
      <c r="A3115" s="2">
        <f>IFERROR(__xludf.DUMMYFUNCTION("""COMPUTED_VALUE"""),43686.66666666667)</f>
        <v>43686.66667</v>
      </c>
      <c r="B3115" s="1">
        <f>IFERROR(__xludf.DUMMYFUNCTION("""COMPUTED_VALUE"""),1.74)</f>
        <v>1.74</v>
      </c>
      <c r="C3115" s="1">
        <f>IFERROR(__xludf.DUMMYFUNCTION("""COMPUTED_VALUE"""),1.81)</f>
        <v>1.81</v>
      </c>
      <c r="D3115" s="1">
        <f>IFERROR(__xludf.DUMMYFUNCTION("""COMPUTED_VALUE"""),1.69)</f>
        <v>1.69</v>
      </c>
      <c r="E3115" s="1">
        <f>IFERROR(__xludf.DUMMYFUNCTION("""COMPUTED_VALUE"""),1.71)</f>
        <v>1.71</v>
      </c>
      <c r="F3115" s="1">
        <f>IFERROR(__xludf.DUMMYFUNCTION("""COMPUTED_VALUE"""),103975.0)</f>
        <v>103975</v>
      </c>
    </row>
    <row r="3116">
      <c r="A3116" s="2">
        <f>IFERROR(__xludf.DUMMYFUNCTION("""COMPUTED_VALUE"""),43689.66666666667)</f>
        <v>43689.66667</v>
      </c>
      <c r="B3116" s="1">
        <f>IFERROR(__xludf.DUMMYFUNCTION("""COMPUTED_VALUE"""),1.7)</f>
        <v>1.7</v>
      </c>
      <c r="C3116" s="1">
        <f>IFERROR(__xludf.DUMMYFUNCTION("""COMPUTED_VALUE"""),1.76)</f>
        <v>1.76</v>
      </c>
      <c r="D3116" s="1">
        <f>IFERROR(__xludf.DUMMYFUNCTION("""COMPUTED_VALUE"""),1.66)</f>
        <v>1.66</v>
      </c>
      <c r="E3116" s="1">
        <f>IFERROR(__xludf.DUMMYFUNCTION("""COMPUTED_VALUE"""),1.7)</f>
        <v>1.7</v>
      </c>
      <c r="F3116" s="1">
        <f>IFERROR(__xludf.DUMMYFUNCTION("""COMPUTED_VALUE"""),66170.0)</f>
        <v>66170</v>
      </c>
    </row>
    <row r="3117">
      <c r="A3117" s="2">
        <f>IFERROR(__xludf.DUMMYFUNCTION("""COMPUTED_VALUE"""),43690.66666666667)</f>
        <v>43690.66667</v>
      </c>
      <c r="B3117" s="1">
        <f>IFERROR(__xludf.DUMMYFUNCTION("""COMPUTED_VALUE"""),1.7)</f>
        <v>1.7</v>
      </c>
      <c r="C3117" s="1">
        <f>IFERROR(__xludf.DUMMYFUNCTION("""COMPUTED_VALUE"""),1.72)</f>
        <v>1.72</v>
      </c>
      <c r="D3117" s="1">
        <f>IFERROR(__xludf.DUMMYFUNCTION("""COMPUTED_VALUE"""),1.7)</f>
        <v>1.7</v>
      </c>
      <c r="E3117" s="1">
        <f>IFERROR(__xludf.DUMMYFUNCTION("""COMPUTED_VALUE"""),1.7)</f>
        <v>1.7</v>
      </c>
      <c r="F3117" s="1">
        <f>IFERROR(__xludf.DUMMYFUNCTION("""COMPUTED_VALUE"""),42419.0)</f>
        <v>42419</v>
      </c>
    </row>
    <row r="3118">
      <c r="A3118" s="2">
        <f>IFERROR(__xludf.DUMMYFUNCTION("""COMPUTED_VALUE"""),43691.66666666667)</f>
        <v>43691.66667</v>
      </c>
      <c r="B3118" s="1">
        <f>IFERROR(__xludf.DUMMYFUNCTION("""COMPUTED_VALUE"""),1.68)</f>
        <v>1.68</v>
      </c>
      <c r="C3118" s="1">
        <f>IFERROR(__xludf.DUMMYFUNCTION("""COMPUTED_VALUE"""),1.7)</f>
        <v>1.7</v>
      </c>
      <c r="D3118" s="1">
        <f>IFERROR(__xludf.DUMMYFUNCTION("""COMPUTED_VALUE"""),1.65)</f>
        <v>1.65</v>
      </c>
      <c r="E3118" s="1">
        <f>IFERROR(__xludf.DUMMYFUNCTION("""COMPUTED_VALUE"""),1.68)</f>
        <v>1.68</v>
      </c>
      <c r="F3118" s="1">
        <f>IFERROR(__xludf.DUMMYFUNCTION("""COMPUTED_VALUE"""),78602.0)</f>
        <v>78602</v>
      </c>
    </row>
    <row r="3119">
      <c r="A3119" s="2">
        <f>IFERROR(__xludf.DUMMYFUNCTION("""COMPUTED_VALUE"""),43692.66666666667)</f>
        <v>43692.66667</v>
      </c>
      <c r="B3119" s="1">
        <f>IFERROR(__xludf.DUMMYFUNCTION("""COMPUTED_VALUE"""),1.67)</f>
        <v>1.67</v>
      </c>
      <c r="C3119" s="1">
        <f>IFERROR(__xludf.DUMMYFUNCTION("""COMPUTED_VALUE"""),1.7)</f>
        <v>1.7</v>
      </c>
      <c r="D3119" s="1">
        <f>IFERROR(__xludf.DUMMYFUNCTION("""COMPUTED_VALUE"""),1.63)</f>
        <v>1.63</v>
      </c>
      <c r="E3119" s="1">
        <f>IFERROR(__xludf.DUMMYFUNCTION("""COMPUTED_VALUE"""),1.63)</f>
        <v>1.63</v>
      </c>
      <c r="F3119" s="1">
        <f>IFERROR(__xludf.DUMMYFUNCTION("""COMPUTED_VALUE"""),366025.0)</f>
        <v>366025</v>
      </c>
    </row>
    <row r="3120">
      <c r="A3120" s="2">
        <f>IFERROR(__xludf.DUMMYFUNCTION("""COMPUTED_VALUE"""),43693.66666666667)</f>
        <v>43693.66667</v>
      </c>
      <c r="B3120" s="1">
        <f>IFERROR(__xludf.DUMMYFUNCTION("""COMPUTED_VALUE"""),1.69)</f>
        <v>1.69</v>
      </c>
      <c r="C3120" s="1">
        <f>IFERROR(__xludf.DUMMYFUNCTION("""COMPUTED_VALUE"""),1.96)</f>
        <v>1.96</v>
      </c>
      <c r="D3120" s="1">
        <f>IFERROR(__xludf.DUMMYFUNCTION("""COMPUTED_VALUE"""),1.69)</f>
        <v>1.69</v>
      </c>
      <c r="E3120" s="1">
        <f>IFERROR(__xludf.DUMMYFUNCTION("""COMPUTED_VALUE"""),1.93)</f>
        <v>1.93</v>
      </c>
      <c r="F3120" s="1">
        <f>IFERROR(__xludf.DUMMYFUNCTION("""COMPUTED_VALUE"""),336609.0)</f>
        <v>336609</v>
      </c>
    </row>
    <row r="3121">
      <c r="A3121" s="2">
        <f>IFERROR(__xludf.DUMMYFUNCTION("""COMPUTED_VALUE"""),43696.66666666667)</f>
        <v>43696.66667</v>
      </c>
      <c r="B3121" s="1">
        <f>IFERROR(__xludf.DUMMYFUNCTION("""COMPUTED_VALUE"""),1.93)</f>
        <v>1.93</v>
      </c>
      <c r="C3121" s="1">
        <f>IFERROR(__xludf.DUMMYFUNCTION("""COMPUTED_VALUE"""),1.97)</f>
        <v>1.97</v>
      </c>
      <c r="D3121" s="1">
        <f>IFERROR(__xludf.DUMMYFUNCTION("""COMPUTED_VALUE"""),1.91)</f>
        <v>1.91</v>
      </c>
      <c r="E3121" s="1">
        <f>IFERROR(__xludf.DUMMYFUNCTION("""COMPUTED_VALUE"""),1.96)</f>
        <v>1.96</v>
      </c>
      <c r="F3121" s="1">
        <f>IFERROR(__xludf.DUMMYFUNCTION("""COMPUTED_VALUE"""),69143.0)</f>
        <v>69143</v>
      </c>
    </row>
    <row r="3122">
      <c r="A3122" s="2">
        <f>IFERROR(__xludf.DUMMYFUNCTION("""COMPUTED_VALUE"""),43697.66666666667)</f>
        <v>43697.66667</v>
      </c>
      <c r="B3122" s="1">
        <f>IFERROR(__xludf.DUMMYFUNCTION("""COMPUTED_VALUE"""),1.97)</f>
        <v>1.97</v>
      </c>
      <c r="C3122" s="1">
        <f>IFERROR(__xludf.DUMMYFUNCTION("""COMPUTED_VALUE"""),1.99)</f>
        <v>1.99</v>
      </c>
      <c r="D3122" s="1">
        <f>IFERROR(__xludf.DUMMYFUNCTION("""COMPUTED_VALUE"""),1.94)</f>
        <v>1.94</v>
      </c>
      <c r="E3122" s="1">
        <f>IFERROR(__xludf.DUMMYFUNCTION("""COMPUTED_VALUE"""),1.99)</f>
        <v>1.99</v>
      </c>
      <c r="F3122" s="1">
        <f>IFERROR(__xludf.DUMMYFUNCTION("""COMPUTED_VALUE"""),44739.0)</f>
        <v>44739</v>
      </c>
    </row>
    <row r="3123">
      <c r="A3123" s="2">
        <f>IFERROR(__xludf.DUMMYFUNCTION("""COMPUTED_VALUE"""),43698.66666666667)</f>
        <v>43698.66667</v>
      </c>
      <c r="B3123" s="1">
        <f>IFERROR(__xludf.DUMMYFUNCTION("""COMPUTED_VALUE"""),1.96)</f>
        <v>1.96</v>
      </c>
      <c r="C3123" s="1">
        <f>IFERROR(__xludf.DUMMYFUNCTION("""COMPUTED_VALUE"""),2.0)</f>
        <v>2</v>
      </c>
      <c r="D3123" s="1">
        <f>IFERROR(__xludf.DUMMYFUNCTION("""COMPUTED_VALUE"""),1.96)</f>
        <v>1.96</v>
      </c>
      <c r="E3123" s="1">
        <f>IFERROR(__xludf.DUMMYFUNCTION("""COMPUTED_VALUE"""),2.0)</f>
        <v>2</v>
      </c>
      <c r="F3123" s="1">
        <f>IFERROR(__xludf.DUMMYFUNCTION("""COMPUTED_VALUE"""),37802.0)</f>
        <v>37802</v>
      </c>
    </row>
    <row r="3124">
      <c r="A3124" s="2">
        <f>IFERROR(__xludf.DUMMYFUNCTION("""COMPUTED_VALUE"""),43699.66666666667)</f>
        <v>43699.66667</v>
      </c>
      <c r="B3124" s="1">
        <f>IFERROR(__xludf.DUMMYFUNCTION("""COMPUTED_VALUE"""),1.99)</f>
        <v>1.99</v>
      </c>
      <c r="C3124" s="1">
        <f>IFERROR(__xludf.DUMMYFUNCTION("""COMPUTED_VALUE"""),2.01)</f>
        <v>2.01</v>
      </c>
      <c r="D3124" s="1">
        <f>IFERROR(__xludf.DUMMYFUNCTION("""COMPUTED_VALUE"""),1.99)</f>
        <v>1.99</v>
      </c>
      <c r="E3124" s="1">
        <f>IFERROR(__xludf.DUMMYFUNCTION("""COMPUTED_VALUE"""),2.0)</f>
        <v>2</v>
      </c>
      <c r="F3124" s="1">
        <f>IFERROR(__xludf.DUMMYFUNCTION("""COMPUTED_VALUE"""),77141.0)</f>
        <v>77141</v>
      </c>
    </row>
    <row r="3125">
      <c r="A3125" s="2">
        <f>IFERROR(__xludf.DUMMYFUNCTION("""COMPUTED_VALUE"""),43700.66666666667)</f>
        <v>43700.66667</v>
      </c>
      <c r="B3125" s="1">
        <f>IFERROR(__xludf.DUMMYFUNCTION("""COMPUTED_VALUE"""),2.0)</f>
        <v>2</v>
      </c>
      <c r="C3125" s="1">
        <f>IFERROR(__xludf.DUMMYFUNCTION("""COMPUTED_VALUE"""),2.0)</f>
        <v>2</v>
      </c>
      <c r="D3125" s="1">
        <f>IFERROR(__xludf.DUMMYFUNCTION("""COMPUTED_VALUE"""),1.91)</f>
        <v>1.91</v>
      </c>
      <c r="E3125" s="1">
        <f>IFERROR(__xludf.DUMMYFUNCTION("""COMPUTED_VALUE"""),1.94)</f>
        <v>1.94</v>
      </c>
      <c r="F3125" s="1">
        <f>IFERROR(__xludf.DUMMYFUNCTION("""COMPUTED_VALUE"""),102461.0)</f>
        <v>102461</v>
      </c>
    </row>
    <row r="3126">
      <c r="A3126" s="2">
        <f>IFERROR(__xludf.DUMMYFUNCTION("""COMPUTED_VALUE"""),43703.66666666667)</f>
        <v>43703.66667</v>
      </c>
      <c r="B3126" s="1">
        <f>IFERROR(__xludf.DUMMYFUNCTION("""COMPUTED_VALUE"""),1.94)</f>
        <v>1.94</v>
      </c>
      <c r="C3126" s="1">
        <f>IFERROR(__xludf.DUMMYFUNCTION("""COMPUTED_VALUE"""),1.98)</f>
        <v>1.98</v>
      </c>
      <c r="D3126" s="1">
        <f>IFERROR(__xludf.DUMMYFUNCTION("""COMPUTED_VALUE"""),1.92)</f>
        <v>1.92</v>
      </c>
      <c r="E3126" s="1">
        <f>IFERROR(__xludf.DUMMYFUNCTION("""COMPUTED_VALUE"""),1.93)</f>
        <v>1.93</v>
      </c>
      <c r="F3126" s="1">
        <f>IFERROR(__xludf.DUMMYFUNCTION("""COMPUTED_VALUE"""),47962.0)</f>
        <v>47962</v>
      </c>
    </row>
    <row r="3127">
      <c r="A3127" s="2">
        <f>IFERROR(__xludf.DUMMYFUNCTION("""COMPUTED_VALUE"""),43704.66666666667)</f>
        <v>43704.66667</v>
      </c>
      <c r="B3127" s="1">
        <f>IFERROR(__xludf.DUMMYFUNCTION("""COMPUTED_VALUE"""),1.92)</f>
        <v>1.92</v>
      </c>
      <c r="C3127" s="1">
        <f>IFERROR(__xludf.DUMMYFUNCTION("""COMPUTED_VALUE"""),1.94)</f>
        <v>1.94</v>
      </c>
      <c r="D3127" s="1">
        <f>IFERROR(__xludf.DUMMYFUNCTION("""COMPUTED_VALUE"""),1.86)</f>
        <v>1.86</v>
      </c>
      <c r="E3127" s="1">
        <f>IFERROR(__xludf.DUMMYFUNCTION("""COMPUTED_VALUE"""),1.91)</f>
        <v>1.91</v>
      </c>
      <c r="F3127" s="1">
        <f>IFERROR(__xludf.DUMMYFUNCTION("""COMPUTED_VALUE"""),13605.0)</f>
        <v>13605</v>
      </c>
    </row>
    <row r="3128">
      <c r="A3128" s="2">
        <f>IFERROR(__xludf.DUMMYFUNCTION("""COMPUTED_VALUE"""),43705.66666666667)</f>
        <v>43705.66667</v>
      </c>
      <c r="B3128" s="1">
        <f>IFERROR(__xludf.DUMMYFUNCTION("""COMPUTED_VALUE"""),1.86)</f>
        <v>1.86</v>
      </c>
      <c r="C3128" s="1">
        <f>IFERROR(__xludf.DUMMYFUNCTION("""COMPUTED_VALUE"""),1.95)</f>
        <v>1.95</v>
      </c>
      <c r="D3128" s="1">
        <f>IFERROR(__xludf.DUMMYFUNCTION("""COMPUTED_VALUE"""),1.85)</f>
        <v>1.85</v>
      </c>
      <c r="E3128" s="1">
        <f>IFERROR(__xludf.DUMMYFUNCTION("""COMPUTED_VALUE"""),1.94)</f>
        <v>1.94</v>
      </c>
      <c r="F3128" s="1">
        <f>IFERROR(__xludf.DUMMYFUNCTION("""COMPUTED_VALUE"""),10419.0)</f>
        <v>10419</v>
      </c>
    </row>
    <row r="3129">
      <c r="A3129" s="2">
        <f>IFERROR(__xludf.DUMMYFUNCTION("""COMPUTED_VALUE"""),43706.66666666667)</f>
        <v>43706.66667</v>
      </c>
      <c r="B3129" s="1">
        <f>IFERROR(__xludf.DUMMYFUNCTION("""COMPUTED_VALUE"""),1.9)</f>
        <v>1.9</v>
      </c>
      <c r="C3129" s="1">
        <f>IFERROR(__xludf.DUMMYFUNCTION("""COMPUTED_VALUE"""),1.98)</f>
        <v>1.98</v>
      </c>
      <c r="D3129" s="1">
        <f>IFERROR(__xludf.DUMMYFUNCTION("""COMPUTED_VALUE"""),1.9)</f>
        <v>1.9</v>
      </c>
      <c r="E3129" s="1">
        <f>IFERROR(__xludf.DUMMYFUNCTION("""COMPUTED_VALUE"""),1.96)</f>
        <v>1.96</v>
      </c>
      <c r="F3129" s="1">
        <f>IFERROR(__xludf.DUMMYFUNCTION("""COMPUTED_VALUE"""),22445.0)</f>
        <v>22445</v>
      </c>
    </row>
    <row r="3130">
      <c r="A3130" s="2">
        <f>IFERROR(__xludf.DUMMYFUNCTION("""COMPUTED_VALUE"""),43707.66666666667)</f>
        <v>43707.66667</v>
      </c>
      <c r="B3130" s="1">
        <f>IFERROR(__xludf.DUMMYFUNCTION("""COMPUTED_VALUE"""),1.94)</f>
        <v>1.94</v>
      </c>
      <c r="C3130" s="1">
        <f>IFERROR(__xludf.DUMMYFUNCTION("""COMPUTED_VALUE"""),1.94)</f>
        <v>1.94</v>
      </c>
      <c r="D3130" s="1">
        <f>IFERROR(__xludf.DUMMYFUNCTION("""COMPUTED_VALUE"""),1.85)</f>
        <v>1.85</v>
      </c>
      <c r="E3130" s="1">
        <f>IFERROR(__xludf.DUMMYFUNCTION("""COMPUTED_VALUE"""),1.89)</f>
        <v>1.89</v>
      </c>
      <c r="F3130" s="1">
        <f>IFERROR(__xludf.DUMMYFUNCTION("""COMPUTED_VALUE"""),81790.0)</f>
        <v>81790</v>
      </c>
    </row>
    <row r="3131">
      <c r="A3131" s="2">
        <f>IFERROR(__xludf.DUMMYFUNCTION("""COMPUTED_VALUE"""),43711.66666666667)</f>
        <v>43711.66667</v>
      </c>
      <c r="B3131" s="1">
        <f>IFERROR(__xludf.DUMMYFUNCTION("""COMPUTED_VALUE"""),1.88)</f>
        <v>1.88</v>
      </c>
      <c r="C3131" s="1">
        <f>IFERROR(__xludf.DUMMYFUNCTION("""COMPUTED_VALUE"""),1.89)</f>
        <v>1.89</v>
      </c>
      <c r="D3131" s="1">
        <f>IFERROR(__xludf.DUMMYFUNCTION("""COMPUTED_VALUE"""),1.81)</f>
        <v>1.81</v>
      </c>
      <c r="E3131" s="1">
        <f>IFERROR(__xludf.DUMMYFUNCTION("""COMPUTED_VALUE"""),1.84)</f>
        <v>1.84</v>
      </c>
      <c r="F3131" s="1">
        <f>IFERROR(__xludf.DUMMYFUNCTION("""COMPUTED_VALUE"""),82180.0)</f>
        <v>82180</v>
      </c>
    </row>
    <row r="3132">
      <c r="A3132" s="2">
        <f>IFERROR(__xludf.DUMMYFUNCTION("""COMPUTED_VALUE"""),43712.66666666667)</f>
        <v>43712.66667</v>
      </c>
      <c r="B3132" s="1">
        <f>IFERROR(__xludf.DUMMYFUNCTION("""COMPUTED_VALUE"""),1.84)</f>
        <v>1.84</v>
      </c>
      <c r="C3132" s="1">
        <f>IFERROR(__xludf.DUMMYFUNCTION("""COMPUTED_VALUE"""),1.87)</f>
        <v>1.87</v>
      </c>
      <c r="D3132" s="1">
        <f>IFERROR(__xludf.DUMMYFUNCTION("""COMPUTED_VALUE"""),1.83)</f>
        <v>1.83</v>
      </c>
      <c r="E3132" s="1">
        <f>IFERROR(__xludf.DUMMYFUNCTION("""COMPUTED_VALUE"""),1.86)</f>
        <v>1.86</v>
      </c>
      <c r="F3132" s="1">
        <f>IFERROR(__xludf.DUMMYFUNCTION("""COMPUTED_VALUE"""),36829.0)</f>
        <v>36829</v>
      </c>
    </row>
    <row r="3133">
      <c r="A3133" s="2">
        <f>IFERROR(__xludf.DUMMYFUNCTION("""COMPUTED_VALUE"""),43713.66666666667)</f>
        <v>43713.66667</v>
      </c>
      <c r="B3133" s="1">
        <f>IFERROR(__xludf.DUMMYFUNCTION("""COMPUTED_VALUE"""),1.86)</f>
        <v>1.86</v>
      </c>
      <c r="C3133" s="1">
        <f>IFERROR(__xludf.DUMMYFUNCTION("""COMPUTED_VALUE"""),1.9)</f>
        <v>1.9</v>
      </c>
      <c r="D3133" s="1">
        <f>IFERROR(__xludf.DUMMYFUNCTION("""COMPUTED_VALUE"""),1.86)</f>
        <v>1.86</v>
      </c>
      <c r="E3133" s="1">
        <f>IFERROR(__xludf.DUMMYFUNCTION("""COMPUTED_VALUE"""),1.89)</f>
        <v>1.89</v>
      </c>
      <c r="F3133" s="1">
        <f>IFERROR(__xludf.DUMMYFUNCTION("""COMPUTED_VALUE"""),111075.0)</f>
        <v>111075</v>
      </c>
    </row>
    <row r="3134">
      <c r="A3134" s="2">
        <f>IFERROR(__xludf.DUMMYFUNCTION("""COMPUTED_VALUE"""),43714.66666666667)</f>
        <v>43714.66667</v>
      </c>
      <c r="B3134" s="1">
        <f>IFERROR(__xludf.DUMMYFUNCTION("""COMPUTED_VALUE"""),1.89)</f>
        <v>1.89</v>
      </c>
      <c r="C3134" s="1">
        <f>IFERROR(__xludf.DUMMYFUNCTION("""COMPUTED_VALUE"""),1.92)</f>
        <v>1.92</v>
      </c>
      <c r="D3134" s="1">
        <f>IFERROR(__xludf.DUMMYFUNCTION("""COMPUTED_VALUE"""),1.89)</f>
        <v>1.89</v>
      </c>
      <c r="E3134" s="1">
        <f>IFERROR(__xludf.DUMMYFUNCTION("""COMPUTED_VALUE"""),1.92)</f>
        <v>1.92</v>
      </c>
      <c r="F3134" s="1">
        <f>IFERROR(__xludf.DUMMYFUNCTION("""COMPUTED_VALUE"""),46771.0)</f>
        <v>46771</v>
      </c>
    </row>
    <row r="3135">
      <c r="A3135" s="2">
        <f>IFERROR(__xludf.DUMMYFUNCTION("""COMPUTED_VALUE"""),43717.66666666667)</f>
        <v>43717.66667</v>
      </c>
      <c r="B3135" s="1">
        <f>IFERROR(__xludf.DUMMYFUNCTION("""COMPUTED_VALUE"""),1.91)</f>
        <v>1.91</v>
      </c>
      <c r="C3135" s="1">
        <f>IFERROR(__xludf.DUMMYFUNCTION("""COMPUTED_VALUE"""),1.98)</f>
        <v>1.98</v>
      </c>
      <c r="D3135" s="1">
        <f>IFERROR(__xludf.DUMMYFUNCTION("""COMPUTED_VALUE"""),1.91)</f>
        <v>1.91</v>
      </c>
      <c r="E3135" s="1">
        <f>IFERROR(__xludf.DUMMYFUNCTION("""COMPUTED_VALUE"""),1.94)</f>
        <v>1.94</v>
      </c>
      <c r="F3135" s="1">
        <f>IFERROR(__xludf.DUMMYFUNCTION("""COMPUTED_VALUE"""),78202.0)</f>
        <v>78202</v>
      </c>
    </row>
    <row r="3136">
      <c r="A3136" s="2">
        <f>IFERROR(__xludf.DUMMYFUNCTION("""COMPUTED_VALUE"""),43718.66666666667)</f>
        <v>43718.66667</v>
      </c>
      <c r="B3136" s="1">
        <f>IFERROR(__xludf.DUMMYFUNCTION("""COMPUTED_VALUE"""),1.94)</f>
        <v>1.94</v>
      </c>
      <c r="C3136" s="1">
        <f>IFERROR(__xludf.DUMMYFUNCTION("""COMPUTED_VALUE"""),1.94)</f>
        <v>1.94</v>
      </c>
      <c r="D3136" s="1">
        <f>IFERROR(__xludf.DUMMYFUNCTION("""COMPUTED_VALUE"""),1.92)</f>
        <v>1.92</v>
      </c>
      <c r="E3136" s="1">
        <f>IFERROR(__xludf.DUMMYFUNCTION("""COMPUTED_VALUE"""),1.93)</f>
        <v>1.93</v>
      </c>
      <c r="F3136" s="1">
        <f>IFERROR(__xludf.DUMMYFUNCTION("""COMPUTED_VALUE"""),64892.0)</f>
        <v>64892</v>
      </c>
    </row>
    <row r="3137">
      <c r="A3137" s="2">
        <f>IFERROR(__xludf.DUMMYFUNCTION("""COMPUTED_VALUE"""),43719.66666666667)</f>
        <v>43719.66667</v>
      </c>
      <c r="B3137" s="1">
        <f>IFERROR(__xludf.DUMMYFUNCTION("""COMPUTED_VALUE"""),1.93)</f>
        <v>1.93</v>
      </c>
      <c r="C3137" s="1">
        <f>IFERROR(__xludf.DUMMYFUNCTION("""COMPUTED_VALUE"""),1.93)</f>
        <v>1.93</v>
      </c>
      <c r="D3137" s="1">
        <f>IFERROR(__xludf.DUMMYFUNCTION("""COMPUTED_VALUE"""),1.9)</f>
        <v>1.9</v>
      </c>
      <c r="E3137" s="1">
        <f>IFERROR(__xludf.DUMMYFUNCTION("""COMPUTED_VALUE"""),1.91)</f>
        <v>1.91</v>
      </c>
      <c r="F3137" s="1">
        <f>IFERROR(__xludf.DUMMYFUNCTION("""COMPUTED_VALUE"""),278532.0)</f>
        <v>278532</v>
      </c>
    </row>
    <row r="3138">
      <c r="A3138" s="2">
        <f>IFERROR(__xludf.DUMMYFUNCTION("""COMPUTED_VALUE"""),43720.66666666667)</f>
        <v>43720.66667</v>
      </c>
      <c r="B3138" s="1">
        <f>IFERROR(__xludf.DUMMYFUNCTION("""COMPUTED_VALUE"""),1.9)</f>
        <v>1.9</v>
      </c>
      <c r="C3138" s="1">
        <f>IFERROR(__xludf.DUMMYFUNCTION("""COMPUTED_VALUE"""),1.94)</f>
        <v>1.94</v>
      </c>
      <c r="D3138" s="1">
        <f>IFERROR(__xludf.DUMMYFUNCTION("""COMPUTED_VALUE"""),1.9)</f>
        <v>1.9</v>
      </c>
      <c r="E3138" s="1">
        <f>IFERROR(__xludf.DUMMYFUNCTION("""COMPUTED_VALUE"""),1.9)</f>
        <v>1.9</v>
      </c>
      <c r="F3138" s="1">
        <f>IFERROR(__xludf.DUMMYFUNCTION("""COMPUTED_VALUE"""),67670.0)</f>
        <v>67670</v>
      </c>
    </row>
    <row r="3139">
      <c r="A3139" s="2">
        <f>IFERROR(__xludf.DUMMYFUNCTION("""COMPUTED_VALUE"""),43721.66666666667)</f>
        <v>43721.66667</v>
      </c>
      <c r="B3139" s="1">
        <f>IFERROR(__xludf.DUMMYFUNCTION("""COMPUTED_VALUE"""),1.91)</f>
        <v>1.91</v>
      </c>
      <c r="C3139" s="1">
        <f>IFERROR(__xludf.DUMMYFUNCTION("""COMPUTED_VALUE"""),1.93)</f>
        <v>1.93</v>
      </c>
      <c r="D3139" s="1">
        <f>IFERROR(__xludf.DUMMYFUNCTION("""COMPUTED_VALUE"""),1.89)</f>
        <v>1.89</v>
      </c>
      <c r="E3139" s="1">
        <f>IFERROR(__xludf.DUMMYFUNCTION("""COMPUTED_VALUE"""),1.91)</f>
        <v>1.91</v>
      </c>
      <c r="F3139" s="1">
        <f>IFERROR(__xludf.DUMMYFUNCTION("""COMPUTED_VALUE"""),93552.0)</f>
        <v>93552</v>
      </c>
    </row>
    <row r="3140">
      <c r="A3140" s="2">
        <f>IFERROR(__xludf.DUMMYFUNCTION("""COMPUTED_VALUE"""),43724.66666666667)</f>
        <v>43724.66667</v>
      </c>
      <c r="B3140" s="1">
        <f>IFERROR(__xludf.DUMMYFUNCTION("""COMPUTED_VALUE"""),1.91)</f>
        <v>1.91</v>
      </c>
      <c r="C3140" s="1">
        <f>IFERROR(__xludf.DUMMYFUNCTION("""COMPUTED_VALUE"""),1.95)</f>
        <v>1.95</v>
      </c>
      <c r="D3140" s="1">
        <f>IFERROR(__xludf.DUMMYFUNCTION("""COMPUTED_VALUE"""),1.87)</f>
        <v>1.87</v>
      </c>
      <c r="E3140" s="1">
        <f>IFERROR(__xludf.DUMMYFUNCTION("""COMPUTED_VALUE"""),1.93)</f>
        <v>1.93</v>
      </c>
      <c r="F3140" s="1">
        <f>IFERROR(__xludf.DUMMYFUNCTION("""COMPUTED_VALUE"""),32796.0)</f>
        <v>32796</v>
      </c>
    </row>
    <row r="3141">
      <c r="A3141" s="2">
        <f>IFERROR(__xludf.DUMMYFUNCTION("""COMPUTED_VALUE"""),43725.66666666667)</f>
        <v>43725.66667</v>
      </c>
      <c r="B3141" s="1">
        <f>IFERROR(__xludf.DUMMYFUNCTION("""COMPUTED_VALUE"""),1.95)</f>
        <v>1.95</v>
      </c>
      <c r="C3141" s="1">
        <f>IFERROR(__xludf.DUMMYFUNCTION("""COMPUTED_VALUE"""),1.97)</f>
        <v>1.97</v>
      </c>
      <c r="D3141" s="1">
        <f>IFERROR(__xludf.DUMMYFUNCTION("""COMPUTED_VALUE"""),1.95)</f>
        <v>1.95</v>
      </c>
      <c r="E3141" s="1">
        <f>IFERROR(__xludf.DUMMYFUNCTION("""COMPUTED_VALUE"""),1.95)</f>
        <v>1.95</v>
      </c>
      <c r="F3141" s="1">
        <f>IFERROR(__xludf.DUMMYFUNCTION("""COMPUTED_VALUE"""),56849.0)</f>
        <v>56849</v>
      </c>
    </row>
    <row r="3142">
      <c r="A3142" s="2">
        <f>IFERROR(__xludf.DUMMYFUNCTION("""COMPUTED_VALUE"""),43726.66666666667)</f>
        <v>43726.66667</v>
      </c>
      <c r="B3142" s="1">
        <f>IFERROR(__xludf.DUMMYFUNCTION("""COMPUTED_VALUE"""),1.96)</f>
        <v>1.96</v>
      </c>
      <c r="C3142" s="1">
        <f>IFERROR(__xludf.DUMMYFUNCTION("""COMPUTED_VALUE"""),1.97)</f>
        <v>1.97</v>
      </c>
      <c r="D3142" s="1">
        <f>IFERROR(__xludf.DUMMYFUNCTION("""COMPUTED_VALUE"""),1.9)</f>
        <v>1.9</v>
      </c>
      <c r="E3142" s="1">
        <f>IFERROR(__xludf.DUMMYFUNCTION("""COMPUTED_VALUE"""),1.97)</f>
        <v>1.97</v>
      </c>
      <c r="F3142" s="1">
        <f>IFERROR(__xludf.DUMMYFUNCTION("""COMPUTED_VALUE"""),93011.0)</f>
        <v>93011</v>
      </c>
    </row>
    <row r="3143">
      <c r="A3143" s="2">
        <f>IFERROR(__xludf.DUMMYFUNCTION("""COMPUTED_VALUE"""),43727.66666666667)</f>
        <v>43727.66667</v>
      </c>
      <c r="B3143" s="1">
        <f>IFERROR(__xludf.DUMMYFUNCTION("""COMPUTED_VALUE"""),1.96)</f>
        <v>1.96</v>
      </c>
      <c r="C3143" s="1">
        <f>IFERROR(__xludf.DUMMYFUNCTION("""COMPUTED_VALUE"""),1.97)</f>
        <v>1.97</v>
      </c>
      <c r="D3143" s="1">
        <f>IFERROR(__xludf.DUMMYFUNCTION("""COMPUTED_VALUE"""),1.95)</f>
        <v>1.95</v>
      </c>
      <c r="E3143" s="1">
        <f>IFERROR(__xludf.DUMMYFUNCTION("""COMPUTED_VALUE"""),1.96)</f>
        <v>1.96</v>
      </c>
      <c r="F3143" s="1">
        <f>IFERROR(__xludf.DUMMYFUNCTION("""COMPUTED_VALUE"""),20981.0)</f>
        <v>20981</v>
      </c>
    </row>
    <row r="3144">
      <c r="A3144" s="2">
        <f>IFERROR(__xludf.DUMMYFUNCTION("""COMPUTED_VALUE"""),43728.66666666667)</f>
        <v>43728.66667</v>
      </c>
      <c r="B3144" s="1">
        <f>IFERROR(__xludf.DUMMYFUNCTION("""COMPUTED_VALUE"""),1.96)</f>
        <v>1.96</v>
      </c>
      <c r="C3144" s="1">
        <f>IFERROR(__xludf.DUMMYFUNCTION("""COMPUTED_VALUE"""),1.98)</f>
        <v>1.98</v>
      </c>
      <c r="D3144" s="1">
        <f>IFERROR(__xludf.DUMMYFUNCTION("""COMPUTED_VALUE"""),1.96)</f>
        <v>1.96</v>
      </c>
      <c r="E3144" s="1">
        <f>IFERROR(__xludf.DUMMYFUNCTION("""COMPUTED_VALUE"""),1.98)</f>
        <v>1.98</v>
      </c>
      <c r="F3144" s="1">
        <f>IFERROR(__xludf.DUMMYFUNCTION("""COMPUTED_VALUE"""),60339.0)</f>
        <v>60339</v>
      </c>
    </row>
    <row r="3145">
      <c r="A3145" s="2">
        <f>IFERROR(__xludf.DUMMYFUNCTION("""COMPUTED_VALUE"""),43731.66666666667)</f>
        <v>43731.66667</v>
      </c>
      <c r="B3145" s="1">
        <f>IFERROR(__xludf.DUMMYFUNCTION("""COMPUTED_VALUE"""),1.97)</f>
        <v>1.97</v>
      </c>
      <c r="C3145" s="1">
        <f>IFERROR(__xludf.DUMMYFUNCTION("""COMPUTED_VALUE"""),1.99)</f>
        <v>1.99</v>
      </c>
      <c r="D3145" s="1">
        <f>IFERROR(__xludf.DUMMYFUNCTION("""COMPUTED_VALUE"""),1.96)</f>
        <v>1.96</v>
      </c>
      <c r="E3145" s="1">
        <f>IFERROR(__xludf.DUMMYFUNCTION("""COMPUTED_VALUE"""),1.96)</f>
        <v>1.96</v>
      </c>
      <c r="F3145" s="1">
        <f>IFERROR(__xludf.DUMMYFUNCTION("""COMPUTED_VALUE"""),157148.0)</f>
        <v>157148</v>
      </c>
    </row>
    <row r="3146">
      <c r="A3146" s="2">
        <f>IFERROR(__xludf.DUMMYFUNCTION("""COMPUTED_VALUE"""),43732.66666666667)</f>
        <v>43732.66667</v>
      </c>
      <c r="B3146" s="1">
        <f>IFERROR(__xludf.DUMMYFUNCTION("""COMPUTED_VALUE"""),1.96)</f>
        <v>1.96</v>
      </c>
      <c r="C3146" s="1">
        <f>IFERROR(__xludf.DUMMYFUNCTION("""COMPUTED_VALUE"""),1.97)</f>
        <v>1.97</v>
      </c>
      <c r="D3146" s="1">
        <f>IFERROR(__xludf.DUMMYFUNCTION("""COMPUTED_VALUE"""),1.93)</f>
        <v>1.93</v>
      </c>
      <c r="E3146" s="1">
        <f>IFERROR(__xludf.DUMMYFUNCTION("""COMPUTED_VALUE"""),1.96)</f>
        <v>1.96</v>
      </c>
      <c r="F3146" s="1">
        <f>IFERROR(__xludf.DUMMYFUNCTION("""COMPUTED_VALUE"""),265199.0)</f>
        <v>265199</v>
      </c>
    </row>
    <row r="3147">
      <c r="A3147" s="2">
        <f>IFERROR(__xludf.DUMMYFUNCTION("""COMPUTED_VALUE"""),43733.66666666667)</f>
        <v>43733.66667</v>
      </c>
      <c r="B3147" s="1">
        <f>IFERROR(__xludf.DUMMYFUNCTION("""COMPUTED_VALUE"""),1.93)</f>
        <v>1.93</v>
      </c>
      <c r="C3147" s="1">
        <f>IFERROR(__xludf.DUMMYFUNCTION("""COMPUTED_VALUE"""),1.93)</f>
        <v>1.93</v>
      </c>
      <c r="D3147" s="1">
        <f>IFERROR(__xludf.DUMMYFUNCTION("""COMPUTED_VALUE"""),1.86)</f>
        <v>1.86</v>
      </c>
      <c r="E3147" s="1">
        <f>IFERROR(__xludf.DUMMYFUNCTION("""COMPUTED_VALUE"""),1.93)</f>
        <v>1.93</v>
      </c>
      <c r="F3147" s="1">
        <f>IFERROR(__xludf.DUMMYFUNCTION("""COMPUTED_VALUE"""),20311.0)</f>
        <v>20311</v>
      </c>
    </row>
    <row r="3148">
      <c r="A3148" s="2">
        <f>IFERROR(__xludf.DUMMYFUNCTION("""COMPUTED_VALUE"""),43734.66666666667)</f>
        <v>43734.66667</v>
      </c>
      <c r="B3148" s="1">
        <f>IFERROR(__xludf.DUMMYFUNCTION("""COMPUTED_VALUE"""),1.9)</f>
        <v>1.9</v>
      </c>
      <c r="C3148" s="1">
        <f>IFERROR(__xludf.DUMMYFUNCTION("""COMPUTED_VALUE"""),1.93)</f>
        <v>1.93</v>
      </c>
      <c r="D3148" s="1">
        <f>IFERROR(__xludf.DUMMYFUNCTION("""COMPUTED_VALUE"""),1.88)</f>
        <v>1.88</v>
      </c>
      <c r="E3148" s="1">
        <f>IFERROR(__xludf.DUMMYFUNCTION("""COMPUTED_VALUE"""),1.88)</f>
        <v>1.88</v>
      </c>
      <c r="F3148" s="1">
        <f>IFERROR(__xludf.DUMMYFUNCTION("""COMPUTED_VALUE"""),73274.0)</f>
        <v>73274</v>
      </c>
    </row>
    <row r="3149">
      <c r="A3149" s="2">
        <f>IFERROR(__xludf.DUMMYFUNCTION("""COMPUTED_VALUE"""),43735.66666666667)</f>
        <v>43735.66667</v>
      </c>
      <c r="B3149" s="1">
        <f>IFERROR(__xludf.DUMMYFUNCTION("""COMPUTED_VALUE"""),1.92)</f>
        <v>1.92</v>
      </c>
      <c r="C3149" s="1">
        <f>IFERROR(__xludf.DUMMYFUNCTION("""COMPUTED_VALUE"""),1.93)</f>
        <v>1.93</v>
      </c>
      <c r="D3149" s="1">
        <f>IFERROR(__xludf.DUMMYFUNCTION("""COMPUTED_VALUE"""),1.89)</f>
        <v>1.89</v>
      </c>
      <c r="E3149" s="1">
        <f>IFERROR(__xludf.DUMMYFUNCTION("""COMPUTED_VALUE"""),1.91)</f>
        <v>1.91</v>
      </c>
      <c r="F3149" s="1">
        <f>IFERROR(__xludf.DUMMYFUNCTION("""COMPUTED_VALUE"""),41021.0)</f>
        <v>41021</v>
      </c>
    </row>
    <row r="3150">
      <c r="A3150" s="2">
        <f>IFERROR(__xludf.DUMMYFUNCTION("""COMPUTED_VALUE"""),43738.66666666667)</f>
        <v>43738.66667</v>
      </c>
      <c r="B3150" s="1">
        <f>IFERROR(__xludf.DUMMYFUNCTION("""COMPUTED_VALUE"""),1.89)</f>
        <v>1.89</v>
      </c>
      <c r="C3150" s="1">
        <f>IFERROR(__xludf.DUMMYFUNCTION("""COMPUTED_VALUE"""),1.92)</f>
        <v>1.92</v>
      </c>
      <c r="D3150" s="1">
        <f>IFERROR(__xludf.DUMMYFUNCTION("""COMPUTED_VALUE"""),1.89)</f>
        <v>1.89</v>
      </c>
      <c r="E3150" s="1">
        <f>IFERROR(__xludf.DUMMYFUNCTION("""COMPUTED_VALUE"""),1.92)</f>
        <v>1.92</v>
      </c>
      <c r="F3150" s="1">
        <f>IFERROR(__xludf.DUMMYFUNCTION("""COMPUTED_VALUE"""),16081.0)</f>
        <v>16081</v>
      </c>
    </row>
    <row r="3151">
      <c r="A3151" s="2">
        <f>IFERROR(__xludf.DUMMYFUNCTION("""COMPUTED_VALUE"""),43739.66666666667)</f>
        <v>43739.66667</v>
      </c>
      <c r="B3151" s="1">
        <f>IFERROR(__xludf.DUMMYFUNCTION("""COMPUTED_VALUE"""),1.92)</f>
        <v>1.92</v>
      </c>
      <c r="C3151" s="1">
        <f>IFERROR(__xludf.DUMMYFUNCTION("""COMPUTED_VALUE"""),1.95)</f>
        <v>1.95</v>
      </c>
      <c r="D3151" s="1">
        <f>IFERROR(__xludf.DUMMYFUNCTION("""COMPUTED_VALUE"""),1.91)</f>
        <v>1.91</v>
      </c>
      <c r="E3151" s="1">
        <f>IFERROR(__xludf.DUMMYFUNCTION("""COMPUTED_VALUE"""),1.94)</f>
        <v>1.94</v>
      </c>
      <c r="F3151" s="1">
        <f>IFERROR(__xludf.DUMMYFUNCTION("""COMPUTED_VALUE"""),194522.0)</f>
        <v>194522</v>
      </c>
    </row>
    <row r="3152">
      <c r="A3152" s="2">
        <f>IFERROR(__xludf.DUMMYFUNCTION("""COMPUTED_VALUE"""),43740.66666666667)</f>
        <v>43740.66667</v>
      </c>
      <c r="B3152" s="1">
        <f>IFERROR(__xludf.DUMMYFUNCTION("""COMPUTED_VALUE"""),1.92)</f>
        <v>1.92</v>
      </c>
      <c r="C3152" s="1">
        <f>IFERROR(__xludf.DUMMYFUNCTION("""COMPUTED_VALUE"""),1.93)</f>
        <v>1.93</v>
      </c>
      <c r="D3152" s="1">
        <f>IFERROR(__xludf.DUMMYFUNCTION("""COMPUTED_VALUE"""),1.91)</f>
        <v>1.91</v>
      </c>
      <c r="E3152" s="1">
        <f>IFERROR(__xludf.DUMMYFUNCTION("""COMPUTED_VALUE"""),1.93)</f>
        <v>1.93</v>
      </c>
      <c r="F3152" s="1">
        <f>IFERROR(__xludf.DUMMYFUNCTION("""COMPUTED_VALUE"""),16531.0)</f>
        <v>16531</v>
      </c>
    </row>
    <row r="3153">
      <c r="A3153" s="2">
        <f>IFERROR(__xludf.DUMMYFUNCTION("""COMPUTED_VALUE"""),43741.66666666667)</f>
        <v>43741.66667</v>
      </c>
      <c r="B3153" s="1">
        <f>IFERROR(__xludf.DUMMYFUNCTION("""COMPUTED_VALUE"""),1.92)</f>
        <v>1.92</v>
      </c>
      <c r="C3153" s="1">
        <f>IFERROR(__xludf.DUMMYFUNCTION("""COMPUTED_VALUE"""),1.93)</f>
        <v>1.93</v>
      </c>
      <c r="D3153" s="1">
        <f>IFERROR(__xludf.DUMMYFUNCTION("""COMPUTED_VALUE"""),1.91)</f>
        <v>1.91</v>
      </c>
      <c r="E3153" s="1">
        <f>IFERROR(__xludf.DUMMYFUNCTION("""COMPUTED_VALUE"""),1.92)</f>
        <v>1.92</v>
      </c>
      <c r="F3153" s="1">
        <f>IFERROR(__xludf.DUMMYFUNCTION("""COMPUTED_VALUE"""),49154.0)</f>
        <v>49154</v>
      </c>
    </row>
    <row r="3154">
      <c r="A3154" s="2">
        <f>IFERROR(__xludf.DUMMYFUNCTION("""COMPUTED_VALUE"""),43742.66666666667)</f>
        <v>43742.66667</v>
      </c>
      <c r="B3154" s="1">
        <f>IFERROR(__xludf.DUMMYFUNCTION("""COMPUTED_VALUE"""),1.92)</f>
        <v>1.92</v>
      </c>
      <c r="C3154" s="1">
        <f>IFERROR(__xludf.DUMMYFUNCTION("""COMPUTED_VALUE"""),1.95)</f>
        <v>1.95</v>
      </c>
      <c r="D3154" s="1">
        <f>IFERROR(__xludf.DUMMYFUNCTION("""COMPUTED_VALUE"""),1.91)</f>
        <v>1.91</v>
      </c>
      <c r="E3154" s="1">
        <f>IFERROR(__xludf.DUMMYFUNCTION("""COMPUTED_VALUE"""),1.94)</f>
        <v>1.94</v>
      </c>
      <c r="F3154" s="1">
        <f>IFERROR(__xludf.DUMMYFUNCTION("""COMPUTED_VALUE"""),29844.0)</f>
        <v>29844</v>
      </c>
    </row>
    <row r="3155">
      <c r="A3155" s="2">
        <f>IFERROR(__xludf.DUMMYFUNCTION("""COMPUTED_VALUE"""),43745.66666666667)</f>
        <v>43745.66667</v>
      </c>
      <c r="B3155" s="1">
        <f>IFERROR(__xludf.DUMMYFUNCTION("""COMPUTED_VALUE"""),1.92)</f>
        <v>1.92</v>
      </c>
      <c r="C3155" s="1">
        <f>IFERROR(__xludf.DUMMYFUNCTION("""COMPUTED_VALUE"""),1.95)</f>
        <v>1.95</v>
      </c>
      <c r="D3155" s="1">
        <f>IFERROR(__xludf.DUMMYFUNCTION("""COMPUTED_VALUE"""),1.92)</f>
        <v>1.92</v>
      </c>
      <c r="E3155" s="1">
        <f>IFERROR(__xludf.DUMMYFUNCTION("""COMPUTED_VALUE"""),1.94)</f>
        <v>1.94</v>
      </c>
      <c r="F3155" s="1">
        <f>IFERROR(__xludf.DUMMYFUNCTION("""COMPUTED_VALUE"""),293331.0)</f>
        <v>293331</v>
      </c>
    </row>
    <row r="3156">
      <c r="A3156" s="2">
        <f>IFERROR(__xludf.DUMMYFUNCTION("""COMPUTED_VALUE"""),43746.66666666667)</f>
        <v>43746.66667</v>
      </c>
      <c r="B3156" s="1">
        <f>IFERROR(__xludf.DUMMYFUNCTION("""COMPUTED_VALUE"""),1.93)</f>
        <v>1.93</v>
      </c>
      <c r="C3156" s="1">
        <f>IFERROR(__xludf.DUMMYFUNCTION("""COMPUTED_VALUE"""),1.94)</f>
        <v>1.94</v>
      </c>
      <c r="D3156" s="1">
        <f>IFERROR(__xludf.DUMMYFUNCTION("""COMPUTED_VALUE"""),1.9)</f>
        <v>1.9</v>
      </c>
      <c r="E3156" s="1">
        <f>IFERROR(__xludf.DUMMYFUNCTION("""COMPUTED_VALUE"""),1.9)</f>
        <v>1.9</v>
      </c>
      <c r="F3156" s="1">
        <f>IFERROR(__xludf.DUMMYFUNCTION("""COMPUTED_VALUE"""),133339.0)</f>
        <v>133339</v>
      </c>
    </row>
    <row r="3157">
      <c r="A3157" s="2">
        <f>IFERROR(__xludf.DUMMYFUNCTION("""COMPUTED_VALUE"""),43747.66666666667)</f>
        <v>43747.66667</v>
      </c>
      <c r="B3157" s="1">
        <f>IFERROR(__xludf.DUMMYFUNCTION("""COMPUTED_VALUE"""),1.91)</f>
        <v>1.91</v>
      </c>
      <c r="C3157" s="1">
        <f>IFERROR(__xludf.DUMMYFUNCTION("""COMPUTED_VALUE"""),1.91)</f>
        <v>1.91</v>
      </c>
      <c r="D3157" s="1">
        <f>IFERROR(__xludf.DUMMYFUNCTION("""COMPUTED_VALUE"""),1.89)</f>
        <v>1.89</v>
      </c>
      <c r="E3157" s="1">
        <f>IFERROR(__xludf.DUMMYFUNCTION("""COMPUTED_VALUE"""),1.9)</f>
        <v>1.9</v>
      </c>
      <c r="F3157" s="1">
        <f>IFERROR(__xludf.DUMMYFUNCTION("""COMPUTED_VALUE"""),80868.0)</f>
        <v>80868</v>
      </c>
    </row>
    <row r="3158">
      <c r="A3158" s="2">
        <f>IFERROR(__xludf.DUMMYFUNCTION("""COMPUTED_VALUE"""),43748.66666666667)</f>
        <v>43748.66667</v>
      </c>
      <c r="B3158" s="1">
        <f>IFERROR(__xludf.DUMMYFUNCTION("""COMPUTED_VALUE"""),1.9)</f>
        <v>1.9</v>
      </c>
      <c r="C3158" s="1">
        <f>IFERROR(__xludf.DUMMYFUNCTION("""COMPUTED_VALUE"""),1.9)</f>
        <v>1.9</v>
      </c>
      <c r="D3158" s="1">
        <f>IFERROR(__xludf.DUMMYFUNCTION("""COMPUTED_VALUE"""),1.88)</f>
        <v>1.88</v>
      </c>
      <c r="E3158" s="1">
        <f>IFERROR(__xludf.DUMMYFUNCTION("""COMPUTED_VALUE"""),1.9)</f>
        <v>1.9</v>
      </c>
      <c r="F3158" s="1">
        <f>IFERROR(__xludf.DUMMYFUNCTION("""COMPUTED_VALUE"""),19786.0)</f>
        <v>19786</v>
      </c>
    </row>
    <row r="3159">
      <c r="A3159" s="2">
        <f>IFERROR(__xludf.DUMMYFUNCTION("""COMPUTED_VALUE"""),43749.66666666667)</f>
        <v>43749.66667</v>
      </c>
      <c r="B3159" s="1">
        <f>IFERROR(__xludf.DUMMYFUNCTION("""COMPUTED_VALUE"""),1.89)</f>
        <v>1.89</v>
      </c>
      <c r="C3159" s="1">
        <f>IFERROR(__xludf.DUMMYFUNCTION("""COMPUTED_VALUE"""),1.9)</f>
        <v>1.9</v>
      </c>
      <c r="D3159" s="1">
        <f>IFERROR(__xludf.DUMMYFUNCTION("""COMPUTED_VALUE"""),1.88)</f>
        <v>1.88</v>
      </c>
      <c r="E3159" s="1">
        <f>IFERROR(__xludf.DUMMYFUNCTION("""COMPUTED_VALUE"""),1.88)</f>
        <v>1.88</v>
      </c>
      <c r="F3159" s="1">
        <f>IFERROR(__xludf.DUMMYFUNCTION("""COMPUTED_VALUE"""),29880.0)</f>
        <v>29880</v>
      </c>
    </row>
    <row r="3160">
      <c r="A3160" s="2">
        <f>IFERROR(__xludf.DUMMYFUNCTION("""COMPUTED_VALUE"""),43752.66666666667)</f>
        <v>43752.66667</v>
      </c>
      <c r="B3160" s="1">
        <f>IFERROR(__xludf.DUMMYFUNCTION("""COMPUTED_VALUE"""),1.88)</f>
        <v>1.88</v>
      </c>
      <c r="C3160" s="1">
        <f>IFERROR(__xludf.DUMMYFUNCTION("""COMPUTED_VALUE"""),1.89)</f>
        <v>1.89</v>
      </c>
      <c r="D3160" s="1">
        <f>IFERROR(__xludf.DUMMYFUNCTION("""COMPUTED_VALUE"""),1.86)</f>
        <v>1.86</v>
      </c>
      <c r="E3160" s="1">
        <f>IFERROR(__xludf.DUMMYFUNCTION("""COMPUTED_VALUE"""),1.88)</f>
        <v>1.88</v>
      </c>
      <c r="F3160" s="1">
        <f>IFERROR(__xludf.DUMMYFUNCTION("""COMPUTED_VALUE"""),51577.0)</f>
        <v>51577</v>
      </c>
    </row>
    <row r="3161">
      <c r="A3161" s="2">
        <f>IFERROR(__xludf.DUMMYFUNCTION("""COMPUTED_VALUE"""),43753.66666666667)</f>
        <v>43753.66667</v>
      </c>
      <c r="B3161" s="1">
        <f>IFERROR(__xludf.DUMMYFUNCTION("""COMPUTED_VALUE"""),1.88)</f>
        <v>1.88</v>
      </c>
      <c r="C3161" s="1">
        <f>IFERROR(__xludf.DUMMYFUNCTION("""COMPUTED_VALUE"""),1.89)</f>
        <v>1.89</v>
      </c>
      <c r="D3161" s="1">
        <f>IFERROR(__xludf.DUMMYFUNCTION("""COMPUTED_VALUE"""),1.86)</f>
        <v>1.86</v>
      </c>
      <c r="E3161" s="1">
        <f>IFERROR(__xludf.DUMMYFUNCTION("""COMPUTED_VALUE"""),1.88)</f>
        <v>1.88</v>
      </c>
      <c r="F3161" s="1">
        <f>IFERROR(__xludf.DUMMYFUNCTION("""COMPUTED_VALUE"""),126567.0)</f>
        <v>126567</v>
      </c>
    </row>
    <row r="3162">
      <c r="A3162" s="2">
        <f>IFERROR(__xludf.DUMMYFUNCTION("""COMPUTED_VALUE"""),43754.66666666667)</f>
        <v>43754.66667</v>
      </c>
      <c r="B3162" s="1">
        <f>IFERROR(__xludf.DUMMYFUNCTION("""COMPUTED_VALUE"""),1.9)</f>
        <v>1.9</v>
      </c>
      <c r="C3162" s="1">
        <f>IFERROR(__xludf.DUMMYFUNCTION("""COMPUTED_VALUE"""),1.95)</f>
        <v>1.95</v>
      </c>
      <c r="D3162" s="1">
        <f>IFERROR(__xludf.DUMMYFUNCTION("""COMPUTED_VALUE"""),1.86)</f>
        <v>1.86</v>
      </c>
      <c r="E3162" s="1">
        <f>IFERROR(__xludf.DUMMYFUNCTION("""COMPUTED_VALUE"""),1.94)</f>
        <v>1.94</v>
      </c>
      <c r="F3162" s="1">
        <f>IFERROR(__xludf.DUMMYFUNCTION("""COMPUTED_VALUE"""),160515.0)</f>
        <v>160515</v>
      </c>
    </row>
    <row r="3163">
      <c r="A3163" s="2">
        <f>IFERROR(__xludf.DUMMYFUNCTION("""COMPUTED_VALUE"""),43755.66666666667)</f>
        <v>43755.66667</v>
      </c>
      <c r="B3163" s="1">
        <f>IFERROR(__xludf.DUMMYFUNCTION("""COMPUTED_VALUE"""),1.95)</f>
        <v>1.95</v>
      </c>
      <c r="C3163" s="1">
        <f>IFERROR(__xludf.DUMMYFUNCTION("""COMPUTED_VALUE"""),1.97)</f>
        <v>1.97</v>
      </c>
      <c r="D3163" s="1">
        <f>IFERROR(__xludf.DUMMYFUNCTION("""COMPUTED_VALUE"""),1.95)</f>
        <v>1.95</v>
      </c>
      <c r="E3163" s="1">
        <f>IFERROR(__xludf.DUMMYFUNCTION("""COMPUTED_VALUE"""),1.96)</f>
        <v>1.96</v>
      </c>
      <c r="F3163" s="1">
        <f>IFERROR(__xludf.DUMMYFUNCTION("""COMPUTED_VALUE"""),106013.0)</f>
        <v>106013</v>
      </c>
    </row>
    <row r="3164">
      <c r="A3164" s="2">
        <f>IFERROR(__xludf.DUMMYFUNCTION("""COMPUTED_VALUE"""),43756.66666666667)</f>
        <v>43756.66667</v>
      </c>
      <c r="B3164" s="1">
        <f>IFERROR(__xludf.DUMMYFUNCTION("""COMPUTED_VALUE"""),1.97)</f>
        <v>1.97</v>
      </c>
      <c r="C3164" s="1">
        <f>IFERROR(__xludf.DUMMYFUNCTION("""COMPUTED_VALUE"""),1.98)</f>
        <v>1.98</v>
      </c>
      <c r="D3164" s="1">
        <f>IFERROR(__xludf.DUMMYFUNCTION("""COMPUTED_VALUE"""),1.92)</f>
        <v>1.92</v>
      </c>
      <c r="E3164" s="1">
        <f>IFERROR(__xludf.DUMMYFUNCTION("""COMPUTED_VALUE"""),1.92)</f>
        <v>1.92</v>
      </c>
      <c r="F3164" s="1">
        <f>IFERROR(__xludf.DUMMYFUNCTION("""COMPUTED_VALUE"""),58789.0)</f>
        <v>58789</v>
      </c>
    </row>
    <row r="3165">
      <c r="A3165" s="2">
        <f>IFERROR(__xludf.DUMMYFUNCTION("""COMPUTED_VALUE"""),43759.66666666667)</f>
        <v>43759.66667</v>
      </c>
      <c r="B3165" s="1">
        <f>IFERROR(__xludf.DUMMYFUNCTION("""COMPUTED_VALUE"""),1.98)</f>
        <v>1.98</v>
      </c>
      <c r="C3165" s="1">
        <f>IFERROR(__xludf.DUMMYFUNCTION("""COMPUTED_VALUE"""),1.98)</f>
        <v>1.98</v>
      </c>
      <c r="D3165" s="1">
        <f>IFERROR(__xludf.DUMMYFUNCTION("""COMPUTED_VALUE"""),1.93)</f>
        <v>1.93</v>
      </c>
      <c r="E3165" s="1">
        <f>IFERROR(__xludf.DUMMYFUNCTION("""COMPUTED_VALUE"""),1.97)</f>
        <v>1.97</v>
      </c>
      <c r="F3165" s="1">
        <f>IFERROR(__xludf.DUMMYFUNCTION("""COMPUTED_VALUE"""),165235.0)</f>
        <v>165235</v>
      </c>
    </row>
    <row r="3166">
      <c r="A3166" s="2">
        <f>IFERROR(__xludf.DUMMYFUNCTION("""COMPUTED_VALUE"""),43760.66666666667)</f>
        <v>43760.66667</v>
      </c>
      <c r="B3166" s="1">
        <f>IFERROR(__xludf.DUMMYFUNCTION("""COMPUTED_VALUE"""),1.97)</f>
        <v>1.97</v>
      </c>
      <c r="C3166" s="1">
        <f>IFERROR(__xludf.DUMMYFUNCTION("""COMPUTED_VALUE"""),2.0)</f>
        <v>2</v>
      </c>
      <c r="D3166" s="1">
        <f>IFERROR(__xludf.DUMMYFUNCTION("""COMPUTED_VALUE"""),1.97)</f>
        <v>1.97</v>
      </c>
      <c r="E3166" s="1">
        <f>IFERROR(__xludf.DUMMYFUNCTION("""COMPUTED_VALUE"""),1.99)</f>
        <v>1.99</v>
      </c>
      <c r="F3166" s="1">
        <f>IFERROR(__xludf.DUMMYFUNCTION("""COMPUTED_VALUE"""),71343.0)</f>
        <v>71343</v>
      </c>
    </row>
    <row r="3167">
      <c r="A3167" s="2">
        <f>IFERROR(__xludf.DUMMYFUNCTION("""COMPUTED_VALUE"""),43761.66666666667)</f>
        <v>43761.66667</v>
      </c>
      <c r="B3167" s="1">
        <f>IFERROR(__xludf.DUMMYFUNCTION("""COMPUTED_VALUE"""),2.0)</f>
        <v>2</v>
      </c>
      <c r="C3167" s="1">
        <f>IFERROR(__xludf.DUMMYFUNCTION("""COMPUTED_VALUE"""),2.0)</f>
        <v>2</v>
      </c>
      <c r="D3167" s="1">
        <f>IFERROR(__xludf.DUMMYFUNCTION("""COMPUTED_VALUE"""),1.95)</f>
        <v>1.95</v>
      </c>
      <c r="E3167" s="1">
        <f>IFERROR(__xludf.DUMMYFUNCTION("""COMPUTED_VALUE"""),2.0)</f>
        <v>2</v>
      </c>
      <c r="F3167" s="1">
        <f>IFERROR(__xludf.DUMMYFUNCTION("""COMPUTED_VALUE"""),22655.0)</f>
        <v>22655</v>
      </c>
    </row>
    <row r="3168">
      <c r="A3168" s="2">
        <f>IFERROR(__xludf.DUMMYFUNCTION("""COMPUTED_VALUE"""),43762.66666666667)</f>
        <v>43762.66667</v>
      </c>
      <c r="B3168" s="1">
        <f>IFERROR(__xludf.DUMMYFUNCTION("""COMPUTED_VALUE"""),2.0)</f>
        <v>2</v>
      </c>
      <c r="C3168" s="1">
        <f>IFERROR(__xludf.DUMMYFUNCTION("""COMPUTED_VALUE"""),2.09)</f>
        <v>2.09</v>
      </c>
      <c r="D3168" s="1">
        <f>IFERROR(__xludf.DUMMYFUNCTION("""COMPUTED_VALUE"""),1.99)</f>
        <v>1.99</v>
      </c>
      <c r="E3168" s="1">
        <f>IFERROR(__xludf.DUMMYFUNCTION("""COMPUTED_VALUE"""),2.06)</f>
        <v>2.06</v>
      </c>
      <c r="F3168" s="1">
        <f>IFERROR(__xludf.DUMMYFUNCTION("""COMPUTED_VALUE"""),41201.0)</f>
        <v>41201</v>
      </c>
    </row>
    <row r="3169">
      <c r="A3169" s="2">
        <f>IFERROR(__xludf.DUMMYFUNCTION("""COMPUTED_VALUE"""),43763.66666666667)</f>
        <v>43763.66667</v>
      </c>
      <c r="B3169" s="1">
        <f>IFERROR(__xludf.DUMMYFUNCTION("""COMPUTED_VALUE"""),2.09)</f>
        <v>2.09</v>
      </c>
      <c r="C3169" s="1">
        <f>IFERROR(__xludf.DUMMYFUNCTION("""COMPUTED_VALUE"""),2.09)</f>
        <v>2.09</v>
      </c>
      <c r="D3169" s="1">
        <f>IFERROR(__xludf.DUMMYFUNCTION("""COMPUTED_VALUE"""),2.04)</f>
        <v>2.04</v>
      </c>
      <c r="E3169" s="1">
        <f>IFERROR(__xludf.DUMMYFUNCTION("""COMPUTED_VALUE"""),2.09)</f>
        <v>2.09</v>
      </c>
      <c r="F3169" s="1">
        <f>IFERROR(__xludf.DUMMYFUNCTION("""COMPUTED_VALUE"""),69974.0)</f>
        <v>69974</v>
      </c>
    </row>
    <row r="3170">
      <c r="A3170" s="2">
        <f>IFERROR(__xludf.DUMMYFUNCTION("""COMPUTED_VALUE"""),43766.66666666667)</f>
        <v>43766.66667</v>
      </c>
      <c r="B3170" s="1">
        <f>IFERROR(__xludf.DUMMYFUNCTION("""COMPUTED_VALUE"""),2.09)</f>
        <v>2.09</v>
      </c>
      <c r="C3170" s="1">
        <f>IFERROR(__xludf.DUMMYFUNCTION("""COMPUTED_VALUE"""),2.14)</f>
        <v>2.14</v>
      </c>
      <c r="D3170" s="1">
        <f>IFERROR(__xludf.DUMMYFUNCTION("""COMPUTED_VALUE"""),2.09)</f>
        <v>2.09</v>
      </c>
      <c r="E3170" s="1">
        <f>IFERROR(__xludf.DUMMYFUNCTION("""COMPUTED_VALUE"""),2.12)</f>
        <v>2.12</v>
      </c>
      <c r="F3170" s="1">
        <f>IFERROR(__xludf.DUMMYFUNCTION("""COMPUTED_VALUE"""),252702.0)</f>
        <v>252702</v>
      </c>
    </row>
    <row r="3171">
      <c r="A3171" s="2">
        <f>IFERROR(__xludf.DUMMYFUNCTION("""COMPUTED_VALUE"""),43767.66666666667)</f>
        <v>43767.66667</v>
      </c>
      <c r="B3171" s="1">
        <f>IFERROR(__xludf.DUMMYFUNCTION("""COMPUTED_VALUE"""),2.1)</f>
        <v>2.1</v>
      </c>
      <c r="C3171" s="1">
        <f>IFERROR(__xludf.DUMMYFUNCTION("""COMPUTED_VALUE"""),2.14)</f>
        <v>2.14</v>
      </c>
      <c r="D3171" s="1">
        <f>IFERROR(__xludf.DUMMYFUNCTION("""COMPUTED_VALUE"""),2.1)</f>
        <v>2.1</v>
      </c>
      <c r="E3171" s="1">
        <f>IFERROR(__xludf.DUMMYFUNCTION("""COMPUTED_VALUE"""),2.1)</f>
        <v>2.1</v>
      </c>
      <c r="F3171" s="1">
        <f>IFERROR(__xludf.DUMMYFUNCTION("""COMPUTED_VALUE"""),103294.0)</f>
        <v>103294</v>
      </c>
    </row>
    <row r="3172">
      <c r="A3172" s="2">
        <f>IFERROR(__xludf.DUMMYFUNCTION("""COMPUTED_VALUE"""),43768.66666666667)</f>
        <v>43768.66667</v>
      </c>
      <c r="B3172" s="1">
        <f>IFERROR(__xludf.DUMMYFUNCTION("""COMPUTED_VALUE"""),2.1)</f>
        <v>2.1</v>
      </c>
      <c r="C3172" s="1">
        <f>IFERROR(__xludf.DUMMYFUNCTION("""COMPUTED_VALUE"""),2.13)</f>
        <v>2.13</v>
      </c>
      <c r="D3172" s="1">
        <f>IFERROR(__xludf.DUMMYFUNCTION("""COMPUTED_VALUE"""),2.04)</f>
        <v>2.04</v>
      </c>
      <c r="E3172" s="1">
        <f>IFERROR(__xludf.DUMMYFUNCTION("""COMPUTED_VALUE"""),2.04)</f>
        <v>2.04</v>
      </c>
      <c r="F3172" s="1">
        <f>IFERROR(__xludf.DUMMYFUNCTION("""COMPUTED_VALUE"""),125397.0)</f>
        <v>125397</v>
      </c>
    </row>
    <row r="3173">
      <c r="A3173" s="2">
        <f>IFERROR(__xludf.DUMMYFUNCTION("""COMPUTED_VALUE"""),43769.66666666667)</f>
        <v>43769.66667</v>
      </c>
      <c r="B3173" s="1">
        <f>IFERROR(__xludf.DUMMYFUNCTION("""COMPUTED_VALUE"""),2.04)</f>
        <v>2.04</v>
      </c>
      <c r="C3173" s="1">
        <f>IFERROR(__xludf.DUMMYFUNCTION("""COMPUTED_VALUE"""),2.1)</f>
        <v>2.1</v>
      </c>
      <c r="D3173" s="1">
        <f>IFERROR(__xludf.DUMMYFUNCTION("""COMPUTED_VALUE"""),2.04)</f>
        <v>2.04</v>
      </c>
      <c r="E3173" s="1">
        <f>IFERROR(__xludf.DUMMYFUNCTION("""COMPUTED_VALUE"""),2.07)</f>
        <v>2.07</v>
      </c>
      <c r="F3173" s="1">
        <f>IFERROR(__xludf.DUMMYFUNCTION("""COMPUTED_VALUE"""),60812.0)</f>
        <v>60812</v>
      </c>
    </row>
    <row r="3174">
      <c r="A3174" s="2">
        <f>IFERROR(__xludf.DUMMYFUNCTION("""COMPUTED_VALUE"""),43770.66666666667)</f>
        <v>43770.66667</v>
      </c>
      <c r="B3174" s="1">
        <f>IFERROR(__xludf.DUMMYFUNCTION("""COMPUTED_VALUE"""),2.05)</f>
        <v>2.05</v>
      </c>
      <c r="C3174" s="1">
        <f>IFERROR(__xludf.DUMMYFUNCTION("""COMPUTED_VALUE"""),2.06)</f>
        <v>2.06</v>
      </c>
      <c r="D3174" s="1">
        <f>IFERROR(__xludf.DUMMYFUNCTION("""COMPUTED_VALUE"""),2.03)</f>
        <v>2.03</v>
      </c>
      <c r="E3174" s="1">
        <f>IFERROR(__xludf.DUMMYFUNCTION("""COMPUTED_VALUE"""),2.05)</f>
        <v>2.05</v>
      </c>
      <c r="F3174" s="1">
        <f>IFERROR(__xludf.DUMMYFUNCTION("""COMPUTED_VALUE"""),168600.0)</f>
        <v>168600</v>
      </c>
    </row>
    <row r="3175">
      <c r="A3175" s="2">
        <f>IFERROR(__xludf.DUMMYFUNCTION("""COMPUTED_VALUE"""),43773.66666666667)</f>
        <v>43773.66667</v>
      </c>
      <c r="B3175" s="1">
        <f>IFERROR(__xludf.DUMMYFUNCTION("""COMPUTED_VALUE"""),2.05)</f>
        <v>2.05</v>
      </c>
      <c r="C3175" s="1">
        <f>IFERROR(__xludf.DUMMYFUNCTION("""COMPUTED_VALUE"""),2.06)</f>
        <v>2.06</v>
      </c>
      <c r="D3175" s="1">
        <f>IFERROR(__xludf.DUMMYFUNCTION("""COMPUTED_VALUE"""),2.05)</f>
        <v>2.05</v>
      </c>
      <c r="E3175" s="1">
        <f>IFERROR(__xludf.DUMMYFUNCTION("""COMPUTED_VALUE"""),2.05)</f>
        <v>2.05</v>
      </c>
      <c r="F3175" s="1">
        <f>IFERROR(__xludf.DUMMYFUNCTION("""COMPUTED_VALUE"""),46525.0)</f>
        <v>46525</v>
      </c>
    </row>
    <row r="3176">
      <c r="A3176" s="2">
        <f>IFERROR(__xludf.DUMMYFUNCTION("""COMPUTED_VALUE"""),43774.66666666667)</f>
        <v>43774.66667</v>
      </c>
      <c r="B3176" s="1">
        <f>IFERROR(__xludf.DUMMYFUNCTION("""COMPUTED_VALUE"""),2.04)</f>
        <v>2.04</v>
      </c>
      <c r="C3176" s="1">
        <f>IFERROR(__xludf.DUMMYFUNCTION("""COMPUTED_VALUE"""),2.13)</f>
        <v>2.13</v>
      </c>
      <c r="D3176" s="1">
        <f>IFERROR(__xludf.DUMMYFUNCTION("""COMPUTED_VALUE"""),2.04)</f>
        <v>2.04</v>
      </c>
      <c r="E3176" s="1">
        <f>IFERROR(__xludf.DUMMYFUNCTION("""COMPUTED_VALUE"""),2.08)</f>
        <v>2.08</v>
      </c>
      <c r="F3176" s="1">
        <f>IFERROR(__xludf.DUMMYFUNCTION("""COMPUTED_VALUE"""),52149.0)</f>
        <v>52149</v>
      </c>
    </row>
    <row r="3177">
      <c r="A3177" s="2">
        <f>IFERROR(__xludf.DUMMYFUNCTION("""COMPUTED_VALUE"""),43775.66666666667)</f>
        <v>43775.66667</v>
      </c>
      <c r="B3177" s="1">
        <f>IFERROR(__xludf.DUMMYFUNCTION("""COMPUTED_VALUE"""),2.09)</f>
        <v>2.09</v>
      </c>
      <c r="C3177" s="1">
        <f>IFERROR(__xludf.DUMMYFUNCTION("""COMPUTED_VALUE"""),2.11)</f>
        <v>2.11</v>
      </c>
      <c r="D3177" s="1">
        <f>IFERROR(__xludf.DUMMYFUNCTION("""COMPUTED_VALUE"""),2.07)</f>
        <v>2.07</v>
      </c>
      <c r="E3177" s="1">
        <f>IFERROR(__xludf.DUMMYFUNCTION("""COMPUTED_VALUE"""),2.07)</f>
        <v>2.07</v>
      </c>
      <c r="F3177" s="1">
        <f>IFERROR(__xludf.DUMMYFUNCTION("""COMPUTED_VALUE"""),28717.0)</f>
        <v>28717</v>
      </c>
    </row>
    <row r="3178">
      <c r="A3178" s="2">
        <f>IFERROR(__xludf.DUMMYFUNCTION("""COMPUTED_VALUE"""),43776.66666666667)</f>
        <v>43776.66667</v>
      </c>
      <c r="B3178" s="1">
        <f>IFERROR(__xludf.DUMMYFUNCTION("""COMPUTED_VALUE"""),2.0)</f>
        <v>2</v>
      </c>
      <c r="C3178" s="1">
        <f>IFERROR(__xludf.DUMMYFUNCTION("""COMPUTED_VALUE"""),2.1)</f>
        <v>2.1</v>
      </c>
      <c r="D3178" s="1">
        <f>IFERROR(__xludf.DUMMYFUNCTION("""COMPUTED_VALUE"""),2.0)</f>
        <v>2</v>
      </c>
      <c r="E3178" s="1">
        <f>IFERROR(__xludf.DUMMYFUNCTION("""COMPUTED_VALUE"""),2.09)</f>
        <v>2.09</v>
      </c>
      <c r="F3178" s="1">
        <f>IFERROR(__xludf.DUMMYFUNCTION("""COMPUTED_VALUE"""),63430.0)</f>
        <v>63430</v>
      </c>
    </row>
    <row r="3179">
      <c r="A3179" s="2">
        <f>IFERROR(__xludf.DUMMYFUNCTION("""COMPUTED_VALUE"""),43777.66666666667)</f>
        <v>43777.66667</v>
      </c>
      <c r="B3179" s="1">
        <f>IFERROR(__xludf.DUMMYFUNCTION("""COMPUTED_VALUE"""),2.1)</f>
        <v>2.1</v>
      </c>
      <c r="C3179" s="1">
        <f>IFERROR(__xludf.DUMMYFUNCTION("""COMPUTED_VALUE"""),2.13)</f>
        <v>2.13</v>
      </c>
      <c r="D3179" s="1">
        <f>IFERROR(__xludf.DUMMYFUNCTION("""COMPUTED_VALUE"""),2.09)</f>
        <v>2.09</v>
      </c>
      <c r="E3179" s="1">
        <f>IFERROR(__xludf.DUMMYFUNCTION("""COMPUTED_VALUE"""),2.13)</f>
        <v>2.13</v>
      </c>
      <c r="F3179" s="1">
        <f>IFERROR(__xludf.DUMMYFUNCTION("""COMPUTED_VALUE"""),74166.0)</f>
        <v>74166</v>
      </c>
    </row>
    <row r="3180">
      <c r="A3180" s="2">
        <f>IFERROR(__xludf.DUMMYFUNCTION("""COMPUTED_VALUE"""),43780.66666666667)</f>
        <v>43780.66667</v>
      </c>
      <c r="B3180" s="1">
        <f>IFERROR(__xludf.DUMMYFUNCTION("""COMPUTED_VALUE"""),2.1)</f>
        <v>2.1</v>
      </c>
      <c r="C3180" s="1">
        <f>IFERROR(__xludf.DUMMYFUNCTION("""COMPUTED_VALUE"""),2.19)</f>
        <v>2.19</v>
      </c>
      <c r="D3180" s="1">
        <f>IFERROR(__xludf.DUMMYFUNCTION("""COMPUTED_VALUE"""),2.1)</f>
        <v>2.1</v>
      </c>
      <c r="E3180" s="1">
        <f>IFERROR(__xludf.DUMMYFUNCTION("""COMPUTED_VALUE"""),2.14)</f>
        <v>2.14</v>
      </c>
      <c r="F3180" s="1">
        <f>IFERROR(__xludf.DUMMYFUNCTION("""COMPUTED_VALUE"""),70776.0)</f>
        <v>70776</v>
      </c>
    </row>
    <row r="3181">
      <c r="A3181" s="2">
        <f>IFERROR(__xludf.DUMMYFUNCTION("""COMPUTED_VALUE"""),43781.66666666667)</f>
        <v>43781.66667</v>
      </c>
      <c r="B3181" s="1">
        <f>IFERROR(__xludf.DUMMYFUNCTION("""COMPUTED_VALUE"""),2.14)</f>
        <v>2.14</v>
      </c>
      <c r="C3181" s="1">
        <f>IFERROR(__xludf.DUMMYFUNCTION("""COMPUTED_VALUE"""),2.15)</f>
        <v>2.15</v>
      </c>
      <c r="D3181" s="1">
        <f>IFERROR(__xludf.DUMMYFUNCTION("""COMPUTED_VALUE"""),2.13)</f>
        <v>2.13</v>
      </c>
      <c r="E3181" s="1">
        <f>IFERROR(__xludf.DUMMYFUNCTION("""COMPUTED_VALUE"""),2.15)</f>
        <v>2.15</v>
      </c>
      <c r="F3181" s="1">
        <f>IFERROR(__xludf.DUMMYFUNCTION("""COMPUTED_VALUE"""),41146.0)</f>
        <v>41146</v>
      </c>
    </row>
    <row r="3182">
      <c r="A3182" s="2">
        <f>IFERROR(__xludf.DUMMYFUNCTION("""COMPUTED_VALUE"""),43782.66666666667)</f>
        <v>43782.66667</v>
      </c>
      <c r="B3182" s="1">
        <f>IFERROR(__xludf.DUMMYFUNCTION("""COMPUTED_VALUE"""),2.14)</f>
        <v>2.14</v>
      </c>
      <c r="C3182" s="1">
        <f>IFERROR(__xludf.DUMMYFUNCTION("""COMPUTED_VALUE"""),2.15)</f>
        <v>2.15</v>
      </c>
      <c r="D3182" s="1">
        <f>IFERROR(__xludf.DUMMYFUNCTION("""COMPUTED_VALUE"""),2.13)</f>
        <v>2.13</v>
      </c>
      <c r="E3182" s="1">
        <f>IFERROR(__xludf.DUMMYFUNCTION("""COMPUTED_VALUE"""),2.15)</f>
        <v>2.15</v>
      </c>
      <c r="F3182" s="1">
        <f>IFERROR(__xludf.DUMMYFUNCTION("""COMPUTED_VALUE"""),45755.0)</f>
        <v>45755</v>
      </c>
    </row>
    <row r="3183">
      <c r="A3183" s="2">
        <f>IFERROR(__xludf.DUMMYFUNCTION("""COMPUTED_VALUE"""),43783.66666666667)</f>
        <v>43783.66667</v>
      </c>
      <c r="B3183" s="1">
        <f>IFERROR(__xludf.DUMMYFUNCTION("""COMPUTED_VALUE"""),2.13)</f>
        <v>2.13</v>
      </c>
      <c r="C3183" s="1">
        <f>IFERROR(__xludf.DUMMYFUNCTION("""COMPUTED_VALUE"""),2.15)</f>
        <v>2.15</v>
      </c>
      <c r="D3183" s="1">
        <f>IFERROR(__xludf.DUMMYFUNCTION("""COMPUTED_VALUE"""),2.1)</f>
        <v>2.1</v>
      </c>
      <c r="E3183" s="1">
        <f>IFERROR(__xludf.DUMMYFUNCTION("""COMPUTED_VALUE"""),2.15)</f>
        <v>2.15</v>
      </c>
      <c r="F3183" s="1">
        <f>IFERROR(__xludf.DUMMYFUNCTION("""COMPUTED_VALUE"""),139739.0)</f>
        <v>139739</v>
      </c>
    </row>
    <row r="3184">
      <c r="A3184" s="2">
        <f>IFERROR(__xludf.DUMMYFUNCTION("""COMPUTED_VALUE"""),43784.66666666667)</f>
        <v>43784.66667</v>
      </c>
      <c r="B3184" s="1">
        <f>IFERROR(__xludf.DUMMYFUNCTION("""COMPUTED_VALUE"""),2.15)</f>
        <v>2.15</v>
      </c>
      <c r="C3184" s="1">
        <f>IFERROR(__xludf.DUMMYFUNCTION("""COMPUTED_VALUE"""),2.25)</f>
        <v>2.25</v>
      </c>
      <c r="D3184" s="1">
        <f>IFERROR(__xludf.DUMMYFUNCTION("""COMPUTED_VALUE"""),2.15)</f>
        <v>2.15</v>
      </c>
      <c r="E3184" s="1">
        <f>IFERROR(__xludf.DUMMYFUNCTION("""COMPUTED_VALUE"""),2.22)</f>
        <v>2.22</v>
      </c>
      <c r="F3184" s="1">
        <f>IFERROR(__xludf.DUMMYFUNCTION("""COMPUTED_VALUE"""),146009.0)</f>
        <v>146009</v>
      </c>
    </row>
    <row r="3185">
      <c r="A3185" s="2">
        <f>IFERROR(__xludf.DUMMYFUNCTION("""COMPUTED_VALUE"""),43787.66666666667)</f>
        <v>43787.66667</v>
      </c>
      <c r="B3185" s="1">
        <f>IFERROR(__xludf.DUMMYFUNCTION("""COMPUTED_VALUE"""),2.16)</f>
        <v>2.16</v>
      </c>
      <c r="C3185" s="1">
        <f>IFERROR(__xludf.DUMMYFUNCTION("""COMPUTED_VALUE"""),2.21)</f>
        <v>2.21</v>
      </c>
      <c r="D3185" s="1">
        <f>IFERROR(__xludf.DUMMYFUNCTION("""COMPUTED_VALUE"""),2.16)</f>
        <v>2.16</v>
      </c>
      <c r="E3185" s="1">
        <f>IFERROR(__xludf.DUMMYFUNCTION("""COMPUTED_VALUE"""),2.19)</f>
        <v>2.19</v>
      </c>
      <c r="F3185" s="1">
        <f>IFERROR(__xludf.DUMMYFUNCTION("""COMPUTED_VALUE"""),64550.0)</f>
        <v>64550</v>
      </c>
    </row>
    <row r="3186">
      <c r="A3186" s="2">
        <f>IFERROR(__xludf.DUMMYFUNCTION("""COMPUTED_VALUE"""),43788.66666666667)</f>
        <v>43788.66667</v>
      </c>
      <c r="B3186" s="1">
        <f>IFERROR(__xludf.DUMMYFUNCTION("""COMPUTED_VALUE"""),2.16)</f>
        <v>2.16</v>
      </c>
      <c r="C3186" s="1">
        <f>IFERROR(__xludf.DUMMYFUNCTION("""COMPUTED_VALUE"""),2.19)</f>
        <v>2.19</v>
      </c>
      <c r="D3186" s="1">
        <f>IFERROR(__xludf.DUMMYFUNCTION("""COMPUTED_VALUE"""),2.13)</f>
        <v>2.13</v>
      </c>
      <c r="E3186" s="1">
        <f>IFERROR(__xludf.DUMMYFUNCTION("""COMPUTED_VALUE"""),2.15)</f>
        <v>2.15</v>
      </c>
      <c r="F3186" s="1">
        <f>IFERROR(__xludf.DUMMYFUNCTION("""COMPUTED_VALUE"""),32295.0)</f>
        <v>32295</v>
      </c>
    </row>
    <row r="3187">
      <c r="A3187" s="2">
        <f>IFERROR(__xludf.DUMMYFUNCTION("""COMPUTED_VALUE"""),43789.66666666667)</f>
        <v>43789.66667</v>
      </c>
      <c r="B3187" s="1">
        <f>IFERROR(__xludf.DUMMYFUNCTION("""COMPUTED_VALUE"""),2.13)</f>
        <v>2.13</v>
      </c>
      <c r="C3187" s="1">
        <f>IFERROR(__xludf.DUMMYFUNCTION("""COMPUTED_VALUE"""),2.15)</f>
        <v>2.15</v>
      </c>
      <c r="D3187" s="1">
        <f>IFERROR(__xludf.DUMMYFUNCTION("""COMPUTED_VALUE"""),2.09)</f>
        <v>2.09</v>
      </c>
      <c r="E3187" s="1">
        <f>IFERROR(__xludf.DUMMYFUNCTION("""COMPUTED_VALUE"""),2.11)</f>
        <v>2.11</v>
      </c>
      <c r="F3187" s="1">
        <f>IFERROR(__xludf.DUMMYFUNCTION("""COMPUTED_VALUE"""),39318.0)</f>
        <v>39318</v>
      </c>
    </row>
    <row r="3188">
      <c r="A3188" s="2">
        <f>IFERROR(__xludf.DUMMYFUNCTION("""COMPUTED_VALUE"""),43790.66666666667)</f>
        <v>43790.66667</v>
      </c>
      <c r="B3188" s="1">
        <f>IFERROR(__xludf.DUMMYFUNCTION("""COMPUTED_VALUE"""),2.21)</f>
        <v>2.21</v>
      </c>
      <c r="C3188" s="1">
        <f>IFERROR(__xludf.DUMMYFUNCTION("""COMPUTED_VALUE"""),2.21)</f>
        <v>2.21</v>
      </c>
      <c r="D3188" s="1">
        <f>IFERROR(__xludf.DUMMYFUNCTION("""COMPUTED_VALUE"""),2.04)</f>
        <v>2.04</v>
      </c>
      <c r="E3188" s="1">
        <f>IFERROR(__xludf.DUMMYFUNCTION("""COMPUTED_VALUE"""),2.1)</f>
        <v>2.1</v>
      </c>
      <c r="F3188" s="1">
        <f>IFERROR(__xludf.DUMMYFUNCTION("""COMPUTED_VALUE"""),34054.0)</f>
        <v>34054</v>
      </c>
    </row>
    <row r="3189">
      <c r="A3189" s="2">
        <f>IFERROR(__xludf.DUMMYFUNCTION("""COMPUTED_VALUE"""),43791.66666666667)</f>
        <v>43791.66667</v>
      </c>
      <c r="B3189" s="1">
        <f>IFERROR(__xludf.DUMMYFUNCTION("""COMPUTED_VALUE"""),2.05)</f>
        <v>2.05</v>
      </c>
      <c r="C3189" s="1">
        <f>IFERROR(__xludf.DUMMYFUNCTION("""COMPUTED_VALUE"""),2.13)</f>
        <v>2.13</v>
      </c>
      <c r="D3189" s="1">
        <f>IFERROR(__xludf.DUMMYFUNCTION("""COMPUTED_VALUE"""),2.03)</f>
        <v>2.03</v>
      </c>
      <c r="E3189" s="1">
        <f>IFERROR(__xludf.DUMMYFUNCTION("""COMPUTED_VALUE"""),2.1)</f>
        <v>2.1</v>
      </c>
      <c r="F3189" s="1">
        <f>IFERROR(__xludf.DUMMYFUNCTION("""COMPUTED_VALUE"""),87365.0)</f>
        <v>87365</v>
      </c>
    </row>
    <row r="3190">
      <c r="A3190" s="2">
        <f>IFERROR(__xludf.DUMMYFUNCTION("""COMPUTED_VALUE"""),43794.66666666667)</f>
        <v>43794.66667</v>
      </c>
      <c r="B3190" s="1">
        <f>IFERROR(__xludf.DUMMYFUNCTION("""COMPUTED_VALUE"""),2.13)</f>
        <v>2.13</v>
      </c>
      <c r="C3190" s="1">
        <f>IFERROR(__xludf.DUMMYFUNCTION("""COMPUTED_VALUE"""),2.13)</f>
        <v>2.13</v>
      </c>
      <c r="D3190" s="1">
        <f>IFERROR(__xludf.DUMMYFUNCTION("""COMPUTED_VALUE"""),2.08)</f>
        <v>2.08</v>
      </c>
      <c r="E3190" s="1">
        <f>IFERROR(__xludf.DUMMYFUNCTION("""COMPUTED_VALUE"""),2.13)</f>
        <v>2.13</v>
      </c>
      <c r="F3190" s="1">
        <f>IFERROR(__xludf.DUMMYFUNCTION("""COMPUTED_VALUE"""),126073.0)</f>
        <v>126073</v>
      </c>
    </row>
    <row r="3191">
      <c r="A3191" s="2">
        <f>IFERROR(__xludf.DUMMYFUNCTION("""COMPUTED_VALUE"""),43795.66666666667)</f>
        <v>43795.66667</v>
      </c>
      <c r="B3191" s="1">
        <f>IFERROR(__xludf.DUMMYFUNCTION("""COMPUTED_VALUE"""),2.14)</f>
        <v>2.14</v>
      </c>
      <c r="C3191" s="1">
        <f>IFERROR(__xludf.DUMMYFUNCTION("""COMPUTED_VALUE"""),2.15)</f>
        <v>2.15</v>
      </c>
      <c r="D3191" s="1">
        <f>IFERROR(__xludf.DUMMYFUNCTION("""COMPUTED_VALUE"""),2.13)</f>
        <v>2.13</v>
      </c>
      <c r="E3191" s="1">
        <f>IFERROR(__xludf.DUMMYFUNCTION("""COMPUTED_VALUE"""),2.15)</f>
        <v>2.15</v>
      </c>
      <c r="F3191" s="1">
        <f>IFERROR(__xludf.DUMMYFUNCTION("""COMPUTED_VALUE"""),211620.0)</f>
        <v>211620</v>
      </c>
    </row>
    <row r="3192">
      <c r="A3192" s="2">
        <f>IFERROR(__xludf.DUMMYFUNCTION("""COMPUTED_VALUE"""),43796.66666666667)</f>
        <v>43796.66667</v>
      </c>
      <c r="B3192" s="1">
        <f>IFERROR(__xludf.DUMMYFUNCTION("""COMPUTED_VALUE"""),2.1)</f>
        <v>2.1</v>
      </c>
      <c r="C3192" s="1">
        <f>IFERROR(__xludf.DUMMYFUNCTION("""COMPUTED_VALUE"""),2.15)</f>
        <v>2.15</v>
      </c>
      <c r="D3192" s="1">
        <f>IFERROR(__xludf.DUMMYFUNCTION("""COMPUTED_VALUE"""),2.07)</f>
        <v>2.07</v>
      </c>
      <c r="E3192" s="1">
        <f>IFERROR(__xludf.DUMMYFUNCTION("""COMPUTED_VALUE"""),2.15)</f>
        <v>2.15</v>
      </c>
      <c r="F3192" s="1">
        <f>IFERROR(__xludf.DUMMYFUNCTION("""COMPUTED_VALUE"""),12320.0)</f>
        <v>12320</v>
      </c>
    </row>
    <row r="3193">
      <c r="A3193" s="2">
        <f>IFERROR(__xludf.DUMMYFUNCTION("""COMPUTED_VALUE"""),43798.54166666667)</f>
        <v>43798.54167</v>
      </c>
      <c r="B3193" s="1">
        <f>IFERROR(__xludf.DUMMYFUNCTION("""COMPUTED_VALUE"""),2.1)</f>
        <v>2.1</v>
      </c>
      <c r="C3193" s="1">
        <f>IFERROR(__xludf.DUMMYFUNCTION("""COMPUTED_VALUE"""),2.16)</f>
        <v>2.16</v>
      </c>
      <c r="D3193" s="1">
        <f>IFERROR(__xludf.DUMMYFUNCTION("""COMPUTED_VALUE"""),2.1)</f>
        <v>2.1</v>
      </c>
      <c r="E3193" s="1">
        <f>IFERROR(__xludf.DUMMYFUNCTION("""COMPUTED_VALUE"""),2.13)</f>
        <v>2.13</v>
      </c>
      <c r="F3193" s="1">
        <f>IFERROR(__xludf.DUMMYFUNCTION("""COMPUTED_VALUE"""),3038.0)</f>
        <v>3038</v>
      </c>
    </row>
    <row r="3194">
      <c r="A3194" s="2">
        <f>IFERROR(__xludf.DUMMYFUNCTION("""COMPUTED_VALUE"""),43801.66666666667)</f>
        <v>43801.66667</v>
      </c>
      <c r="B3194" s="1">
        <f>IFERROR(__xludf.DUMMYFUNCTION("""COMPUTED_VALUE"""),2.13)</f>
        <v>2.13</v>
      </c>
      <c r="C3194" s="1">
        <f>IFERROR(__xludf.DUMMYFUNCTION("""COMPUTED_VALUE"""),2.15)</f>
        <v>2.15</v>
      </c>
      <c r="D3194" s="1">
        <f>IFERROR(__xludf.DUMMYFUNCTION("""COMPUTED_VALUE"""),2.13)</f>
        <v>2.13</v>
      </c>
      <c r="E3194" s="1">
        <f>IFERROR(__xludf.DUMMYFUNCTION("""COMPUTED_VALUE"""),2.15)</f>
        <v>2.15</v>
      </c>
      <c r="F3194" s="1">
        <f>IFERROR(__xludf.DUMMYFUNCTION("""COMPUTED_VALUE"""),33811.0)</f>
        <v>33811</v>
      </c>
    </row>
    <row r="3195">
      <c r="A3195" s="2">
        <f>IFERROR(__xludf.DUMMYFUNCTION("""COMPUTED_VALUE"""),43802.66666666667)</f>
        <v>43802.66667</v>
      </c>
      <c r="B3195" s="1">
        <f>IFERROR(__xludf.DUMMYFUNCTION("""COMPUTED_VALUE"""),2.13)</f>
        <v>2.13</v>
      </c>
      <c r="C3195" s="1">
        <f>IFERROR(__xludf.DUMMYFUNCTION("""COMPUTED_VALUE"""),2.16)</f>
        <v>2.16</v>
      </c>
      <c r="D3195" s="1">
        <f>IFERROR(__xludf.DUMMYFUNCTION("""COMPUTED_VALUE"""),2.13)</f>
        <v>2.13</v>
      </c>
      <c r="E3195" s="1">
        <f>IFERROR(__xludf.DUMMYFUNCTION("""COMPUTED_VALUE"""),2.16)</f>
        <v>2.16</v>
      </c>
      <c r="F3195" s="1">
        <f>IFERROR(__xludf.DUMMYFUNCTION("""COMPUTED_VALUE"""),96126.0)</f>
        <v>96126</v>
      </c>
    </row>
    <row r="3196">
      <c r="A3196" s="2">
        <f>IFERROR(__xludf.DUMMYFUNCTION("""COMPUTED_VALUE"""),43803.66666666667)</f>
        <v>43803.66667</v>
      </c>
      <c r="B3196" s="1">
        <f>IFERROR(__xludf.DUMMYFUNCTION("""COMPUTED_VALUE"""),2.16)</f>
        <v>2.16</v>
      </c>
      <c r="C3196" s="1">
        <f>IFERROR(__xludf.DUMMYFUNCTION("""COMPUTED_VALUE"""),2.16)</f>
        <v>2.16</v>
      </c>
      <c r="D3196" s="1">
        <f>IFERROR(__xludf.DUMMYFUNCTION("""COMPUTED_VALUE"""),2.15)</f>
        <v>2.15</v>
      </c>
      <c r="E3196" s="1">
        <f>IFERROR(__xludf.DUMMYFUNCTION("""COMPUTED_VALUE"""),2.15)</f>
        <v>2.15</v>
      </c>
      <c r="F3196" s="1">
        <f>IFERROR(__xludf.DUMMYFUNCTION("""COMPUTED_VALUE"""),213052.0)</f>
        <v>213052</v>
      </c>
    </row>
    <row r="3197">
      <c r="A3197" s="2">
        <f>IFERROR(__xludf.DUMMYFUNCTION("""COMPUTED_VALUE"""),43804.66666666667)</f>
        <v>43804.66667</v>
      </c>
      <c r="B3197" s="1">
        <f>IFERROR(__xludf.DUMMYFUNCTION("""COMPUTED_VALUE"""),2.15)</f>
        <v>2.15</v>
      </c>
      <c r="C3197" s="1">
        <f>IFERROR(__xludf.DUMMYFUNCTION("""COMPUTED_VALUE"""),2.15)</f>
        <v>2.15</v>
      </c>
      <c r="D3197" s="1">
        <f>IFERROR(__xludf.DUMMYFUNCTION("""COMPUTED_VALUE"""),2.15)</f>
        <v>2.15</v>
      </c>
      <c r="E3197" s="1">
        <f>IFERROR(__xludf.DUMMYFUNCTION("""COMPUTED_VALUE"""),2.15)</f>
        <v>2.15</v>
      </c>
      <c r="F3197" s="1">
        <f>IFERROR(__xludf.DUMMYFUNCTION("""COMPUTED_VALUE"""),134073.0)</f>
        <v>134073</v>
      </c>
    </row>
    <row r="3198">
      <c r="A3198" s="2">
        <f>IFERROR(__xludf.DUMMYFUNCTION("""COMPUTED_VALUE"""),43805.66666666667)</f>
        <v>43805.66667</v>
      </c>
      <c r="B3198" s="1">
        <f>IFERROR(__xludf.DUMMYFUNCTION("""COMPUTED_VALUE"""),2.15)</f>
        <v>2.15</v>
      </c>
      <c r="C3198" s="1">
        <f>IFERROR(__xludf.DUMMYFUNCTION("""COMPUTED_VALUE"""),2.16)</f>
        <v>2.16</v>
      </c>
      <c r="D3198" s="1">
        <f>IFERROR(__xludf.DUMMYFUNCTION("""COMPUTED_VALUE"""),2.14)</f>
        <v>2.14</v>
      </c>
      <c r="E3198" s="1">
        <f>IFERROR(__xludf.DUMMYFUNCTION("""COMPUTED_VALUE"""),2.16)</f>
        <v>2.16</v>
      </c>
      <c r="F3198" s="1">
        <f>IFERROR(__xludf.DUMMYFUNCTION("""COMPUTED_VALUE"""),170256.0)</f>
        <v>170256</v>
      </c>
    </row>
    <row r="3199">
      <c r="A3199" s="2">
        <f>IFERROR(__xludf.DUMMYFUNCTION("""COMPUTED_VALUE"""),43808.66666666667)</f>
        <v>43808.66667</v>
      </c>
      <c r="B3199" s="1">
        <f>IFERROR(__xludf.DUMMYFUNCTION("""COMPUTED_VALUE"""),2.16)</f>
        <v>2.16</v>
      </c>
      <c r="C3199" s="1">
        <f>IFERROR(__xludf.DUMMYFUNCTION("""COMPUTED_VALUE"""),2.22)</f>
        <v>2.22</v>
      </c>
      <c r="D3199" s="1">
        <f>IFERROR(__xludf.DUMMYFUNCTION("""COMPUTED_VALUE"""),2.16)</f>
        <v>2.16</v>
      </c>
      <c r="E3199" s="1">
        <f>IFERROR(__xludf.DUMMYFUNCTION("""COMPUTED_VALUE"""),2.2)</f>
        <v>2.2</v>
      </c>
      <c r="F3199" s="1">
        <f>IFERROR(__xludf.DUMMYFUNCTION("""COMPUTED_VALUE"""),233929.0)</f>
        <v>233929</v>
      </c>
    </row>
    <row r="3200">
      <c r="A3200" s="2">
        <f>IFERROR(__xludf.DUMMYFUNCTION("""COMPUTED_VALUE"""),43809.66666666667)</f>
        <v>43809.66667</v>
      </c>
      <c r="B3200" s="1">
        <f>IFERROR(__xludf.DUMMYFUNCTION("""COMPUTED_VALUE"""),2.2)</f>
        <v>2.2</v>
      </c>
      <c r="C3200" s="1">
        <f>IFERROR(__xludf.DUMMYFUNCTION("""COMPUTED_VALUE"""),2.21)</f>
        <v>2.21</v>
      </c>
      <c r="D3200" s="1">
        <f>IFERROR(__xludf.DUMMYFUNCTION("""COMPUTED_VALUE"""),2.11)</f>
        <v>2.11</v>
      </c>
      <c r="E3200" s="1">
        <f>IFERROR(__xludf.DUMMYFUNCTION("""COMPUTED_VALUE"""),2.2)</f>
        <v>2.2</v>
      </c>
      <c r="F3200" s="1">
        <f>IFERROR(__xludf.DUMMYFUNCTION("""COMPUTED_VALUE"""),236362.0)</f>
        <v>236362</v>
      </c>
    </row>
    <row r="3201">
      <c r="A3201" s="2">
        <f>IFERROR(__xludf.DUMMYFUNCTION("""COMPUTED_VALUE"""),43810.66666666667)</f>
        <v>43810.66667</v>
      </c>
      <c r="B3201" s="1">
        <f>IFERROR(__xludf.DUMMYFUNCTION("""COMPUTED_VALUE"""),2.06)</f>
        <v>2.06</v>
      </c>
      <c r="C3201" s="1">
        <f>IFERROR(__xludf.DUMMYFUNCTION("""COMPUTED_VALUE"""),2.2)</f>
        <v>2.2</v>
      </c>
      <c r="D3201" s="1">
        <f>IFERROR(__xludf.DUMMYFUNCTION("""COMPUTED_VALUE"""),2.06)</f>
        <v>2.06</v>
      </c>
      <c r="E3201" s="1">
        <f>IFERROR(__xludf.DUMMYFUNCTION("""COMPUTED_VALUE"""),2.17)</f>
        <v>2.17</v>
      </c>
      <c r="F3201" s="1">
        <f>IFERROR(__xludf.DUMMYFUNCTION("""COMPUTED_VALUE"""),188523.0)</f>
        <v>188523</v>
      </c>
    </row>
    <row r="3202">
      <c r="A3202" s="2">
        <f>IFERROR(__xludf.DUMMYFUNCTION("""COMPUTED_VALUE"""),43811.66666666667)</f>
        <v>43811.66667</v>
      </c>
      <c r="B3202" s="1">
        <f>IFERROR(__xludf.DUMMYFUNCTION("""COMPUTED_VALUE"""),2.17)</f>
        <v>2.17</v>
      </c>
      <c r="C3202" s="1">
        <f>IFERROR(__xludf.DUMMYFUNCTION("""COMPUTED_VALUE"""),2.2)</f>
        <v>2.2</v>
      </c>
      <c r="D3202" s="1">
        <f>IFERROR(__xludf.DUMMYFUNCTION("""COMPUTED_VALUE"""),2.17)</f>
        <v>2.17</v>
      </c>
      <c r="E3202" s="1">
        <f>IFERROR(__xludf.DUMMYFUNCTION("""COMPUTED_VALUE"""),2.2)</f>
        <v>2.2</v>
      </c>
      <c r="F3202" s="1">
        <f>IFERROR(__xludf.DUMMYFUNCTION("""COMPUTED_VALUE"""),78957.0)</f>
        <v>78957</v>
      </c>
    </row>
    <row r="3203">
      <c r="A3203" s="2">
        <f>IFERROR(__xludf.DUMMYFUNCTION("""COMPUTED_VALUE"""),43812.66666666667)</f>
        <v>43812.66667</v>
      </c>
      <c r="B3203" s="1">
        <f>IFERROR(__xludf.DUMMYFUNCTION("""COMPUTED_VALUE"""),2.21)</f>
        <v>2.21</v>
      </c>
      <c r="C3203" s="1">
        <f>IFERROR(__xludf.DUMMYFUNCTION("""COMPUTED_VALUE"""),2.21)</f>
        <v>2.21</v>
      </c>
      <c r="D3203" s="1">
        <f>IFERROR(__xludf.DUMMYFUNCTION("""COMPUTED_VALUE"""),2.2)</f>
        <v>2.2</v>
      </c>
      <c r="E3203" s="1">
        <f>IFERROR(__xludf.DUMMYFUNCTION("""COMPUTED_VALUE"""),2.21)</f>
        <v>2.21</v>
      </c>
      <c r="F3203" s="1">
        <f>IFERROR(__xludf.DUMMYFUNCTION("""COMPUTED_VALUE"""),18702.0)</f>
        <v>18702</v>
      </c>
    </row>
    <row r="3204">
      <c r="A3204" s="2">
        <f>IFERROR(__xludf.DUMMYFUNCTION("""COMPUTED_VALUE"""),43815.66666666667)</f>
        <v>43815.66667</v>
      </c>
      <c r="B3204" s="1">
        <f>IFERROR(__xludf.DUMMYFUNCTION("""COMPUTED_VALUE"""),2.2)</f>
        <v>2.2</v>
      </c>
      <c r="C3204" s="1">
        <f>IFERROR(__xludf.DUMMYFUNCTION("""COMPUTED_VALUE"""),2.27)</f>
        <v>2.27</v>
      </c>
      <c r="D3204" s="1">
        <f>IFERROR(__xludf.DUMMYFUNCTION("""COMPUTED_VALUE"""),2.19)</f>
        <v>2.19</v>
      </c>
      <c r="E3204" s="1">
        <f>IFERROR(__xludf.DUMMYFUNCTION("""COMPUTED_VALUE"""),2.25)</f>
        <v>2.25</v>
      </c>
      <c r="F3204" s="1">
        <f>IFERROR(__xludf.DUMMYFUNCTION("""COMPUTED_VALUE"""),94544.0)</f>
        <v>94544</v>
      </c>
    </row>
    <row r="3205">
      <c r="A3205" s="2">
        <f>IFERROR(__xludf.DUMMYFUNCTION("""COMPUTED_VALUE"""),43816.66666666667)</f>
        <v>43816.66667</v>
      </c>
      <c r="B3205" s="1">
        <f>IFERROR(__xludf.DUMMYFUNCTION("""COMPUTED_VALUE"""),2.26)</f>
        <v>2.26</v>
      </c>
      <c r="C3205" s="1">
        <f>IFERROR(__xludf.DUMMYFUNCTION("""COMPUTED_VALUE"""),2.27)</f>
        <v>2.27</v>
      </c>
      <c r="D3205" s="1">
        <f>IFERROR(__xludf.DUMMYFUNCTION("""COMPUTED_VALUE"""),2.25)</f>
        <v>2.25</v>
      </c>
      <c r="E3205" s="1">
        <f>IFERROR(__xludf.DUMMYFUNCTION("""COMPUTED_VALUE"""),2.25)</f>
        <v>2.25</v>
      </c>
      <c r="F3205" s="1">
        <f>IFERROR(__xludf.DUMMYFUNCTION("""COMPUTED_VALUE"""),60644.0)</f>
        <v>60644</v>
      </c>
    </row>
    <row r="3206">
      <c r="A3206" s="2">
        <f>IFERROR(__xludf.DUMMYFUNCTION("""COMPUTED_VALUE"""),43817.66666666667)</f>
        <v>43817.66667</v>
      </c>
      <c r="B3206" s="1">
        <f>IFERROR(__xludf.DUMMYFUNCTION("""COMPUTED_VALUE"""),2.26)</f>
        <v>2.26</v>
      </c>
      <c r="C3206" s="1">
        <f>IFERROR(__xludf.DUMMYFUNCTION("""COMPUTED_VALUE"""),2.26)</f>
        <v>2.26</v>
      </c>
      <c r="D3206" s="1">
        <f>IFERROR(__xludf.DUMMYFUNCTION("""COMPUTED_VALUE"""),2.21)</f>
        <v>2.21</v>
      </c>
      <c r="E3206" s="1">
        <f>IFERROR(__xludf.DUMMYFUNCTION("""COMPUTED_VALUE"""),2.25)</f>
        <v>2.25</v>
      </c>
      <c r="F3206" s="1">
        <f>IFERROR(__xludf.DUMMYFUNCTION("""COMPUTED_VALUE"""),19427.0)</f>
        <v>19427</v>
      </c>
    </row>
    <row r="3207">
      <c r="A3207" s="2">
        <f>IFERROR(__xludf.DUMMYFUNCTION("""COMPUTED_VALUE"""),43818.66666666667)</f>
        <v>43818.66667</v>
      </c>
      <c r="B3207" s="1">
        <f>IFERROR(__xludf.DUMMYFUNCTION("""COMPUTED_VALUE"""),2.24)</f>
        <v>2.24</v>
      </c>
      <c r="C3207" s="1">
        <f>IFERROR(__xludf.DUMMYFUNCTION("""COMPUTED_VALUE"""),2.28)</f>
        <v>2.28</v>
      </c>
      <c r="D3207" s="1">
        <f>IFERROR(__xludf.DUMMYFUNCTION("""COMPUTED_VALUE"""),2.24)</f>
        <v>2.24</v>
      </c>
      <c r="E3207" s="1">
        <f>IFERROR(__xludf.DUMMYFUNCTION("""COMPUTED_VALUE"""),2.27)</f>
        <v>2.27</v>
      </c>
      <c r="F3207" s="1">
        <f>IFERROR(__xludf.DUMMYFUNCTION("""COMPUTED_VALUE"""),123309.0)</f>
        <v>123309</v>
      </c>
    </row>
    <row r="3208">
      <c r="A3208" s="2">
        <f>IFERROR(__xludf.DUMMYFUNCTION("""COMPUTED_VALUE"""),43819.66666666667)</f>
        <v>43819.66667</v>
      </c>
      <c r="B3208" s="1">
        <f>IFERROR(__xludf.DUMMYFUNCTION("""COMPUTED_VALUE"""),2.3)</f>
        <v>2.3</v>
      </c>
      <c r="C3208" s="1">
        <f>IFERROR(__xludf.DUMMYFUNCTION("""COMPUTED_VALUE"""),2.53)</f>
        <v>2.53</v>
      </c>
      <c r="D3208" s="1">
        <f>IFERROR(__xludf.DUMMYFUNCTION("""COMPUTED_VALUE"""),2.29)</f>
        <v>2.29</v>
      </c>
      <c r="E3208" s="1">
        <f>IFERROR(__xludf.DUMMYFUNCTION("""COMPUTED_VALUE"""),2.47)</f>
        <v>2.47</v>
      </c>
      <c r="F3208" s="1">
        <f>IFERROR(__xludf.DUMMYFUNCTION("""COMPUTED_VALUE"""),366422.0)</f>
        <v>366422</v>
      </c>
    </row>
    <row r="3209">
      <c r="A3209" s="2">
        <f>IFERROR(__xludf.DUMMYFUNCTION("""COMPUTED_VALUE"""),43822.66666666667)</f>
        <v>43822.66667</v>
      </c>
      <c r="B3209" s="1">
        <f>IFERROR(__xludf.DUMMYFUNCTION("""COMPUTED_VALUE"""),2.48)</f>
        <v>2.48</v>
      </c>
      <c r="C3209" s="1">
        <f>IFERROR(__xludf.DUMMYFUNCTION("""COMPUTED_VALUE"""),2.53)</f>
        <v>2.53</v>
      </c>
      <c r="D3209" s="1">
        <f>IFERROR(__xludf.DUMMYFUNCTION("""COMPUTED_VALUE"""),2.34)</f>
        <v>2.34</v>
      </c>
      <c r="E3209" s="1">
        <f>IFERROR(__xludf.DUMMYFUNCTION("""COMPUTED_VALUE"""),2.42)</f>
        <v>2.42</v>
      </c>
      <c r="F3209" s="1">
        <f>IFERROR(__xludf.DUMMYFUNCTION("""COMPUTED_VALUE"""),214876.0)</f>
        <v>214876</v>
      </c>
    </row>
    <row r="3210">
      <c r="A3210" s="2">
        <f>IFERROR(__xludf.DUMMYFUNCTION("""COMPUTED_VALUE"""),43823.54166666667)</f>
        <v>43823.54167</v>
      </c>
      <c r="B3210" s="1">
        <f>IFERROR(__xludf.DUMMYFUNCTION("""COMPUTED_VALUE"""),2.41)</f>
        <v>2.41</v>
      </c>
      <c r="C3210" s="1">
        <f>IFERROR(__xludf.DUMMYFUNCTION("""COMPUTED_VALUE"""),2.41)</f>
        <v>2.41</v>
      </c>
      <c r="D3210" s="1">
        <f>IFERROR(__xludf.DUMMYFUNCTION("""COMPUTED_VALUE"""),2.38)</f>
        <v>2.38</v>
      </c>
      <c r="E3210" s="1">
        <f>IFERROR(__xludf.DUMMYFUNCTION("""COMPUTED_VALUE"""),2.39)</f>
        <v>2.39</v>
      </c>
      <c r="F3210" s="1">
        <f>IFERROR(__xludf.DUMMYFUNCTION("""COMPUTED_VALUE"""),517696.0)</f>
        <v>517696</v>
      </c>
    </row>
    <row r="3211">
      <c r="A3211" s="2">
        <f>IFERROR(__xludf.DUMMYFUNCTION("""COMPUTED_VALUE"""),43825.66666666667)</f>
        <v>43825.66667</v>
      </c>
      <c r="B3211" s="1">
        <f>IFERROR(__xludf.DUMMYFUNCTION("""COMPUTED_VALUE"""),2.35)</f>
        <v>2.35</v>
      </c>
      <c r="C3211" s="1">
        <f>IFERROR(__xludf.DUMMYFUNCTION("""COMPUTED_VALUE"""),2.39)</f>
        <v>2.39</v>
      </c>
      <c r="D3211" s="1">
        <f>IFERROR(__xludf.DUMMYFUNCTION("""COMPUTED_VALUE"""),2.35)</f>
        <v>2.35</v>
      </c>
      <c r="E3211" s="1">
        <f>IFERROR(__xludf.DUMMYFUNCTION("""COMPUTED_VALUE"""),2.38)</f>
        <v>2.38</v>
      </c>
      <c r="F3211" s="1">
        <f>IFERROR(__xludf.DUMMYFUNCTION("""COMPUTED_VALUE"""),176999.0)</f>
        <v>176999</v>
      </c>
    </row>
    <row r="3212">
      <c r="A3212" s="2">
        <f>IFERROR(__xludf.DUMMYFUNCTION("""COMPUTED_VALUE"""),43826.66666666667)</f>
        <v>43826.66667</v>
      </c>
      <c r="B3212" s="1">
        <f>IFERROR(__xludf.DUMMYFUNCTION("""COMPUTED_VALUE"""),2.35)</f>
        <v>2.35</v>
      </c>
      <c r="C3212" s="1">
        <f>IFERROR(__xludf.DUMMYFUNCTION("""COMPUTED_VALUE"""),2.43)</f>
        <v>2.43</v>
      </c>
      <c r="D3212" s="1">
        <f>IFERROR(__xludf.DUMMYFUNCTION("""COMPUTED_VALUE"""),2.35)</f>
        <v>2.35</v>
      </c>
      <c r="E3212" s="1">
        <f>IFERROR(__xludf.DUMMYFUNCTION("""COMPUTED_VALUE"""),2.41)</f>
        <v>2.41</v>
      </c>
      <c r="F3212" s="1">
        <f>IFERROR(__xludf.DUMMYFUNCTION("""COMPUTED_VALUE"""),427261.0)</f>
        <v>427261</v>
      </c>
    </row>
    <row r="3213">
      <c r="A3213" s="2">
        <f>IFERROR(__xludf.DUMMYFUNCTION("""COMPUTED_VALUE"""),43829.66666666667)</f>
        <v>43829.66667</v>
      </c>
      <c r="B3213" s="1">
        <f>IFERROR(__xludf.DUMMYFUNCTION("""COMPUTED_VALUE"""),2.42)</f>
        <v>2.42</v>
      </c>
      <c r="C3213" s="1">
        <f>IFERROR(__xludf.DUMMYFUNCTION("""COMPUTED_VALUE"""),2.42)</f>
        <v>2.42</v>
      </c>
      <c r="D3213" s="1">
        <f>IFERROR(__xludf.DUMMYFUNCTION("""COMPUTED_VALUE"""),2.4)</f>
        <v>2.4</v>
      </c>
      <c r="E3213" s="1">
        <f>IFERROR(__xludf.DUMMYFUNCTION("""COMPUTED_VALUE"""),2.4)</f>
        <v>2.4</v>
      </c>
      <c r="F3213" s="1">
        <f>IFERROR(__xludf.DUMMYFUNCTION("""COMPUTED_VALUE"""),121097.0)</f>
        <v>121097</v>
      </c>
    </row>
    <row r="3214">
      <c r="A3214" s="2">
        <f>IFERROR(__xludf.DUMMYFUNCTION("""COMPUTED_VALUE"""),43830.66666666667)</f>
        <v>43830.66667</v>
      </c>
      <c r="B3214" s="1">
        <f>IFERROR(__xludf.DUMMYFUNCTION("""COMPUTED_VALUE"""),2.4)</f>
        <v>2.4</v>
      </c>
      <c r="C3214" s="1">
        <f>IFERROR(__xludf.DUMMYFUNCTION("""COMPUTED_VALUE"""),2.41)</f>
        <v>2.41</v>
      </c>
      <c r="D3214" s="1">
        <f>IFERROR(__xludf.DUMMYFUNCTION("""COMPUTED_VALUE"""),2.39)</f>
        <v>2.39</v>
      </c>
      <c r="E3214" s="1">
        <f>IFERROR(__xludf.DUMMYFUNCTION("""COMPUTED_VALUE"""),2.4)</f>
        <v>2.4</v>
      </c>
      <c r="F3214" s="1">
        <f>IFERROR(__xludf.DUMMYFUNCTION("""COMPUTED_VALUE"""),109345.0)</f>
        <v>109345</v>
      </c>
    </row>
    <row r="3215">
      <c r="A3215" s="2">
        <f>IFERROR(__xludf.DUMMYFUNCTION("""COMPUTED_VALUE"""),43832.66666666667)</f>
        <v>43832.66667</v>
      </c>
      <c r="B3215" s="1">
        <f>IFERROR(__xludf.DUMMYFUNCTION("""COMPUTED_VALUE"""),2.38)</f>
        <v>2.38</v>
      </c>
      <c r="C3215" s="1">
        <f>IFERROR(__xludf.DUMMYFUNCTION("""COMPUTED_VALUE"""),2.42)</f>
        <v>2.42</v>
      </c>
      <c r="D3215" s="1">
        <f>IFERROR(__xludf.DUMMYFUNCTION("""COMPUTED_VALUE"""),2.34)</f>
        <v>2.34</v>
      </c>
      <c r="E3215" s="1">
        <f>IFERROR(__xludf.DUMMYFUNCTION("""COMPUTED_VALUE"""),2.36)</f>
        <v>2.36</v>
      </c>
      <c r="F3215" s="1">
        <f>IFERROR(__xludf.DUMMYFUNCTION("""COMPUTED_VALUE"""),417824.0)</f>
        <v>417824</v>
      </c>
    </row>
    <row r="3216">
      <c r="A3216" s="2">
        <f>IFERROR(__xludf.DUMMYFUNCTION("""COMPUTED_VALUE"""),43833.66666666667)</f>
        <v>43833.66667</v>
      </c>
      <c r="B3216" s="1">
        <f>IFERROR(__xludf.DUMMYFUNCTION("""COMPUTED_VALUE"""),2.34)</f>
        <v>2.34</v>
      </c>
      <c r="C3216" s="1">
        <f>IFERROR(__xludf.DUMMYFUNCTION("""COMPUTED_VALUE"""),2.37)</f>
        <v>2.37</v>
      </c>
      <c r="D3216" s="1">
        <f>IFERROR(__xludf.DUMMYFUNCTION("""COMPUTED_VALUE"""),2.34)</f>
        <v>2.34</v>
      </c>
      <c r="E3216" s="1">
        <f>IFERROR(__xludf.DUMMYFUNCTION("""COMPUTED_VALUE"""),2.34)</f>
        <v>2.34</v>
      </c>
      <c r="F3216" s="1">
        <f>IFERROR(__xludf.DUMMYFUNCTION("""COMPUTED_VALUE"""),30248.0)</f>
        <v>30248</v>
      </c>
    </row>
    <row r="3217">
      <c r="A3217" s="2">
        <f>IFERROR(__xludf.DUMMYFUNCTION("""COMPUTED_VALUE"""),43836.66666666667)</f>
        <v>43836.66667</v>
      </c>
      <c r="B3217" s="1">
        <f>IFERROR(__xludf.DUMMYFUNCTION("""COMPUTED_VALUE"""),2.34)</f>
        <v>2.34</v>
      </c>
      <c r="C3217" s="1">
        <f>IFERROR(__xludf.DUMMYFUNCTION("""COMPUTED_VALUE"""),2.35)</f>
        <v>2.35</v>
      </c>
      <c r="D3217" s="1">
        <f>IFERROR(__xludf.DUMMYFUNCTION("""COMPUTED_VALUE"""),2.32)</f>
        <v>2.32</v>
      </c>
      <c r="E3217" s="1">
        <f>IFERROR(__xludf.DUMMYFUNCTION("""COMPUTED_VALUE"""),2.33)</f>
        <v>2.33</v>
      </c>
      <c r="F3217" s="1">
        <f>IFERROR(__xludf.DUMMYFUNCTION("""COMPUTED_VALUE"""),93251.0)</f>
        <v>93251</v>
      </c>
    </row>
    <row r="3218">
      <c r="A3218" s="2">
        <f>IFERROR(__xludf.DUMMYFUNCTION("""COMPUTED_VALUE"""),43837.66666666667)</f>
        <v>43837.66667</v>
      </c>
      <c r="B3218" s="1">
        <f>IFERROR(__xludf.DUMMYFUNCTION("""COMPUTED_VALUE"""),2.3)</f>
        <v>2.3</v>
      </c>
      <c r="C3218" s="1">
        <f>IFERROR(__xludf.DUMMYFUNCTION("""COMPUTED_VALUE"""),2.35)</f>
        <v>2.35</v>
      </c>
      <c r="D3218" s="1">
        <f>IFERROR(__xludf.DUMMYFUNCTION("""COMPUTED_VALUE"""),2.3)</f>
        <v>2.3</v>
      </c>
      <c r="E3218" s="1">
        <f>IFERROR(__xludf.DUMMYFUNCTION("""COMPUTED_VALUE"""),2.31)</f>
        <v>2.31</v>
      </c>
      <c r="F3218" s="1">
        <f>IFERROR(__xludf.DUMMYFUNCTION("""COMPUTED_VALUE"""),38683.0)</f>
        <v>38683</v>
      </c>
    </row>
    <row r="3219">
      <c r="A3219" s="2">
        <f>IFERROR(__xludf.DUMMYFUNCTION("""COMPUTED_VALUE"""),43838.66666666667)</f>
        <v>43838.66667</v>
      </c>
      <c r="B3219" s="1">
        <f>IFERROR(__xludf.DUMMYFUNCTION("""COMPUTED_VALUE"""),2.31)</f>
        <v>2.31</v>
      </c>
      <c r="C3219" s="1">
        <f>IFERROR(__xludf.DUMMYFUNCTION("""COMPUTED_VALUE"""),2.32)</f>
        <v>2.32</v>
      </c>
      <c r="D3219" s="1">
        <f>IFERROR(__xludf.DUMMYFUNCTION("""COMPUTED_VALUE"""),2.3)</f>
        <v>2.3</v>
      </c>
      <c r="E3219" s="1">
        <f>IFERROR(__xludf.DUMMYFUNCTION("""COMPUTED_VALUE"""),2.31)</f>
        <v>2.31</v>
      </c>
      <c r="F3219" s="1">
        <f>IFERROR(__xludf.DUMMYFUNCTION("""COMPUTED_VALUE"""),353705.0)</f>
        <v>353705</v>
      </c>
    </row>
    <row r="3220">
      <c r="A3220" s="2">
        <f>IFERROR(__xludf.DUMMYFUNCTION("""COMPUTED_VALUE"""),43839.66666666667)</f>
        <v>43839.66667</v>
      </c>
      <c r="B3220" s="1">
        <f>IFERROR(__xludf.DUMMYFUNCTION("""COMPUTED_VALUE"""),2.31)</f>
        <v>2.31</v>
      </c>
      <c r="C3220" s="1">
        <f>IFERROR(__xludf.DUMMYFUNCTION("""COMPUTED_VALUE"""),2.33)</f>
        <v>2.33</v>
      </c>
      <c r="D3220" s="1">
        <f>IFERROR(__xludf.DUMMYFUNCTION("""COMPUTED_VALUE"""),2.31)</f>
        <v>2.31</v>
      </c>
      <c r="E3220" s="1">
        <f>IFERROR(__xludf.DUMMYFUNCTION("""COMPUTED_VALUE"""),2.32)</f>
        <v>2.32</v>
      </c>
      <c r="F3220" s="1">
        <f>IFERROR(__xludf.DUMMYFUNCTION("""COMPUTED_VALUE"""),209757.0)</f>
        <v>209757</v>
      </c>
    </row>
    <row r="3221">
      <c r="A3221" s="2">
        <f>IFERROR(__xludf.DUMMYFUNCTION("""COMPUTED_VALUE"""),43840.66666666667)</f>
        <v>43840.66667</v>
      </c>
      <c r="B3221" s="1">
        <f>IFERROR(__xludf.DUMMYFUNCTION("""COMPUTED_VALUE"""),2.44)</f>
        <v>2.44</v>
      </c>
      <c r="C3221" s="1">
        <f>IFERROR(__xludf.DUMMYFUNCTION("""COMPUTED_VALUE"""),2.69)</f>
        <v>2.69</v>
      </c>
      <c r="D3221" s="1">
        <f>IFERROR(__xludf.DUMMYFUNCTION("""COMPUTED_VALUE"""),2.43)</f>
        <v>2.43</v>
      </c>
      <c r="E3221" s="1">
        <f>IFERROR(__xludf.DUMMYFUNCTION("""COMPUTED_VALUE"""),2.61)</f>
        <v>2.61</v>
      </c>
      <c r="F3221" s="1">
        <f>IFERROR(__xludf.DUMMYFUNCTION("""COMPUTED_VALUE"""),834977.0)</f>
        <v>834977</v>
      </c>
    </row>
    <row r="3222">
      <c r="A3222" s="2">
        <f>IFERROR(__xludf.DUMMYFUNCTION("""COMPUTED_VALUE"""),43843.66666666667)</f>
        <v>43843.66667</v>
      </c>
      <c r="B3222" s="1">
        <f>IFERROR(__xludf.DUMMYFUNCTION("""COMPUTED_VALUE"""),2.63)</f>
        <v>2.63</v>
      </c>
      <c r="C3222" s="1">
        <f>IFERROR(__xludf.DUMMYFUNCTION("""COMPUTED_VALUE"""),2.87)</f>
        <v>2.87</v>
      </c>
      <c r="D3222" s="1">
        <f>IFERROR(__xludf.DUMMYFUNCTION("""COMPUTED_VALUE"""),2.63)</f>
        <v>2.63</v>
      </c>
      <c r="E3222" s="1">
        <f>IFERROR(__xludf.DUMMYFUNCTION("""COMPUTED_VALUE"""),2.85)</f>
        <v>2.85</v>
      </c>
      <c r="F3222" s="1">
        <f>IFERROR(__xludf.DUMMYFUNCTION("""COMPUTED_VALUE"""),565653.0)</f>
        <v>565653</v>
      </c>
    </row>
    <row r="3223">
      <c r="A3223" s="2">
        <f>IFERROR(__xludf.DUMMYFUNCTION("""COMPUTED_VALUE"""),43844.66666666667)</f>
        <v>43844.66667</v>
      </c>
      <c r="B3223" s="1">
        <f>IFERROR(__xludf.DUMMYFUNCTION("""COMPUTED_VALUE"""),2.95)</f>
        <v>2.95</v>
      </c>
      <c r="C3223" s="1">
        <f>IFERROR(__xludf.DUMMYFUNCTION("""COMPUTED_VALUE"""),3.0)</f>
        <v>3</v>
      </c>
      <c r="D3223" s="1">
        <f>IFERROR(__xludf.DUMMYFUNCTION("""COMPUTED_VALUE"""),2.65)</f>
        <v>2.65</v>
      </c>
      <c r="E3223" s="1">
        <f>IFERROR(__xludf.DUMMYFUNCTION("""COMPUTED_VALUE"""),2.7)</f>
        <v>2.7</v>
      </c>
      <c r="F3223" s="1">
        <f>IFERROR(__xludf.DUMMYFUNCTION("""COMPUTED_VALUE"""),567093.0)</f>
        <v>567093</v>
      </c>
    </row>
    <row r="3224">
      <c r="A3224" s="2">
        <f>IFERROR(__xludf.DUMMYFUNCTION("""COMPUTED_VALUE"""),43845.66666666667)</f>
        <v>43845.66667</v>
      </c>
      <c r="B3224" s="1">
        <f>IFERROR(__xludf.DUMMYFUNCTION("""COMPUTED_VALUE"""),2.71)</f>
        <v>2.71</v>
      </c>
      <c r="C3224" s="1">
        <f>IFERROR(__xludf.DUMMYFUNCTION("""COMPUTED_VALUE"""),2.8)</f>
        <v>2.8</v>
      </c>
      <c r="D3224" s="1">
        <f>IFERROR(__xludf.DUMMYFUNCTION("""COMPUTED_VALUE"""),2.69)</f>
        <v>2.69</v>
      </c>
      <c r="E3224" s="1">
        <f>IFERROR(__xludf.DUMMYFUNCTION("""COMPUTED_VALUE"""),2.77)</f>
        <v>2.77</v>
      </c>
      <c r="F3224" s="1">
        <f>IFERROR(__xludf.DUMMYFUNCTION("""COMPUTED_VALUE"""),413462.0)</f>
        <v>413462</v>
      </c>
    </row>
    <row r="3225">
      <c r="A3225" s="2">
        <f>IFERROR(__xludf.DUMMYFUNCTION("""COMPUTED_VALUE"""),43846.66666666667)</f>
        <v>43846.66667</v>
      </c>
      <c r="B3225" s="1">
        <f>IFERROR(__xludf.DUMMYFUNCTION("""COMPUTED_VALUE"""),2.85)</f>
        <v>2.85</v>
      </c>
      <c r="C3225" s="1">
        <f>IFERROR(__xludf.DUMMYFUNCTION("""COMPUTED_VALUE"""),2.9)</f>
        <v>2.9</v>
      </c>
      <c r="D3225" s="1">
        <f>IFERROR(__xludf.DUMMYFUNCTION("""COMPUTED_VALUE"""),2.8)</f>
        <v>2.8</v>
      </c>
      <c r="E3225" s="1">
        <f>IFERROR(__xludf.DUMMYFUNCTION("""COMPUTED_VALUE"""),2.86)</f>
        <v>2.86</v>
      </c>
      <c r="F3225" s="1">
        <f>IFERROR(__xludf.DUMMYFUNCTION("""COMPUTED_VALUE"""),668824.0)</f>
        <v>668824</v>
      </c>
    </row>
    <row r="3226">
      <c r="A3226" s="2">
        <f>IFERROR(__xludf.DUMMYFUNCTION("""COMPUTED_VALUE"""),43847.66666666667)</f>
        <v>43847.66667</v>
      </c>
      <c r="B3226" s="1">
        <f>IFERROR(__xludf.DUMMYFUNCTION("""COMPUTED_VALUE"""),2.87)</f>
        <v>2.87</v>
      </c>
      <c r="C3226" s="1">
        <f>IFERROR(__xludf.DUMMYFUNCTION("""COMPUTED_VALUE"""),2.88)</f>
        <v>2.88</v>
      </c>
      <c r="D3226" s="1">
        <f>IFERROR(__xludf.DUMMYFUNCTION("""COMPUTED_VALUE"""),2.82)</f>
        <v>2.82</v>
      </c>
      <c r="E3226" s="1">
        <f>IFERROR(__xludf.DUMMYFUNCTION("""COMPUTED_VALUE"""),2.87)</f>
        <v>2.87</v>
      </c>
      <c r="F3226" s="1">
        <f>IFERROR(__xludf.DUMMYFUNCTION("""COMPUTED_VALUE"""),353613.0)</f>
        <v>353613</v>
      </c>
    </row>
    <row r="3227">
      <c r="A3227" s="2">
        <f>IFERROR(__xludf.DUMMYFUNCTION("""COMPUTED_VALUE"""),43851.66666666667)</f>
        <v>43851.66667</v>
      </c>
      <c r="B3227" s="1">
        <f>IFERROR(__xludf.DUMMYFUNCTION("""COMPUTED_VALUE"""),2.86)</f>
        <v>2.86</v>
      </c>
      <c r="C3227" s="1">
        <f>IFERROR(__xludf.DUMMYFUNCTION("""COMPUTED_VALUE"""),2.9)</f>
        <v>2.9</v>
      </c>
      <c r="D3227" s="1">
        <f>IFERROR(__xludf.DUMMYFUNCTION("""COMPUTED_VALUE"""),2.83)</f>
        <v>2.83</v>
      </c>
      <c r="E3227" s="1">
        <f>IFERROR(__xludf.DUMMYFUNCTION("""COMPUTED_VALUE"""),2.86)</f>
        <v>2.86</v>
      </c>
      <c r="F3227" s="1">
        <f>IFERROR(__xludf.DUMMYFUNCTION("""COMPUTED_VALUE"""),241301.0)</f>
        <v>241301</v>
      </c>
    </row>
    <row r="3228">
      <c r="A3228" s="2">
        <f>IFERROR(__xludf.DUMMYFUNCTION("""COMPUTED_VALUE"""),43852.66666666667)</f>
        <v>43852.66667</v>
      </c>
      <c r="B3228" s="1">
        <f>IFERROR(__xludf.DUMMYFUNCTION("""COMPUTED_VALUE"""),2.88)</f>
        <v>2.88</v>
      </c>
      <c r="C3228" s="1">
        <f>IFERROR(__xludf.DUMMYFUNCTION("""COMPUTED_VALUE"""),2.94)</f>
        <v>2.94</v>
      </c>
      <c r="D3228" s="1">
        <f>IFERROR(__xludf.DUMMYFUNCTION("""COMPUTED_VALUE"""),2.85)</f>
        <v>2.85</v>
      </c>
      <c r="E3228" s="1">
        <f>IFERROR(__xludf.DUMMYFUNCTION("""COMPUTED_VALUE"""),2.91)</f>
        <v>2.91</v>
      </c>
      <c r="F3228" s="1">
        <f>IFERROR(__xludf.DUMMYFUNCTION("""COMPUTED_VALUE"""),324096.0)</f>
        <v>324096</v>
      </c>
    </row>
    <row r="3229">
      <c r="A3229" s="2">
        <f>IFERROR(__xludf.DUMMYFUNCTION("""COMPUTED_VALUE"""),43853.66666666667)</f>
        <v>43853.66667</v>
      </c>
      <c r="B3229" s="1">
        <f>IFERROR(__xludf.DUMMYFUNCTION("""COMPUTED_VALUE"""),2.91)</f>
        <v>2.91</v>
      </c>
      <c r="C3229" s="1">
        <f>IFERROR(__xludf.DUMMYFUNCTION("""COMPUTED_VALUE"""),2.91)</f>
        <v>2.91</v>
      </c>
      <c r="D3229" s="1">
        <f>IFERROR(__xludf.DUMMYFUNCTION("""COMPUTED_VALUE"""),2.85)</f>
        <v>2.85</v>
      </c>
      <c r="E3229" s="1">
        <f>IFERROR(__xludf.DUMMYFUNCTION("""COMPUTED_VALUE"""),2.88)</f>
        <v>2.88</v>
      </c>
      <c r="F3229" s="1">
        <f>IFERROR(__xludf.DUMMYFUNCTION("""COMPUTED_VALUE"""),114550.0)</f>
        <v>114550</v>
      </c>
    </row>
    <row r="3230">
      <c r="A3230" s="2">
        <f>IFERROR(__xludf.DUMMYFUNCTION("""COMPUTED_VALUE"""),43854.66666666667)</f>
        <v>43854.66667</v>
      </c>
      <c r="B3230" s="1">
        <f>IFERROR(__xludf.DUMMYFUNCTION("""COMPUTED_VALUE"""),2.93)</f>
        <v>2.93</v>
      </c>
      <c r="C3230" s="1">
        <f>IFERROR(__xludf.DUMMYFUNCTION("""COMPUTED_VALUE"""),2.93)</f>
        <v>2.93</v>
      </c>
      <c r="D3230" s="1">
        <f>IFERROR(__xludf.DUMMYFUNCTION("""COMPUTED_VALUE"""),2.86)</f>
        <v>2.86</v>
      </c>
      <c r="E3230" s="1">
        <f>IFERROR(__xludf.DUMMYFUNCTION("""COMPUTED_VALUE"""),2.89)</f>
        <v>2.89</v>
      </c>
      <c r="F3230" s="1">
        <f>IFERROR(__xludf.DUMMYFUNCTION("""COMPUTED_VALUE"""),174696.0)</f>
        <v>174696</v>
      </c>
    </row>
    <row r="3231">
      <c r="A3231" s="2">
        <f>IFERROR(__xludf.DUMMYFUNCTION("""COMPUTED_VALUE"""),43857.66666666667)</f>
        <v>43857.66667</v>
      </c>
      <c r="B3231" s="1">
        <f>IFERROR(__xludf.DUMMYFUNCTION("""COMPUTED_VALUE"""),2.87)</f>
        <v>2.87</v>
      </c>
      <c r="C3231" s="1">
        <f>IFERROR(__xludf.DUMMYFUNCTION("""COMPUTED_VALUE"""),2.89)</f>
        <v>2.89</v>
      </c>
      <c r="D3231" s="1">
        <f>IFERROR(__xludf.DUMMYFUNCTION("""COMPUTED_VALUE"""),2.81)</f>
        <v>2.81</v>
      </c>
      <c r="E3231" s="1">
        <f>IFERROR(__xludf.DUMMYFUNCTION("""COMPUTED_VALUE"""),2.87)</f>
        <v>2.87</v>
      </c>
      <c r="F3231" s="1">
        <f>IFERROR(__xludf.DUMMYFUNCTION("""COMPUTED_VALUE"""),157170.0)</f>
        <v>157170</v>
      </c>
    </row>
    <row r="3232">
      <c r="A3232" s="2">
        <f>IFERROR(__xludf.DUMMYFUNCTION("""COMPUTED_VALUE"""),43858.66666666667)</f>
        <v>43858.66667</v>
      </c>
      <c r="B3232" s="1">
        <f>IFERROR(__xludf.DUMMYFUNCTION("""COMPUTED_VALUE"""),2.88)</f>
        <v>2.88</v>
      </c>
      <c r="C3232" s="1">
        <f>IFERROR(__xludf.DUMMYFUNCTION("""COMPUTED_VALUE"""),2.9)</f>
        <v>2.9</v>
      </c>
      <c r="D3232" s="1">
        <f>IFERROR(__xludf.DUMMYFUNCTION("""COMPUTED_VALUE"""),2.87)</f>
        <v>2.87</v>
      </c>
      <c r="E3232" s="1">
        <f>IFERROR(__xludf.DUMMYFUNCTION("""COMPUTED_VALUE"""),2.88)</f>
        <v>2.88</v>
      </c>
      <c r="F3232" s="1">
        <f>IFERROR(__xludf.DUMMYFUNCTION("""COMPUTED_VALUE"""),96356.0)</f>
        <v>96356</v>
      </c>
    </row>
    <row r="3233">
      <c r="A3233" s="2">
        <f>IFERROR(__xludf.DUMMYFUNCTION("""COMPUTED_VALUE"""),43859.66666666667)</f>
        <v>43859.66667</v>
      </c>
      <c r="B3233" s="1">
        <f>IFERROR(__xludf.DUMMYFUNCTION("""COMPUTED_VALUE"""),2.87)</f>
        <v>2.87</v>
      </c>
      <c r="C3233" s="1">
        <f>IFERROR(__xludf.DUMMYFUNCTION("""COMPUTED_VALUE"""),2.92)</f>
        <v>2.92</v>
      </c>
      <c r="D3233" s="1">
        <f>IFERROR(__xludf.DUMMYFUNCTION("""COMPUTED_VALUE"""),2.86)</f>
        <v>2.86</v>
      </c>
      <c r="E3233" s="1">
        <f>IFERROR(__xludf.DUMMYFUNCTION("""COMPUTED_VALUE"""),2.88)</f>
        <v>2.88</v>
      </c>
      <c r="F3233" s="1">
        <f>IFERROR(__xludf.DUMMYFUNCTION("""COMPUTED_VALUE"""),160236.0)</f>
        <v>160236</v>
      </c>
    </row>
    <row r="3234">
      <c r="A3234" s="2">
        <f>IFERROR(__xludf.DUMMYFUNCTION("""COMPUTED_VALUE"""),43860.66666666667)</f>
        <v>43860.66667</v>
      </c>
      <c r="B3234" s="1">
        <f>IFERROR(__xludf.DUMMYFUNCTION("""COMPUTED_VALUE"""),2.9)</f>
        <v>2.9</v>
      </c>
      <c r="C3234" s="1">
        <f>IFERROR(__xludf.DUMMYFUNCTION("""COMPUTED_VALUE"""),2.91)</f>
        <v>2.91</v>
      </c>
      <c r="D3234" s="1">
        <f>IFERROR(__xludf.DUMMYFUNCTION("""COMPUTED_VALUE"""),2.82)</f>
        <v>2.82</v>
      </c>
      <c r="E3234" s="1">
        <f>IFERROR(__xludf.DUMMYFUNCTION("""COMPUTED_VALUE"""),2.88)</f>
        <v>2.88</v>
      </c>
      <c r="F3234" s="1">
        <f>IFERROR(__xludf.DUMMYFUNCTION("""COMPUTED_VALUE"""),248262.0)</f>
        <v>248262</v>
      </c>
    </row>
    <row r="3235">
      <c r="A3235" s="2">
        <f>IFERROR(__xludf.DUMMYFUNCTION("""COMPUTED_VALUE"""),43861.66666666667)</f>
        <v>43861.66667</v>
      </c>
      <c r="B3235" s="1">
        <f>IFERROR(__xludf.DUMMYFUNCTION("""COMPUTED_VALUE"""),2.86)</f>
        <v>2.86</v>
      </c>
      <c r="C3235" s="1">
        <f>IFERROR(__xludf.DUMMYFUNCTION("""COMPUTED_VALUE"""),2.88)</f>
        <v>2.88</v>
      </c>
      <c r="D3235" s="1">
        <f>IFERROR(__xludf.DUMMYFUNCTION("""COMPUTED_VALUE"""),2.77)</f>
        <v>2.77</v>
      </c>
      <c r="E3235" s="1">
        <f>IFERROR(__xludf.DUMMYFUNCTION("""COMPUTED_VALUE"""),2.8)</f>
        <v>2.8</v>
      </c>
      <c r="F3235" s="1">
        <f>IFERROR(__xludf.DUMMYFUNCTION("""COMPUTED_VALUE"""),137461.0)</f>
        <v>137461</v>
      </c>
    </row>
    <row r="3236">
      <c r="A3236" s="2">
        <f>IFERROR(__xludf.DUMMYFUNCTION("""COMPUTED_VALUE"""),43864.66666666667)</f>
        <v>43864.66667</v>
      </c>
      <c r="B3236" s="1">
        <f>IFERROR(__xludf.DUMMYFUNCTION("""COMPUTED_VALUE"""),2.8)</f>
        <v>2.8</v>
      </c>
      <c r="C3236" s="1">
        <f>IFERROR(__xludf.DUMMYFUNCTION("""COMPUTED_VALUE"""),2.9)</f>
        <v>2.9</v>
      </c>
      <c r="D3236" s="1">
        <f>IFERROR(__xludf.DUMMYFUNCTION("""COMPUTED_VALUE"""),2.8)</f>
        <v>2.8</v>
      </c>
      <c r="E3236" s="1">
        <f>IFERROR(__xludf.DUMMYFUNCTION("""COMPUTED_VALUE"""),2.87)</f>
        <v>2.87</v>
      </c>
      <c r="F3236" s="1">
        <f>IFERROR(__xludf.DUMMYFUNCTION("""COMPUTED_VALUE"""),167952.0)</f>
        <v>167952</v>
      </c>
    </row>
    <row r="3237">
      <c r="A3237" s="2">
        <f>IFERROR(__xludf.DUMMYFUNCTION("""COMPUTED_VALUE"""),43865.66666666667)</f>
        <v>43865.66667</v>
      </c>
      <c r="B3237" s="1">
        <f>IFERROR(__xludf.DUMMYFUNCTION("""COMPUTED_VALUE"""),2.9)</f>
        <v>2.9</v>
      </c>
      <c r="C3237" s="1">
        <f>IFERROR(__xludf.DUMMYFUNCTION("""COMPUTED_VALUE"""),2.93)</f>
        <v>2.93</v>
      </c>
      <c r="D3237" s="1">
        <f>IFERROR(__xludf.DUMMYFUNCTION("""COMPUTED_VALUE"""),2.87)</f>
        <v>2.87</v>
      </c>
      <c r="E3237" s="1">
        <f>IFERROR(__xludf.DUMMYFUNCTION("""COMPUTED_VALUE"""),2.92)</f>
        <v>2.92</v>
      </c>
      <c r="F3237" s="1">
        <f>IFERROR(__xludf.DUMMYFUNCTION("""COMPUTED_VALUE"""),214075.0)</f>
        <v>214075</v>
      </c>
    </row>
    <row r="3238">
      <c r="A3238" s="2">
        <f>IFERROR(__xludf.DUMMYFUNCTION("""COMPUTED_VALUE"""),43866.66666666667)</f>
        <v>43866.66667</v>
      </c>
      <c r="B3238" s="1">
        <f>IFERROR(__xludf.DUMMYFUNCTION("""COMPUTED_VALUE"""),2.92)</f>
        <v>2.92</v>
      </c>
      <c r="C3238" s="1">
        <f>IFERROR(__xludf.DUMMYFUNCTION("""COMPUTED_VALUE"""),2.96)</f>
        <v>2.96</v>
      </c>
      <c r="D3238" s="1">
        <f>IFERROR(__xludf.DUMMYFUNCTION("""COMPUTED_VALUE"""),2.92)</f>
        <v>2.92</v>
      </c>
      <c r="E3238" s="1">
        <f>IFERROR(__xludf.DUMMYFUNCTION("""COMPUTED_VALUE"""),2.95)</f>
        <v>2.95</v>
      </c>
      <c r="F3238" s="1">
        <f>IFERROR(__xludf.DUMMYFUNCTION("""COMPUTED_VALUE"""),155249.0)</f>
        <v>155249</v>
      </c>
    </row>
    <row r="3239">
      <c r="A3239" s="2">
        <f>IFERROR(__xludf.DUMMYFUNCTION("""COMPUTED_VALUE"""),43867.66666666667)</f>
        <v>43867.66667</v>
      </c>
      <c r="B3239" s="1">
        <f>IFERROR(__xludf.DUMMYFUNCTION("""COMPUTED_VALUE"""),2.95)</f>
        <v>2.95</v>
      </c>
      <c r="C3239" s="1">
        <f>IFERROR(__xludf.DUMMYFUNCTION("""COMPUTED_VALUE"""),2.97)</f>
        <v>2.97</v>
      </c>
      <c r="D3239" s="1">
        <f>IFERROR(__xludf.DUMMYFUNCTION("""COMPUTED_VALUE"""),2.81)</f>
        <v>2.81</v>
      </c>
      <c r="E3239" s="1">
        <f>IFERROR(__xludf.DUMMYFUNCTION("""COMPUTED_VALUE"""),2.83)</f>
        <v>2.83</v>
      </c>
      <c r="F3239" s="1">
        <f>IFERROR(__xludf.DUMMYFUNCTION("""COMPUTED_VALUE"""),247502.0)</f>
        <v>247502</v>
      </c>
    </row>
    <row r="3240">
      <c r="A3240" s="2">
        <f>IFERROR(__xludf.DUMMYFUNCTION("""COMPUTED_VALUE"""),43868.66666666667)</f>
        <v>43868.66667</v>
      </c>
      <c r="B3240" s="1">
        <f>IFERROR(__xludf.DUMMYFUNCTION("""COMPUTED_VALUE"""),2.74)</f>
        <v>2.74</v>
      </c>
      <c r="C3240" s="1">
        <f>IFERROR(__xludf.DUMMYFUNCTION("""COMPUTED_VALUE"""),2.87)</f>
        <v>2.87</v>
      </c>
      <c r="D3240" s="1">
        <f>IFERROR(__xludf.DUMMYFUNCTION("""COMPUTED_VALUE"""),2.45)</f>
        <v>2.45</v>
      </c>
      <c r="E3240" s="1">
        <f>IFERROR(__xludf.DUMMYFUNCTION("""COMPUTED_VALUE"""),2.76)</f>
        <v>2.76</v>
      </c>
      <c r="F3240" s="1">
        <f>IFERROR(__xludf.DUMMYFUNCTION("""COMPUTED_VALUE"""),768022.0)</f>
        <v>768022</v>
      </c>
    </row>
    <row r="3241">
      <c r="A3241" s="2">
        <f>IFERROR(__xludf.DUMMYFUNCTION("""COMPUTED_VALUE"""),43871.66666666667)</f>
        <v>43871.66667</v>
      </c>
      <c r="B3241" s="1">
        <f>IFERROR(__xludf.DUMMYFUNCTION("""COMPUTED_VALUE"""),2.75)</f>
        <v>2.75</v>
      </c>
      <c r="C3241" s="1">
        <f>IFERROR(__xludf.DUMMYFUNCTION("""COMPUTED_VALUE"""),2.93)</f>
        <v>2.93</v>
      </c>
      <c r="D3241" s="1">
        <f>IFERROR(__xludf.DUMMYFUNCTION("""COMPUTED_VALUE"""),2.74)</f>
        <v>2.74</v>
      </c>
      <c r="E3241" s="1">
        <f>IFERROR(__xludf.DUMMYFUNCTION("""COMPUTED_VALUE"""),2.91)</f>
        <v>2.91</v>
      </c>
      <c r="F3241" s="1">
        <f>IFERROR(__xludf.DUMMYFUNCTION("""COMPUTED_VALUE"""),293594.0)</f>
        <v>293594</v>
      </c>
    </row>
    <row r="3242">
      <c r="A3242" s="2">
        <f>IFERROR(__xludf.DUMMYFUNCTION("""COMPUTED_VALUE"""),43872.66666666667)</f>
        <v>43872.66667</v>
      </c>
      <c r="B3242" s="1">
        <f>IFERROR(__xludf.DUMMYFUNCTION("""COMPUTED_VALUE"""),2.8)</f>
        <v>2.8</v>
      </c>
      <c r="C3242" s="1">
        <f>IFERROR(__xludf.DUMMYFUNCTION("""COMPUTED_VALUE"""),2.91)</f>
        <v>2.91</v>
      </c>
      <c r="D3242" s="1">
        <f>IFERROR(__xludf.DUMMYFUNCTION("""COMPUTED_VALUE"""),2.78)</f>
        <v>2.78</v>
      </c>
      <c r="E3242" s="1">
        <f>IFERROR(__xludf.DUMMYFUNCTION("""COMPUTED_VALUE"""),2.9)</f>
        <v>2.9</v>
      </c>
      <c r="F3242" s="1">
        <f>IFERROR(__xludf.DUMMYFUNCTION("""COMPUTED_VALUE"""),475347.0)</f>
        <v>475347</v>
      </c>
    </row>
    <row r="3243">
      <c r="A3243" s="2">
        <f>IFERROR(__xludf.DUMMYFUNCTION("""COMPUTED_VALUE"""),43873.66666666667)</f>
        <v>43873.66667</v>
      </c>
      <c r="B3243" s="1">
        <f>IFERROR(__xludf.DUMMYFUNCTION("""COMPUTED_VALUE"""),2.87)</f>
        <v>2.87</v>
      </c>
      <c r="C3243" s="1">
        <f>IFERROR(__xludf.DUMMYFUNCTION("""COMPUTED_VALUE"""),2.92)</f>
        <v>2.92</v>
      </c>
      <c r="D3243" s="1">
        <f>IFERROR(__xludf.DUMMYFUNCTION("""COMPUTED_VALUE"""),2.84)</f>
        <v>2.84</v>
      </c>
      <c r="E3243" s="1">
        <f>IFERROR(__xludf.DUMMYFUNCTION("""COMPUTED_VALUE"""),2.9)</f>
        <v>2.9</v>
      </c>
      <c r="F3243" s="1">
        <f>IFERROR(__xludf.DUMMYFUNCTION("""COMPUTED_VALUE"""),411351.0)</f>
        <v>411351</v>
      </c>
    </row>
    <row r="3244">
      <c r="A3244" s="2">
        <f>IFERROR(__xludf.DUMMYFUNCTION("""COMPUTED_VALUE"""),43874.66666666667)</f>
        <v>43874.66667</v>
      </c>
      <c r="B3244" s="1">
        <f>IFERROR(__xludf.DUMMYFUNCTION("""COMPUTED_VALUE"""),2.86)</f>
        <v>2.86</v>
      </c>
      <c r="C3244" s="1">
        <f>IFERROR(__xludf.DUMMYFUNCTION("""COMPUTED_VALUE"""),2.91)</f>
        <v>2.91</v>
      </c>
      <c r="D3244" s="1">
        <f>IFERROR(__xludf.DUMMYFUNCTION("""COMPUTED_VALUE"""),2.82)</f>
        <v>2.82</v>
      </c>
      <c r="E3244" s="1">
        <f>IFERROR(__xludf.DUMMYFUNCTION("""COMPUTED_VALUE"""),2.87)</f>
        <v>2.87</v>
      </c>
      <c r="F3244" s="1">
        <f>IFERROR(__xludf.DUMMYFUNCTION("""COMPUTED_VALUE"""),296814.0)</f>
        <v>296814</v>
      </c>
    </row>
    <row r="3245">
      <c r="A3245" s="2">
        <f>IFERROR(__xludf.DUMMYFUNCTION("""COMPUTED_VALUE"""),43875.66666666667)</f>
        <v>43875.66667</v>
      </c>
      <c r="B3245" s="1">
        <f>IFERROR(__xludf.DUMMYFUNCTION("""COMPUTED_VALUE"""),2.87)</f>
        <v>2.87</v>
      </c>
      <c r="C3245" s="1">
        <f>IFERROR(__xludf.DUMMYFUNCTION("""COMPUTED_VALUE"""),2.87)</f>
        <v>2.87</v>
      </c>
      <c r="D3245" s="1">
        <f>IFERROR(__xludf.DUMMYFUNCTION("""COMPUTED_VALUE"""),2.78)</f>
        <v>2.78</v>
      </c>
      <c r="E3245" s="1">
        <f>IFERROR(__xludf.DUMMYFUNCTION("""COMPUTED_VALUE"""),2.8)</f>
        <v>2.8</v>
      </c>
      <c r="F3245" s="1">
        <f>IFERROR(__xludf.DUMMYFUNCTION("""COMPUTED_VALUE"""),363431.0)</f>
        <v>363431</v>
      </c>
    </row>
    <row r="3246">
      <c r="A3246" s="2">
        <f>IFERROR(__xludf.DUMMYFUNCTION("""COMPUTED_VALUE"""),43879.66666666667)</f>
        <v>43879.66667</v>
      </c>
      <c r="B3246" s="1">
        <f>IFERROR(__xludf.DUMMYFUNCTION("""COMPUTED_VALUE"""),2.76)</f>
        <v>2.76</v>
      </c>
      <c r="C3246" s="1">
        <f>IFERROR(__xludf.DUMMYFUNCTION("""COMPUTED_VALUE"""),2.82)</f>
        <v>2.82</v>
      </c>
      <c r="D3246" s="1">
        <f>IFERROR(__xludf.DUMMYFUNCTION("""COMPUTED_VALUE"""),2.7)</f>
        <v>2.7</v>
      </c>
      <c r="E3246" s="1">
        <f>IFERROR(__xludf.DUMMYFUNCTION("""COMPUTED_VALUE"""),2.75)</f>
        <v>2.75</v>
      </c>
      <c r="F3246" s="1">
        <f>IFERROR(__xludf.DUMMYFUNCTION("""COMPUTED_VALUE"""),275779.0)</f>
        <v>275779</v>
      </c>
    </row>
    <row r="3247">
      <c r="A3247" s="2">
        <f>IFERROR(__xludf.DUMMYFUNCTION("""COMPUTED_VALUE"""),43880.66666666667)</f>
        <v>43880.66667</v>
      </c>
      <c r="B3247" s="1">
        <f>IFERROR(__xludf.DUMMYFUNCTION("""COMPUTED_VALUE"""),2.77)</f>
        <v>2.77</v>
      </c>
      <c r="C3247" s="1">
        <f>IFERROR(__xludf.DUMMYFUNCTION("""COMPUTED_VALUE"""),2.77)</f>
        <v>2.77</v>
      </c>
      <c r="D3247" s="1">
        <f>IFERROR(__xludf.DUMMYFUNCTION("""COMPUTED_VALUE"""),2.71)</f>
        <v>2.71</v>
      </c>
      <c r="E3247" s="1">
        <f>IFERROR(__xludf.DUMMYFUNCTION("""COMPUTED_VALUE"""),2.76)</f>
        <v>2.76</v>
      </c>
      <c r="F3247" s="1">
        <f>IFERROR(__xludf.DUMMYFUNCTION("""COMPUTED_VALUE"""),235659.0)</f>
        <v>235659</v>
      </c>
    </row>
    <row r="3248">
      <c r="A3248" s="2">
        <f>IFERROR(__xludf.DUMMYFUNCTION("""COMPUTED_VALUE"""),43881.66666666667)</f>
        <v>43881.66667</v>
      </c>
      <c r="B3248" s="1">
        <f>IFERROR(__xludf.DUMMYFUNCTION("""COMPUTED_VALUE"""),2.76)</f>
        <v>2.76</v>
      </c>
      <c r="C3248" s="1">
        <f>IFERROR(__xludf.DUMMYFUNCTION("""COMPUTED_VALUE"""),2.8)</f>
        <v>2.8</v>
      </c>
      <c r="D3248" s="1">
        <f>IFERROR(__xludf.DUMMYFUNCTION("""COMPUTED_VALUE"""),2.72)</f>
        <v>2.72</v>
      </c>
      <c r="E3248" s="1">
        <f>IFERROR(__xludf.DUMMYFUNCTION("""COMPUTED_VALUE"""),2.79)</f>
        <v>2.79</v>
      </c>
      <c r="F3248" s="1">
        <f>IFERROR(__xludf.DUMMYFUNCTION("""COMPUTED_VALUE"""),324649.0)</f>
        <v>324649</v>
      </c>
    </row>
    <row r="3249">
      <c r="A3249" s="2">
        <f>IFERROR(__xludf.DUMMYFUNCTION("""COMPUTED_VALUE"""),43882.66666666667)</f>
        <v>43882.66667</v>
      </c>
      <c r="B3249" s="1">
        <f>IFERROR(__xludf.DUMMYFUNCTION("""COMPUTED_VALUE"""),2.75)</f>
        <v>2.75</v>
      </c>
      <c r="C3249" s="1">
        <f>IFERROR(__xludf.DUMMYFUNCTION("""COMPUTED_VALUE"""),2.81)</f>
        <v>2.81</v>
      </c>
      <c r="D3249" s="1">
        <f>IFERROR(__xludf.DUMMYFUNCTION("""COMPUTED_VALUE"""),2.73)</f>
        <v>2.73</v>
      </c>
      <c r="E3249" s="1">
        <f>IFERROR(__xludf.DUMMYFUNCTION("""COMPUTED_VALUE"""),2.77)</f>
        <v>2.77</v>
      </c>
      <c r="F3249" s="1">
        <f>IFERROR(__xludf.DUMMYFUNCTION("""COMPUTED_VALUE"""),341919.0)</f>
        <v>341919</v>
      </c>
    </row>
    <row r="3250">
      <c r="A3250" s="2">
        <f>IFERROR(__xludf.DUMMYFUNCTION("""COMPUTED_VALUE"""),43885.66666666667)</f>
        <v>43885.66667</v>
      </c>
      <c r="B3250" s="1">
        <f>IFERROR(__xludf.DUMMYFUNCTION("""COMPUTED_VALUE"""),2.65)</f>
        <v>2.65</v>
      </c>
      <c r="C3250" s="1">
        <f>IFERROR(__xludf.DUMMYFUNCTION("""COMPUTED_VALUE"""),2.75)</f>
        <v>2.75</v>
      </c>
      <c r="D3250" s="1">
        <f>IFERROR(__xludf.DUMMYFUNCTION("""COMPUTED_VALUE"""),2.63)</f>
        <v>2.63</v>
      </c>
      <c r="E3250" s="1">
        <f>IFERROR(__xludf.DUMMYFUNCTION("""COMPUTED_VALUE"""),2.7)</f>
        <v>2.7</v>
      </c>
      <c r="F3250" s="1">
        <f>IFERROR(__xludf.DUMMYFUNCTION("""COMPUTED_VALUE"""),280367.0)</f>
        <v>280367</v>
      </c>
    </row>
    <row r="3251">
      <c r="A3251" s="2">
        <f>IFERROR(__xludf.DUMMYFUNCTION("""COMPUTED_VALUE"""),43886.66666666667)</f>
        <v>43886.66667</v>
      </c>
      <c r="B3251" s="1">
        <f>IFERROR(__xludf.DUMMYFUNCTION("""COMPUTED_VALUE"""),2.69)</f>
        <v>2.69</v>
      </c>
      <c r="C3251" s="1">
        <f>IFERROR(__xludf.DUMMYFUNCTION("""COMPUTED_VALUE"""),2.7)</f>
        <v>2.7</v>
      </c>
      <c r="D3251" s="1">
        <f>IFERROR(__xludf.DUMMYFUNCTION("""COMPUTED_VALUE"""),2.62)</f>
        <v>2.62</v>
      </c>
      <c r="E3251" s="1">
        <f>IFERROR(__xludf.DUMMYFUNCTION("""COMPUTED_VALUE"""),2.64)</f>
        <v>2.64</v>
      </c>
      <c r="F3251" s="1">
        <f>IFERROR(__xludf.DUMMYFUNCTION("""COMPUTED_VALUE"""),287639.0)</f>
        <v>287639</v>
      </c>
    </row>
    <row r="3252">
      <c r="A3252" s="2">
        <f>IFERROR(__xludf.DUMMYFUNCTION("""COMPUTED_VALUE"""),43887.66666666667)</f>
        <v>43887.66667</v>
      </c>
      <c r="B3252" s="1">
        <f>IFERROR(__xludf.DUMMYFUNCTION("""COMPUTED_VALUE"""),2.63)</f>
        <v>2.63</v>
      </c>
      <c r="C3252" s="1">
        <f>IFERROR(__xludf.DUMMYFUNCTION("""COMPUTED_VALUE"""),2.72)</f>
        <v>2.72</v>
      </c>
      <c r="D3252" s="1">
        <f>IFERROR(__xludf.DUMMYFUNCTION("""COMPUTED_VALUE"""),2.62)</f>
        <v>2.62</v>
      </c>
      <c r="E3252" s="1">
        <f>IFERROR(__xludf.DUMMYFUNCTION("""COMPUTED_VALUE"""),2.65)</f>
        <v>2.65</v>
      </c>
      <c r="F3252" s="1">
        <f>IFERROR(__xludf.DUMMYFUNCTION("""COMPUTED_VALUE"""),257267.0)</f>
        <v>257267</v>
      </c>
    </row>
    <row r="3253">
      <c r="A3253" s="2">
        <f>IFERROR(__xludf.DUMMYFUNCTION("""COMPUTED_VALUE"""),43888.66666666667)</f>
        <v>43888.66667</v>
      </c>
      <c r="B3253" s="1">
        <f>IFERROR(__xludf.DUMMYFUNCTION("""COMPUTED_VALUE"""),2.6)</f>
        <v>2.6</v>
      </c>
      <c r="C3253" s="1">
        <f>IFERROR(__xludf.DUMMYFUNCTION("""COMPUTED_VALUE"""),2.64)</f>
        <v>2.64</v>
      </c>
      <c r="D3253" s="1">
        <f>IFERROR(__xludf.DUMMYFUNCTION("""COMPUTED_VALUE"""),2.51)</f>
        <v>2.51</v>
      </c>
      <c r="E3253" s="1">
        <f>IFERROR(__xludf.DUMMYFUNCTION("""COMPUTED_VALUE"""),2.58)</f>
        <v>2.58</v>
      </c>
      <c r="F3253" s="1">
        <f>IFERROR(__xludf.DUMMYFUNCTION("""COMPUTED_VALUE"""),524530.0)</f>
        <v>524530</v>
      </c>
    </row>
    <row r="3254">
      <c r="A3254" s="2">
        <f>IFERROR(__xludf.DUMMYFUNCTION("""COMPUTED_VALUE"""),43889.66666666667)</f>
        <v>43889.66667</v>
      </c>
      <c r="B3254" s="1">
        <f>IFERROR(__xludf.DUMMYFUNCTION("""COMPUTED_VALUE"""),2.5)</f>
        <v>2.5</v>
      </c>
      <c r="C3254" s="1">
        <f>IFERROR(__xludf.DUMMYFUNCTION("""COMPUTED_VALUE"""),2.54)</f>
        <v>2.54</v>
      </c>
      <c r="D3254" s="1">
        <f>IFERROR(__xludf.DUMMYFUNCTION("""COMPUTED_VALUE"""),2.46)</f>
        <v>2.46</v>
      </c>
      <c r="E3254" s="1">
        <f>IFERROR(__xludf.DUMMYFUNCTION("""COMPUTED_VALUE"""),2.54)</f>
        <v>2.54</v>
      </c>
      <c r="F3254" s="1">
        <f>IFERROR(__xludf.DUMMYFUNCTION("""COMPUTED_VALUE"""),396055.0)</f>
        <v>396055</v>
      </c>
    </row>
    <row r="3255">
      <c r="A3255" s="2">
        <f>IFERROR(__xludf.DUMMYFUNCTION("""COMPUTED_VALUE"""),43892.66666666667)</f>
        <v>43892.66667</v>
      </c>
      <c r="B3255" s="1">
        <f>IFERROR(__xludf.DUMMYFUNCTION("""COMPUTED_VALUE"""),2.56)</f>
        <v>2.56</v>
      </c>
      <c r="C3255" s="1">
        <f>IFERROR(__xludf.DUMMYFUNCTION("""COMPUTED_VALUE"""),2.62)</f>
        <v>2.62</v>
      </c>
      <c r="D3255" s="1">
        <f>IFERROR(__xludf.DUMMYFUNCTION("""COMPUTED_VALUE"""),2.54)</f>
        <v>2.54</v>
      </c>
      <c r="E3255" s="1">
        <f>IFERROR(__xludf.DUMMYFUNCTION("""COMPUTED_VALUE"""),2.62)</f>
        <v>2.62</v>
      </c>
      <c r="F3255" s="1">
        <f>IFERROR(__xludf.DUMMYFUNCTION("""COMPUTED_VALUE"""),295357.0)</f>
        <v>295357</v>
      </c>
    </row>
    <row r="3256">
      <c r="A3256" s="2">
        <f>IFERROR(__xludf.DUMMYFUNCTION("""COMPUTED_VALUE"""),43893.66666666667)</f>
        <v>43893.66667</v>
      </c>
      <c r="B3256" s="1">
        <f>IFERROR(__xludf.DUMMYFUNCTION("""COMPUTED_VALUE"""),2.61)</f>
        <v>2.61</v>
      </c>
      <c r="C3256" s="1">
        <f>IFERROR(__xludf.DUMMYFUNCTION("""COMPUTED_VALUE"""),2.69)</f>
        <v>2.69</v>
      </c>
      <c r="D3256" s="1">
        <f>IFERROR(__xludf.DUMMYFUNCTION("""COMPUTED_VALUE"""),2.55)</f>
        <v>2.55</v>
      </c>
      <c r="E3256" s="1">
        <f>IFERROR(__xludf.DUMMYFUNCTION("""COMPUTED_VALUE"""),2.61)</f>
        <v>2.61</v>
      </c>
      <c r="F3256" s="1">
        <f>IFERROR(__xludf.DUMMYFUNCTION("""COMPUTED_VALUE"""),308072.0)</f>
        <v>308072</v>
      </c>
    </row>
    <row r="3257">
      <c r="A3257" s="2">
        <f>IFERROR(__xludf.DUMMYFUNCTION("""COMPUTED_VALUE"""),43894.66666666667)</f>
        <v>43894.66667</v>
      </c>
      <c r="B3257" s="1">
        <f>IFERROR(__xludf.DUMMYFUNCTION("""COMPUTED_VALUE"""),2.65)</f>
        <v>2.65</v>
      </c>
      <c r="C3257" s="1">
        <f>IFERROR(__xludf.DUMMYFUNCTION("""COMPUTED_VALUE"""),2.72)</f>
        <v>2.72</v>
      </c>
      <c r="D3257" s="1">
        <f>IFERROR(__xludf.DUMMYFUNCTION("""COMPUTED_VALUE"""),2.63)</f>
        <v>2.63</v>
      </c>
      <c r="E3257" s="1">
        <f>IFERROR(__xludf.DUMMYFUNCTION("""COMPUTED_VALUE"""),2.67)</f>
        <v>2.67</v>
      </c>
      <c r="F3257" s="1">
        <f>IFERROR(__xludf.DUMMYFUNCTION("""COMPUTED_VALUE"""),393242.0)</f>
        <v>393242</v>
      </c>
    </row>
    <row r="3258">
      <c r="A3258" s="2">
        <f>IFERROR(__xludf.DUMMYFUNCTION("""COMPUTED_VALUE"""),43895.66666666667)</f>
        <v>43895.66667</v>
      </c>
      <c r="B3258" s="1">
        <f>IFERROR(__xludf.DUMMYFUNCTION("""COMPUTED_VALUE"""),2.62)</f>
        <v>2.62</v>
      </c>
      <c r="C3258" s="1">
        <f>IFERROR(__xludf.DUMMYFUNCTION("""COMPUTED_VALUE"""),2.7)</f>
        <v>2.7</v>
      </c>
      <c r="D3258" s="1">
        <f>IFERROR(__xludf.DUMMYFUNCTION("""COMPUTED_VALUE"""),2.57)</f>
        <v>2.57</v>
      </c>
      <c r="E3258" s="1">
        <f>IFERROR(__xludf.DUMMYFUNCTION("""COMPUTED_VALUE"""),2.59)</f>
        <v>2.59</v>
      </c>
      <c r="F3258" s="1">
        <f>IFERROR(__xludf.DUMMYFUNCTION("""COMPUTED_VALUE"""),534013.0)</f>
        <v>534013</v>
      </c>
    </row>
    <row r="3259">
      <c r="A3259" s="2">
        <f>IFERROR(__xludf.DUMMYFUNCTION("""COMPUTED_VALUE"""),43896.66666666667)</f>
        <v>43896.66667</v>
      </c>
      <c r="B3259" s="1">
        <f>IFERROR(__xludf.DUMMYFUNCTION("""COMPUTED_VALUE"""),2.53)</f>
        <v>2.53</v>
      </c>
      <c r="C3259" s="1">
        <f>IFERROR(__xludf.DUMMYFUNCTION("""COMPUTED_VALUE"""),2.61)</f>
        <v>2.61</v>
      </c>
      <c r="D3259" s="1">
        <f>IFERROR(__xludf.DUMMYFUNCTION("""COMPUTED_VALUE"""),2.46)</f>
        <v>2.46</v>
      </c>
      <c r="E3259" s="1">
        <f>IFERROR(__xludf.DUMMYFUNCTION("""COMPUTED_VALUE"""),2.53)</f>
        <v>2.53</v>
      </c>
      <c r="F3259" s="1">
        <f>IFERROR(__xludf.DUMMYFUNCTION("""COMPUTED_VALUE"""),397346.0)</f>
        <v>397346</v>
      </c>
    </row>
    <row r="3260">
      <c r="A3260" s="2">
        <f>IFERROR(__xludf.DUMMYFUNCTION("""COMPUTED_VALUE"""),43899.66666666667)</f>
        <v>43899.66667</v>
      </c>
      <c r="B3260" s="1">
        <f>IFERROR(__xludf.DUMMYFUNCTION("""COMPUTED_VALUE"""),2.36)</f>
        <v>2.36</v>
      </c>
      <c r="C3260" s="1">
        <f>IFERROR(__xludf.DUMMYFUNCTION("""COMPUTED_VALUE"""),2.47)</f>
        <v>2.47</v>
      </c>
      <c r="D3260" s="1">
        <f>IFERROR(__xludf.DUMMYFUNCTION("""COMPUTED_VALUE"""),2.27)</f>
        <v>2.27</v>
      </c>
      <c r="E3260" s="1">
        <f>IFERROR(__xludf.DUMMYFUNCTION("""COMPUTED_VALUE"""),2.3)</f>
        <v>2.3</v>
      </c>
      <c r="F3260" s="1">
        <f>IFERROR(__xludf.DUMMYFUNCTION("""COMPUTED_VALUE"""),557248.0)</f>
        <v>557248</v>
      </c>
    </row>
    <row r="3261">
      <c r="A3261" s="2">
        <f>IFERROR(__xludf.DUMMYFUNCTION("""COMPUTED_VALUE"""),43900.66666666667)</f>
        <v>43900.66667</v>
      </c>
      <c r="B3261" s="1">
        <f>IFERROR(__xludf.DUMMYFUNCTION("""COMPUTED_VALUE"""),2.35)</f>
        <v>2.35</v>
      </c>
      <c r="C3261" s="1">
        <f>IFERROR(__xludf.DUMMYFUNCTION("""COMPUTED_VALUE"""),2.47)</f>
        <v>2.47</v>
      </c>
      <c r="D3261" s="1">
        <f>IFERROR(__xludf.DUMMYFUNCTION("""COMPUTED_VALUE"""),2.34)</f>
        <v>2.34</v>
      </c>
      <c r="E3261" s="1">
        <f>IFERROR(__xludf.DUMMYFUNCTION("""COMPUTED_VALUE"""),2.44)</f>
        <v>2.44</v>
      </c>
      <c r="F3261" s="1">
        <f>IFERROR(__xludf.DUMMYFUNCTION("""COMPUTED_VALUE"""),385234.0)</f>
        <v>385234</v>
      </c>
    </row>
    <row r="3262">
      <c r="A3262" s="2">
        <f>IFERROR(__xludf.DUMMYFUNCTION("""COMPUTED_VALUE"""),43901.66666666667)</f>
        <v>43901.66667</v>
      </c>
      <c r="B3262" s="1">
        <f>IFERROR(__xludf.DUMMYFUNCTION("""COMPUTED_VALUE"""),2.38)</f>
        <v>2.38</v>
      </c>
      <c r="C3262" s="1">
        <f>IFERROR(__xludf.DUMMYFUNCTION("""COMPUTED_VALUE"""),2.48)</f>
        <v>2.48</v>
      </c>
      <c r="D3262" s="1">
        <f>IFERROR(__xludf.DUMMYFUNCTION("""COMPUTED_VALUE"""),2.35)</f>
        <v>2.35</v>
      </c>
      <c r="E3262" s="1">
        <f>IFERROR(__xludf.DUMMYFUNCTION("""COMPUTED_VALUE"""),2.42)</f>
        <v>2.42</v>
      </c>
      <c r="F3262" s="1">
        <f>IFERROR(__xludf.DUMMYFUNCTION("""COMPUTED_VALUE"""),521198.0)</f>
        <v>521198</v>
      </c>
    </row>
    <row r="3263">
      <c r="A3263" s="2">
        <f>IFERROR(__xludf.DUMMYFUNCTION("""COMPUTED_VALUE"""),43902.66666666667)</f>
        <v>43902.66667</v>
      </c>
      <c r="B3263" s="1">
        <f>IFERROR(__xludf.DUMMYFUNCTION("""COMPUTED_VALUE"""),2.3)</f>
        <v>2.3</v>
      </c>
      <c r="C3263" s="1">
        <f>IFERROR(__xludf.DUMMYFUNCTION("""COMPUTED_VALUE"""),2.34)</f>
        <v>2.34</v>
      </c>
      <c r="D3263" s="1">
        <f>IFERROR(__xludf.DUMMYFUNCTION("""COMPUTED_VALUE"""),2.15)</f>
        <v>2.15</v>
      </c>
      <c r="E3263" s="1">
        <f>IFERROR(__xludf.DUMMYFUNCTION("""COMPUTED_VALUE"""),2.22)</f>
        <v>2.22</v>
      </c>
      <c r="F3263" s="1">
        <f>IFERROR(__xludf.DUMMYFUNCTION("""COMPUTED_VALUE"""),692393.0)</f>
        <v>692393</v>
      </c>
    </row>
    <row r="3264">
      <c r="A3264" s="2">
        <f>IFERROR(__xludf.DUMMYFUNCTION("""COMPUTED_VALUE"""),43903.66666666667)</f>
        <v>43903.66667</v>
      </c>
      <c r="B3264" s="1">
        <f>IFERROR(__xludf.DUMMYFUNCTION("""COMPUTED_VALUE"""),2.28)</f>
        <v>2.28</v>
      </c>
      <c r="C3264" s="1">
        <f>IFERROR(__xludf.DUMMYFUNCTION("""COMPUTED_VALUE"""),2.3)</f>
        <v>2.3</v>
      </c>
      <c r="D3264" s="1">
        <f>IFERROR(__xludf.DUMMYFUNCTION("""COMPUTED_VALUE"""),2.12)</f>
        <v>2.12</v>
      </c>
      <c r="E3264" s="1">
        <f>IFERROR(__xludf.DUMMYFUNCTION("""COMPUTED_VALUE"""),2.29)</f>
        <v>2.29</v>
      </c>
      <c r="F3264" s="1">
        <f>IFERROR(__xludf.DUMMYFUNCTION("""COMPUTED_VALUE"""),495587.0)</f>
        <v>495587</v>
      </c>
    </row>
    <row r="3265">
      <c r="A3265" s="2">
        <f>IFERROR(__xludf.DUMMYFUNCTION("""COMPUTED_VALUE"""),43906.66666666667)</f>
        <v>43906.66667</v>
      </c>
      <c r="B3265" s="1">
        <f>IFERROR(__xludf.DUMMYFUNCTION("""COMPUTED_VALUE"""),2.0)</f>
        <v>2</v>
      </c>
      <c r="C3265" s="1">
        <f>IFERROR(__xludf.DUMMYFUNCTION("""COMPUTED_VALUE"""),2.04)</f>
        <v>2.04</v>
      </c>
      <c r="D3265" s="1">
        <f>IFERROR(__xludf.DUMMYFUNCTION("""COMPUTED_VALUE"""),1.7)</f>
        <v>1.7</v>
      </c>
      <c r="E3265" s="1">
        <f>IFERROR(__xludf.DUMMYFUNCTION("""COMPUTED_VALUE"""),1.74)</f>
        <v>1.74</v>
      </c>
      <c r="F3265" s="1">
        <f>IFERROR(__xludf.DUMMYFUNCTION("""COMPUTED_VALUE"""),1183387.0)</f>
        <v>1183387</v>
      </c>
    </row>
    <row r="3266">
      <c r="A3266" s="2">
        <f>IFERROR(__xludf.DUMMYFUNCTION("""COMPUTED_VALUE"""),43907.66666666667)</f>
        <v>43907.66667</v>
      </c>
      <c r="B3266" s="1">
        <f>IFERROR(__xludf.DUMMYFUNCTION("""COMPUTED_VALUE"""),1.76)</f>
        <v>1.76</v>
      </c>
      <c r="C3266" s="1">
        <f>IFERROR(__xludf.DUMMYFUNCTION("""COMPUTED_VALUE"""),1.94)</f>
        <v>1.94</v>
      </c>
      <c r="D3266" s="1">
        <f>IFERROR(__xludf.DUMMYFUNCTION("""COMPUTED_VALUE"""),1.7)</f>
        <v>1.7</v>
      </c>
      <c r="E3266" s="1">
        <f>IFERROR(__xludf.DUMMYFUNCTION("""COMPUTED_VALUE"""),1.91)</f>
        <v>1.91</v>
      </c>
      <c r="F3266" s="1">
        <f>IFERROR(__xludf.DUMMYFUNCTION("""COMPUTED_VALUE"""),525638.0)</f>
        <v>525638</v>
      </c>
    </row>
    <row r="3267">
      <c r="A3267" s="2">
        <f>IFERROR(__xludf.DUMMYFUNCTION("""COMPUTED_VALUE"""),43908.66666666667)</f>
        <v>43908.66667</v>
      </c>
      <c r="B3267" s="1">
        <f>IFERROR(__xludf.DUMMYFUNCTION("""COMPUTED_VALUE"""),1.79)</f>
        <v>1.79</v>
      </c>
      <c r="C3267" s="1">
        <f>IFERROR(__xludf.DUMMYFUNCTION("""COMPUTED_VALUE"""),1.84)</f>
        <v>1.84</v>
      </c>
      <c r="D3267" s="1">
        <f>IFERROR(__xludf.DUMMYFUNCTION("""COMPUTED_VALUE"""),1.58)</f>
        <v>1.58</v>
      </c>
      <c r="E3267" s="1">
        <f>IFERROR(__xludf.DUMMYFUNCTION("""COMPUTED_VALUE"""),1.6)</f>
        <v>1.6</v>
      </c>
      <c r="F3267" s="1">
        <f>IFERROR(__xludf.DUMMYFUNCTION("""COMPUTED_VALUE"""),363976.0)</f>
        <v>363976</v>
      </c>
    </row>
    <row r="3268">
      <c r="A3268" s="2">
        <f>IFERROR(__xludf.DUMMYFUNCTION("""COMPUTED_VALUE"""),43909.66666666667)</f>
        <v>43909.66667</v>
      </c>
      <c r="B3268" s="1">
        <f>IFERROR(__xludf.DUMMYFUNCTION("""COMPUTED_VALUE"""),1.58)</f>
        <v>1.58</v>
      </c>
      <c r="C3268" s="1">
        <f>IFERROR(__xludf.DUMMYFUNCTION("""COMPUTED_VALUE"""),1.7)</f>
        <v>1.7</v>
      </c>
      <c r="D3268" s="1">
        <f>IFERROR(__xludf.DUMMYFUNCTION("""COMPUTED_VALUE"""),1.58)</f>
        <v>1.58</v>
      </c>
      <c r="E3268" s="1">
        <f>IFERROR(__xludf.DUMMYFUNCTION("""COMPUTED_VALUE"""),1.61)</f>
        <v>1.61</v>
      </c>
      <c r="F3268" s="1">
        <f>IFERROR(__xludf.DUMMYFUNCTION("""COMPUTED_VALUE"""),837259.0)</f>
        <v>837259</v>
      </c>
    </row>
    <row r="3269">
      <c r="A3269" s="2">
        <f>IFERROR(__xludf.DUMMYFUNCTION("""COMPUTED_VALUE"""),43910.66666666667)</f>
        <v>43910.66667</v>
      </c>
      <c r="B3269" s="1">
        <f>IFERROR(__xludf.DUMMYFUNCTION("""COMPUTED_VALUE"""),1.64)</f>
        <v>1.64</v>
      </c>
      <c r="C3269" s="1">
        <f>IFERROR(__xludf.DUMMYFUNCTION("""COMPUTED_VALUE"""),1.83)</f>
        <v>1.83</v>
      </c>
      <c r="D3269" s="1">
        <f>IFERROR(__xludf.DUMMYFUNCTION("""COMPUTED_VALUE"""),1.64)</f>
        <v>1.64</v>
      </c>
      <c r="E3269" s="1">
        <f>IFERROR(__xludf.DUMMYFUNCTION("""COMPUTED_VALUE"""),1.69)</f>
        <v>1.69</v>
      </c>
      <c r="F3269" s="1">
        <f>IFERROR(__xludf.DUMMYFUNCTION("""COMPUTED_VALUE"""),465396.0)</f>
        <v>465396</v>
      </c>
    </row>
    <row r="3270">
      <c r="A3270" s="2">
        <f>IFERROR(__xludf.DUMMYFUNCTION("""COMPUTED_VALUE"""),43913.66666666667)</f>
        <v>43913.66667</v>
      </c>
      <c r="B3270" s="1">
        <f>IFERROR(__xludf.DUMMYFUNCTION("""COMPUTED_VALUE"""),1.7)</f>
        <v>1.7</v>
      </c>
      <c r="C3270" s="1">
        <f>IFERROR(__xludf.DUMMYFUNCTION("""COMPUTED_VALUE"""),1.74)</f>
        <v>1.74</v>
      </c>
      <c r="D3270" s="1">
        <f>IFERROR(__xludf.DUMMYFUNCTION("""COMPUTED_VALUE"""),1.63)</f>
        <v>1.63</v>
      </c>
      <c r="E3270" s="1">
        <f>IFERROR(__xludf.DUMMYFUNCTION("""COMPUTED_VALUE"""),1.68)</f>
        <v>1.68</v>
      </c>
      <c r="F3270" s="1">
        <f>IFERROR(__xludf.DUMMYFUNCTION("""COMPUTED_VALUE"""),646808.0)</f>
        <v>646808</v>
      </c>
    </row>
    <row r="3271">
      <c r="A3271" s="2">
        <f>IFERROR(__xludf.DUMMYFUNCTION("""COMPUTED_VALUE"""),43914.66666666667)</f>
        <v>43914.66667</v>
      </c>
      <c r="B3271" s="1">
        <f>IFERROR(__xludf.DUMMYFUNCTION("""COMPUTED_VALUE"""),1.78)</f>
        <v>1.78</v>
      </c>
      <c r="C3271" s="1">
        <f>IFERROR(__xludf.DUMMYFUNCTION("""COMPUTED_VALUE"""),1.88)</f>
        <v>1.88</v>
      </c>
      <c r="D3271" s="1">
        <f>IFERROR(__xludf.DUMMYFUNCTION("""COMPUTED_VALUE"""),1.73)</f>
        <v>1.73</v>
      </c>
      <c r="E3271" s="1">
        <f>IFERROR(__xludf.DUMMYFUNCTION("""COMPUTED_VALUE"""),1.88)</f>
        <v>1.88</v>
      </c>
      <c r="F3271" s="1">
        <f>IFERROR(__xludf.DUMMYFUNCTION("""COMPUTED_VALUE"""),246399.0)</f>
        <v>246399</v>
      </c>
    </row>
    <row r="3272">
      <c r="A3272" s="2">
        <f>IFERROR(__xludf.DUMMYFUNCTION("""COMPUTED_VALUE"""),43915.66666666667)</f>
        <v>43915.66667</v>
      </c>
      <c r="B3272" s="1">
        <f>IFERROR(__xludf.DUMMYFUNCTION("""COMPUTED_VALUE"""),1.88)</f>
        <v>1.88</v>
      </c>
      <c r="C3272" s="1">
        <f>IFERROR(__xludf.DUMMYFUNCTION("""COMPUTED_VALUE"""),2.11)</f>
        <v>2.11</v>
      </c>
      <c r="D3272" s="1">
        <f>IFERROR(__xludf.DUMMYFUNCTION("""COMPUTED_VALUE"""),1.86)</f>
        <v>1.86</v>
      </c>
      <c r="E3272" s="1">
        <f>IFERROR(__xludf.DUMMYFUNCTION("""COMPUTED_VALUE"""),2.07)</f>
        <v>2.07</v>
      </c>
      <c r="F3272" s="1">
        <f>IFERROR(__xludf.DUMMYFUNCTION("""COMPUTED_VALUE"""),284656.0)</f>
        <v>284656</v>
      </c>
    </row>
    <row r="3273">
      <c r="A3273" s="2">
        <f>IFERROR(__xludf.DUMMYFUNCTION("""COMPUTED_VALUE"""),43916.66666666667)</f>
        <v>43916.66667</v>
      </c>
      <c r="B3273" s="1">
        <f>IFERROR(__xludf.DUMMYFUNCTION("""COMPUTED_VALUE"""),2.08)</f>
        <v>2.08</v>
      </c>
      <c r="C3273" s="1">
        <f>IFERROR(__xludf.DUMMYFUNCTION("""COMPUTED_VALUE"""),2.23)</f>
        <v>2.23</v>
      </c>
      <c r="D3273" s="1">
        <f>IFERROR(__xludf.DUMMYFUNCTION("""COMPUTED_VALUE"""),2.06)</f>
        <v>2.06</v>
      </c>
      <c r="E3273" s="1">
        <f>IFERROR(__xludf.DUMMYFUNCTION("""COMPUTED_VALUE"""),2.17)</f>
        <v>2.17</v>
      </c>
      <c r="F3273" s="1">
        <f>IFERROR(__xludf.DUMMYFUNCTION("""COMPUTED_VALUE"""),387625.0)</f>
        <v>387625</v>
      </c>
    </row>
    <row r="3274">
      <c r="A3274" s="2">
        <f>IFERROR(__xludf.DUMMYFUNCTION("""COMPUTED_VALUE"""),43917.66666666667)</f>
        <v>43917.66667</v>
      </c>
      <c r="B3274" s="1">
        <f>IFERROR(__xludf.DUMMYFUNCTION("""COMPUTED_VALUE"""),2.1)</f>
        <v>2.1</v>
      </c>
      <c r="C3274" s="1">
        <f>IFERROR(__xludf.DUMMYFUNCTION("""COMPUTED_VALUE"""),2.14)</f>
        <v>2.14</v>
      </c>
      <c r="D3274" s="1">
        <f>IFERROR(__xludf.DUMMYFUNCTION("""COMPUTED_VALUE"""),2.0)</f>
        <v>2</v>
      </c>
      <c r="E3274" s="1">
        <f>IFERROR(__xludf.DUMMYFUNCTION("""COMPUTED_VALUE"""),2.04)</f>
        <v>2.04</v>
      </c>
      <c r="F3274" s="1">
        <f>IFERROR(__xludf.DUMMYFUNCTION("""COMPUTED_VALUE"""),151902.0)</f>
        <v>151902</v>
      </c>
    </row>
    <row r="3275">
      <c r="A3275" s="2">
        <f>IFERROR(__xludf.DUMMYFUNCTION("""COMPUTED_VALUE"""),43920.66666666667)</f>
        <v>43920.66667</v>
      </c>
      <c r="B3275" s="1">
        <f>IFERROR(__xludf.DUMMYFUNCTION("""COMPUTED_VALUE"""),2.06)</f>
        <v>2.06</v>
      </c>
      <c r="C3275" s="1">
        <f>IFERROR(__xludf.DUMMYFUNCTION("""COMPUTED_VALUE"""),2.12)</f>
        <v>2.12</v>
      </c>
      <c r="D3275" s="1">
        <f>IFERROR(__xludf.DUMMYFUNCTION("""COMPUTED_VALUE"""),2.02)</f>
        <v>2.02</v>
      </c>
      <c r="E3275" s="1">
        <f>IFERROR(__xludf.DUMMYFUNCTION("""COMPUTED_VALUE"""),2.09)</f>
        <v>2.09</v>
      </c>
      <c r="F3275" s="1">
        <f>IFERROR(__xludf.DUMMYFUNCTION("""COMPUTED_VALUE"""),193007.0)</f>
        <v>193007</v>
      </c>
    </row>
    <row r="3276">
      <c r="A3276" s="2">
        <f>IFERROR(__xludf.DUMMYFUNCTION("""COMPUTED_VALUE"""),43921.66666666667)</f>
        <v>43921.66667</v>
      </c>
      <c r="B3276" s="1">
        <f>IFERROR(__xludf.DUMMYFUNCTION("""COMPUTED_VALUE"""),2.09)</f>
        <v>2.09</v>
      </c>
      <c r="C3276" s="1">
        <f>IFERROR(__xludf.DUMMYFUNCTION("""COMPUTED_VALUE"""),2.15)</f>
        <v>2.15</v>
      </c>
      <c r="D3276" s="1">
        <f>IFERROR(__xludf.DUMMYFUNCTION("""COMPUTED_VALUE"""),2.08)</f>
        <v>2.08</v>
      </c>
      <c r="E3276" s="1">
        <f>IFERROR(__xludf.DUMMYFUNCTION("""COMPUTED_VALUE"""),2.13)</f>
        <v>2.13</v>
      </c>
      <c r="F3276" s="1">
        <f>IFERROR(__xludf.DUMMYFUNCTION("""COMPUTED_VALUE"""),160032.0)</f>
        <v>160032</v>
      </c>
    </row>
    <row r="3277">
      <c r="A3277" s="2">
        <f>IFERROR(__xludf.DUMMYFUNCTION("""COMPUTED_VALUE"""),43922.66666666667)</f>
        <v>43922.66667</v>
      </c>
      <c r="B3277" s="1">
        <f>IFERROR(__xludf.DUMMYFUNCTION("""COMPUTED_VALUE"""),2.05)</f>
        <v>2.05</v>
      </c>
      <c r="C3277" s="1">
        <f>IFERROR(__xludf.DUMMYFUNCTION("""COMPUTED_VALUE"""),2.1)</f>
        <v>2.1</v>
      </c>
      <c r="D3277" s="1">
        <f>IFERROR(__xludf.DUMMYFUNCTION("""COMPUTED_VALUE"""),1.99)</f>
        <v>1.99</v>
      </c>
      <c r="E3277" s="1">
        <f>IFERROR(__xludf.DUMMYFUNCTION("""COMPUTED_VALUE"""),2.05)</f>
        <v>2.05</v>
      </c>
      <c r="F3277" s="1">
        <f>IFERROR(__xludf.DUMMYFUNCTION("""COMPUTED_VALUE"""),292734.0)</f>
        <v>292734</v>
      </c>
    </row>
    <row r="3278">
      <c r="A3278" s="2">
        <f>IFERROR(__xludf.DUMMYFUNCTION("""COMPUTED_VALUE"""),43923.66666666667)</f>
        <v>43923.66667</v>
      </c>
      <c r="B3278" s="1">
        <f>IFERROR(__xludf.DUMMYFUNCTION("""COMPUTED_VALUE"""),2.06)</f>
        <v>2.06</v>
      </c>
      <c r="C3278" s="1">
        <f>IFERROR(__xludf.DUMMYFUNCTION("""COMPUTED_VALUE"""),2.12)</f>
        <v>2.12</v>
      </c>
      <c r="D3278" s="1">
        <f>IFERROR(__xludf.DUMMYFUNCTION("""COMPUTED_VALUE"""),1.95)</f>
        <v>1.95</v>
      </c>
      <c r="E3278" s="1">
        <f>IFERROR(__xludf.DUMMYFUNCTION("""COMPUTED_VALUE"""),2.09)</f>
        <v>2.09</v>
      </c>
      <c r="F3278" s="1">
        <f>IFERROR(__xludf.DUMMYFUNCTION("""COMPUTED_VALUE"""),188362.0)</f>
        <v>188362</v>
      </c>
    </row>
    <row r="3279">
      <c r="A3279" s="2">
        <f>IFERROR(__xludf.DUMMYFUNCTION("""COMPUTED_VALUE"""),43924.66666666667)</f>
        <v>43924.66667</v>
      </c>
      <c r="B3279" s="1">
        <f>IFERROR(__xludf.DUMMYFUNCTION("""COMPUTED_VALUE"""),2.06)</f>
        <v>2.06</v>
      </c>
      <c r="C3279" s="1">
        <f>IFERROR(__xludf.DUMMYFUNCTION("""COMPUTED_VALUE"""),2.17)</f>
        <v>2.17</v>
      </c>
      <c r="D3279" s="1">
        <f>IFERROR(__xludf.DUMMYFUNCTION("""COMPUTED_VALUE"""),1.96)</f>
        <v>1.96</v>
      </c>
      <c r="E3279" s="1">
        <f>IFERROR(__xludf.DUMMYFUNCTION("""COMPUTED_VALUE"""),2.02)</f>
        <v>2.02</v>
      </c>
      <c r="F3279" s="1">
        <f>IFERROR(__xludf.DUMMYFUNCTION("""COMPUTED_VALUE"""),287458.0)</f>
        <v>287458</v>
      </c>
    </row>
    <row r="3280">
      <c r="A3280" s="2">
        <f>IFERROR(__xludf.DUMMYFUNCTION("""COMPUTED_VALUE"""),43927.66666666667)</f>
        <v>43927.66667</v>
      </c>
      <c r="B3280" s="1">
        <f>IFERROR(__xludf.DUMMYFUNCTION("""COMPUTED_VALUE"""),2.08)</f>
        <v>2.08</v>
      </c>
      <c r="C3280" s="1">
        <f>IFERROR(__xludf.DUMMYFUNCTION("""COMPUTED_VALUE"""),2.14)</f>
        <v>2.14</v>
      </c>
      <c r="D3280" s="1">
        <f>IFERROR(__xludf.DUMMYFUNCTION("""COMPUTED_VALUE"""),1.98)</f>
        <v>1.98</v>
      </c>
      <c r="E3280" s="1">
        <f>IFERROR(__xludf.DUMMYFUNCTION("""COMPUTED_VALUE"""),2.02)</f>
        <v>2.02</v>
      </c>
      <c r="F3280" s="1">
        <f>IFERROR(__xludf.DUMMYFUNCTION("""COMPUTED_VALUE"""),247799.0)</f>
        <v>247799</v>
      </c>
    </row>
    <row r="3281">
      <c r="A3281" s="2">
        <f>IFERROR(__xludf.DUMMYFUNCTION("""COMPUTED_VALUE"""),43928.66666666667)</f>
        <v>43928.66667</v>
      </c>
      <c r="B3281" s="1">
        <f>IFERROR(__xludf.DUMMYFUNCTION("""COMPUTED_VALUE"""),2.08)</f>
        <v>2.08</v>
      </c>
      <c r="C3281" s="1">
        <f>IFERROR(__xludf.DUMMYFUNCTION("""COMPUTED_VALUE"""),2.1)</f>
        <v>2.1</v>
      </c>
      <c r="D3281" s="1">
        <f>IFERROR(__xludf.DUMMYFUNCTION("""COMPUTED_VALUE"""),1.99)</f>
        <v>1.99</v>
      </c>
      <c r="E3281" s="1">
        <f>IFERROR(__xludf.DUMMYFUNCTION("""COMPUTED_VALUE"""),2.03)</f>
        <v>2.03</v>
      </c>
      <c r="F3281" s="1">
        <f>IFERROR(__xludf.DUMMYFUNCTION("""COMPUTED_VALUE"""),303132.0)</f>
        <v>303132</v>
      </c>
    </row>
    <row r="3282">
      <c r="A3282" s="2">
        <f>IFERROR(__xludf.DUMMYFUNCTION("""COMPUTED_VALUE"""),43929.66666666667)</f>
        <v>43929.66667</v>
      </c>
      <c r="B3282" s="1">
        <f>IFERROR(__xludf.DUMMYFUNCTION("""COMPUTED_VALUE"""),2.05)</f>
        <v>2.05</v>
      </c>
      <c r="C3282" s="1">
        <f>IFERROR(__xludf.DUMMYFUNCTION("""COMPUTED_VALUE"""),2.11)</f>
        <v>2.11</v>
      </c>
      <c r="D3282" s="1">
        <f>IFERROR(__xludf.DUMMYFUNCTION("""COMPUTED_VALUE"""),2.01)</f>
        <v>2.01</v>
      </c>
      <c r="E3282" s="1">
        <f>IFERROR(__xludf.DUMMYFUNCTION("""COMPUTED_VALUE"""),2.09)</f>
        <v>2.09</v>
      </c>
      <c r="F3282" s="1">
        <f>IFERROR(__xludf.DUMMYFUNCTION("""COMPUTED_VALUE"""),200333.0)</f>
        <v>200333</v>
      </c>
    </row>
    <row r="3283">
      <c r="A3283" s="2">
        <f>IFERROR(__xludf.DUMMYFUNCTION("""COMPUTED_VALUE"""),43930.66666666667)</f>
        <v>43930.66667</v>
      </c>
      <c r="B3283" s="1">
        <f>IFERROR(__xludf.DUMMYFUNCTION("""COMPUTED_VALUE"""),2.13)</f>
        <v>2.13</v>
      </c>
      <c r="C3283" s="1">
        <f>IFERROR(__xludf.DUMMYFUNCTION("""COMPUTED_VALUE"""),2.19)</f>
        <v>2.19</v>
      </c>
      <c r="D3283" s="1">
        <f>IFERROR(__xludf.DUMMYFUNCTION("""COMPUTED_VALUE"""),2.06)</f>
        <v>2.06</v>
      </c>
      <c r="E3283" s="1">
        <f>IFERROR(__xludf.DUMMYFUNCTION("""COMPUTED_VALUE"""),2.15)</f>
        <v>2.15</v>
      </c>
      <c r="F3283" s="1">
        <f>IFERROR(__xludf.DUMMYFUNCTION("""COMPUTED_VALUE"""),228234.0)</f>
        <v>228234</v>
      </c>
    </row>
    <row r="3284">
      <c r="A3284" s="2">
        <f>IFERROR(__xludf.DUMMYFUNCTION("""COMPUTED_VALUE"""),43934.66666666667)</f>
        <v>43934.66667</v>
      </c>
      <c r="B3284" s="1">
        <f>IFERROR(__xludf.DUMMYFUNCTION("""COMPUTED_VALUE"""),2.15)</f>
        <v>2.15</v>
      </c>
      <c r="C3284" s="1">
        <f>IFERROR(__xludf.DUMMYFUNCTION("""COMPUTED_VALUE"""),2.17)</f>
        <v>2.17</v>
      </c>
      <c r="D3284" s="1">
        <f>IFERROR(__xludf.DUMMYFUNCTION("""COMPUTED_VALUE"""),2.05)</f>
        <v>2.05</v>
      </c>
      <c r="E3284" s="1">
        <f>IFERROR(__xludf.DUMMYFUNCTION("""COMPUTED_VALUE"""),2.13)</f>
        <v>2.13</v>
      </c>
      <c r="F3284" s="1">
        <f>IFERROR(__xludf.DUMMYFUNCTION("""COMPUTED_VALUE"""),178720.0)</f>
        <v>178720</v>
      </c>
    </row>
    <row r="3285">
      <c r="A3285" s="2">
        <f>IFERROR(__xludf.DUMMYFUNCTION("""COMPUTED_VALUE"""),43935.66666666667)</f>
        <v>43935.66667</v>
      </c>
      <c r="B3285" s="1">
        <f>IFERROR(__xludf.DUMMYFUNCTION("""COMPUTED_VALUE"""),2.17)</f>
        <v>2.17</v>
      </c>
      <c r="C3285" s="1">
        <f>IFERROR(__xludf.DUMMYFUNCTION("""COMPUTED_VALUE"""),2.25)</f>
        <v>2.25</v>
      </c>
      <c r="D3285" s="1">
        <f>IFERROR(__xludf.DUMMYFUNCTION("""COMPUTED_VALUE"""),2.17)</f>
        <v>2.17</v>
      </c>
      <c r="E3285" s="1">
        <f>IFERROR(__xludf.DUMMYFUNCTION("""COMPUTED_VALUE"""),2.19)</f>
        <v>2.19</v>
      </c>
      <c r="F3285" s="1">
        <f>IFERROR(__xludf.DUMMYFUNCTION("""COMPUTED_VALUE"""),153041.0)</f>
        <v>153041</v>
      </c>
    </row>
    <row r="3286">
      <c r="A3286" s="2">
        <f>IFERROR(__xludf.DUMMYFUNCTION("""COMPUTED_VALUE"""),43936.66666666667)</f>
        <v>43936.66667</v>
      </c>
      <c r="B3286" s="1">
        <f>IFERROR(__xludf.DUMMYFUNCTION("""COMPUTED_VALUE"""),2.15)</f>
        <v>2.15</v>
      </c>
      <c r="C3286" s="1">
        <f>IFERROR(__xludf.DUMMYFUNCTION("""COMPUTED_VALUE"""),2.2)</f>
        <v>2.2</v>
      </c>
      <c r="D3286" s="1">
        <f>IFERROR(__xludf.DUMMYFUNCTION("""COMPUTED_VALUE"""),2.12)</f>
        <v>2.12</v>
      </c>
      <c r="E3286" s="1">
        <f>IFERROR(__xludf.DUMMYFUNCTION("""COMPUTED_VALUE"""),2.16)</f>
        <v>2.16</v>
      </c>
      <c r="F3286" s="1">
        <f>IFERROR(__xludf.DUMMYFUNCTION("""COMPUTED_VALUE"""),169014.0)</f>
        <v>169014</v>
      </c>
    </row>
    <row r="3287">
      <c r="A3287" s="2">
        <f>IFERROR(__xludf.DUMMYFUNCTION("""COMPUTED_VALUE"""),43937.66666666667)</f>
        <v>43937.66667</v>
      </c>
      <c r="B3287" s="1">
        <f>IFERROR(__xludf.DUMMYFUNCTION("""COMPUTED_VALUE"""),2.18)</f>
        <v>2.18</v>
      </c>
      <c r="C3287" s="1">
        <f>IFERROR(__xludf.DUMMYFUNCTION("""COMPUTED_VALUE"""),2.19)</f>
        <v>2.19</v>
      </c>
      <c r="D3287" s="1">
        <f>IFERROR(__xludf.DUMMYFUNCTION("""COMPUTED_VALUE"""),2.1)</f>
        <v>2.1</v>
      </c>
      <c r="E3287" s="1">
        <f>IFERROR(__xludf.DUMMYFUNCTION("""COMPUTED_VALUE"""),2.16)</f>
        <v>2.16</v>
      </c>
      <c r="F3287" s="1">
        <f>IFERROR(__xludf.DUMMYFUNCTION("""COMPUTED_VALUE"""),177433.0)</f>
        <v>177433</v>
      </c>
    </row>
    <row r="3288">
      <c r="A3288" s="2">
        <f>IFERROR(__xludf.DUMMYFUNCTION("""COMPUTED_VALUE"""),43938.66666666667)</f>
        <v>43938.66667</v>
      </c>
      <c r="B3288" s="1">
        <f>IFERROR(__xludf.DUMMYFUNCTION("""COMPUTED_VALUE"""),2.21)</f>
        <v>2.21</v>
      </c>
      <c r="C3288" s="1">
        <f>IFERROR(__xludf.DUMMYFUNCTION("""COMPUTED_VALUE"""),2.26)</f>
        <v>2.26</v>
      </c>
      <c r="D3288" s="1">
        <f>IFERROR(__xludf.DUMMYFUNCTION("""COMPUTED_VALUE"""),2.14)</f>
        <v>2.14</v>
      </c>
      <c r="E3288" s="1">
        <f>IFERROR(__xludf.DUMMYFUNCTION("""COMPUTED_VALUE"""),2.18)</f>
        <v>2.18</v>
      </c>
      <c r="F3288" s="1">
        <f>IFERROR(__xludf.DUMMYFUNCTION("""COMPUTED_VALUE"""),178105.0)</f>
        <v>178105</v>
      </c>
    </row>
    <row r="3289">
      <c r="A3289" s="2">
        <f>IFERROR(__xludf.DUMMYFUNCTION("""COMPUTED_VALUE"""),43941.66666666667)</f>
        <v>43941.66667</v>
      </c>
      <c r="B3289" s="1">
        <f>IFERROR(__xludf.DUMMYFUNCTION("""COMPUTED_VALUE"""),2.18)</f>
        <v>2.18</v>
      </c>
      <c r="C3289" s="1">
        <f>IFERROR(__xludf.DUMMYFUNCTION("""COMPUTED_VALUE"""),2.19)</f>
        <v>2.19</v>
      </c>
      <c r="D3289" s="1">
        <f>IFERROR(__xludf.DUMMYFUNCTION("""COMPUTED_VALUE"""),2.11)</f>
        <v>2.11</v>
      </c>
      <c r="E3289" s="1">
        <f>IFERROR(__xludf.DUMMYFUNCTION("""COMPUTED_VALUE"""),2.17)</f>
        <v>2.17</v>
      </c>
      <c r="F3289" s="1">
        <f>IFERROR(__xludf.DUMMYFUNCTION("""COMPUTED_VALUE"""),111629.0)</f>
        <v>111629</v>
      </c>
    </row>
    <row r="3290">
      <c r="A3290" s="2">
        <f>IFERROR(__xludf.DUMMYFUNCTION("""COMPUTED_VALUE"""),43942.66666666667)</f>
        <v>43942.66667</v>
      </c>
      <c r="B3290" s="1">
        <f>IFERROR(__xludf.DUMMYFUNCTION("""COMPUTED_VALUE"""),2.15)</f>
        <v>2.15</v>
      </c>
      <c r="C3290" s="1">
        <f>IFERROR(__xludf.DUMMYFUNCTION("""COMPUTED_VALUE"""),2.15)</f>
        <v>2.15</v>
      </c>
      <c r="D3290" s="1">
        <f>IFERROR(__xludf.DUMMYFUNCTION("""COMPUTED_VALUE"""),2.03)</f>
        <v>2.03</v>
      </c>
      <c r="E3290" s="1">
        <f>IFERROR(__xludf.DUMMYFUNCTION("""COMPUTED_VALUE"""),2.1)</f>
        <v>2.1</v>
      </c>
      <c r="F3290" s="1">
        <f>IFERROR(__xludf.DUMMYFUNCTION("""COMPUTED_VALUE"""),115605.0)</f>
        <v>115605</v>
      </c>
    </row>
    <row r="3291">
      <c r="A3291" s="2">
        <f>IFERROR(__xludf.DUMMYFUNCTION("""COMPUTED_VALUE"""),43943.66666666667)</f>
        <v>43943.66667</v>
      </c>
      <c r="B3291" s="1">
        <f>IFERROR(__xludf.DUMMYFUNCTION("""COMPUTED_VALUE"""),2.14)</f>
        <v>2.14</v>
      </c>
      <c r="C3291" s="1">
        <f>IFERROR(__xludf.DUMMYFUNCTION("""COMPUTED_VALUE"""),2.17)</f>
        <v>2.17</v>
      </c>
      <c r="D3291" s="1">
        <f>IFERROR(__xludf.DUMMYFUNCTION("""COMPUTED_VALUE"""),2.11)</f>
        <v>2.11</v>
      </c>
      <c r="E3291" s="1">
        <f>IFERROR(__xludf.DUMMYFUNCTION("""COMPUTED_VALUE"""),2.15)</f>
        <v>2.15</v>
      </c>
      <c r="F3291" s="1">
        <f>IFERROR(__xludf.DUMMYFUNCTION("""COMPUTED_VALUE"""),102160.0)</f>
        <v>102160</v>
      </c>
    </row>
    <row r="3292">
      <c r="A3292" s="2">
        <f>IFERROR(__xludf.DUMMYFUNCTION("""COMPUTED_VALUE"""),43944.66666666667)</f>
        <v>43944.66667</v>
      </c>
      <c r="B3292" s="1">
        <f>IFERROR(__xludf.DUMMYFUNCTION("""COMPUTED_VALUE"""),2.17)</f>
        <v>2.17</v>
      </c>
      <c r="C3292" s="1">
        <f>IFERROR(__xludf.DUMMYFUNCTION("""COMPUTED_VALUE"""),2.2)</f>
        <v>2.2</v>
      </c>
      <c r="D3292" s="1">
        <f>IFERROR(__xludf.DUMMYFUNCTION("""COMPUTED_VALUE"""),2.13)</f>
        <v>2.13</v>
      </c>
      <c r="E3292" s="1">
        <f>IFERROR(__xludf.DUMMYFUNCTION("""COMPUTED_VALUE"""),2.16)</f>
        <v>2.16</v>
      </c>
      <c r="F3292" s="1">
        <f>IFERROR(__xludf.DUMMYFUNCTION("""COMPUTED_VALUE"""),207368.0)</f>
        <v>207368</v>
      </c>
    </row>
    <row r="3293">
      <c r="A3293" s="2">
        <f>IFERROR(__xludf.DUMMYFUNCTION("""COMPUTED_VALUE"""),43945.66666666667)</f>
        <v>43945.66667</v>
      </c>
      <c r="B3293" s="1">
        <f>IFERROR(__xludf.DUMMYFUNCTION("""COMPUTED_VALUE"""),2.17)</f>
        <v>2.17</v>
      </c>
      <c r="C3293" s="1">
        <f>IFERROR(__xludf.DUMMYFUNCTION("""COMPUTED_VALUE"""),2.19)</f>
        <v>2.19</v>
      </c>
      <c r="D3293" s="1">
        <f>IFERROR(__xludf.DUMMYFUNCTION("""COMPUTED_VALUE"""),2.12)</f>
        <v>2.12</v>
      </c>
      <c r="E3293" s="1">
        <f>IFERROR(__xludf.DUMMYFUNCTION("""COMPUTED_VALUE"""),2.17)</f>
        <v>2.17</v>
      </c>
      <c r="F3293" s="1">
        <f>IFERROR(__xludf.DUMMYFUNCTION("""COMPUTED_VALUE"""),207009.0)</f>
        <v>207009</v>
      </c>
    </row>
    <row r="3294">
      <c r="A3294" s="2">
        <f>IFERROR(__xludf.DUMMYFUNCTION("""COMPUTED_VALUE"""),43948.66666666667)</f>
        <v>43948.66667</v>
      </c>
      <c r="B3294" s="1">
        <f>IFERROR(__xludf.DUMMYFUNCTION("""COMPUTED_VALUE"""),2.19)</f>
        <v>2.19</v>
      </c>
      <c r="C3294" s="1">
        <f>IFERROR(__xludf.DUMMYFUNCTION("""COMPUTED_VALUE"""),2.25)</f>
        <v>2.25</v>
      </c>
      <c r="D3294" s="1">
        <f>IFERROR(__xludf.DUMMYFUNCTION("""COMPUTED_VALUE"""),2.18)</f>
        <v>2.18</v>
      </c>
      <c r="E3294" s="1">
        <f>IFERROR(__xludf.DUMMYFUNCTION("""COMPUTED_VALUE"""),2.22)</f>
        <v>2.22</v>
      </c>
      <c r="F3294" s="1">
        <f>IFERROR(__xludf.DUMMYFUNCTION("""COMPUTED_VALUE"""),232246.0)</f>
        <v>232246</v>
      </c>
    </row>
    <row r="3295">
      <c r="A3295" s="2">
        <f>IFERROR(__xludf.DUMMYFUNCTION("""COMPUTED_VALUE"""),43949.66666666667)</f>
        <v>43949.66667</v>
      </c>
      <c r="B3295" s="1">
        <f>IFERROR(__xludf.DUMMYFUNCTION("""COMPUTED_VALUE"""),2.26)</f>
        <v>2.26</v>
      </c>
      <c r="C3295" s="1">
        <f>IFERROR(__xludf.DUMMYFUNCTION("""COMPUTED_VALUE"""),2.34)</f>
        <v>2.34</v>
      </c>
      <c r="D3295" s="1">
        <f>IFERROR(__xludf.DUMMYFUNCTION("""COMPUTED_VALUE"""),2.21)</f>
        <v>2.21</v>
      </c>
      <c r="E3295" s="1">
        <f>IFERROR(__xludf.DUMMYFUNCTION("""COMPUTED_VALUE"""),2.28)</f>
        <v>2.28</v>
      </c>
      <c r="F3295" s="1">
        <f>IFERROR(__xludf.DUMMYFUNCTION("""COMPUTED_VALUE"""),332725.0)</f>
        <v>332725</v>
      </c>
    </row>
    <row r="3296">
      <c r="A3296" s="2">
        <f>IFERROR(__xludf.DUMMYFUNCTION("""COMPUTED_VALUE"""),43950.66666666667)</f>
        <v>43950.66667</v>
      </c>
      <c r="B3296" s="1">
        <f>IFERROR(__xludf.DUMMYFUNCTION("""COMPUTED_VALUE"""),2.35)</f>
        <v>2.35</v>
      </c>
      <c r="C3296" s="1">
        <f>IFERROR(__xludf.DUMMYFUNCTION("""COMPUTED_VALUE"""),2.39)</f>
        <v>2.39</v>
      </c>
      <c r="D3296" s="1">
        <f>IFERROR(__xludf.DUMMYFUNCTION("""COMPUTED_VALUE"""),2.32)</f>
        <v>2.32</v>
      </c>
      <c r="E3296" s="1">
        <f>IFERROR(__xludf.DUMMYFUNCTION("""COMPUTED_VALUE"""),2.35)</f>
        <v>2.35</v>
      </c>
      <c r="F3296" s="1">
        <f>IFERROR(__xludf.DUMMYFUNCTION("""COMPUTED_VALUE"""),204199.0)</f>
        <v>204199</v>
      </c>
    </row>
    <row r="3297">
      <c r="A3297" s="2">
        <f>IFERROR(__xludf.DUMMYFUNCTION("""COMPUTED_VALUE"""),43951.66666666667)</f>
        <v>43951.66667</v>
      </c>
      <c r="B3297" s="1">
        <f>IFERROR(__xludf.DUMMYFUNCTION("""COMPUTED_VALUE"""),2.34)</f>
        <v>2.34</v>
      </c>
      <c r="C3297" s="1">
        <f>IFERROR(__xludf.DUMMYFUNCTION("""COMPUTED_VALUE"""),2.34)</f>
        <v>2.34</v>
      </c>
      <c r="D3297" s="1">
        <f>IFERROR(__xludf.DUMMYFUNCTION("""COMPUTED_VALUE"""),2.25)</f>
        <v>2.25</v>
      </c>
      <c r="E3297" s="1">
        <f>IFERROR(__xludf.DUMMYFUNCTION("""COMPUTED_VALUE"""),2.29)</f>
        <v>2.29</v>
      </c>
      <c r="F3297" s="1">
        <f>IFERROR(__xludf.DUMMYFUNCTION("""COMPUTED_VALUE"""),216698.0)</f>
        <v>216698</v>
      </c>
    </row>
    <row r="3298">
      <c r="A3298" s="2">
        <f>IFERROR(__xludf.DUMMYFUNCTION("""COMPUTED_VALUE"""),43952.66666666667)</f>
        <v>43952.66667</v>
      </c>
      <c r="B3298" s="1">
        <f>IFERROR(__xludf.DUMMYFUNCTION("""COMPUTED_VALUE"""),2.23)</f>
        <v>2.23</v>
      </c>
      <c r="C3298" s="1">
        <f>IFERROR(__xludf.DUMMYFUNCTION("""COMPUTED_VALUE"""),2.27)</f>
        <v>2.27</v>
      </c>
      <c r="D3298" s="1">
        <f>IFERROR(__xludf.DUMMYFUNCTION("""COMPUTED_VALUE"""),2.21)</f>
        <v>2.21</v>
      </c>
      <c r="E3298" s="1">
        <f>IFERROR(__xludf.DUMMYFUNCTION("""COMPUTED_VALUE"""),2.22)</f>
        <v>2.22</v>
      </c>
      <c r="F3298" s="1">
        <f>IFERROR(__xludf.DUMMYFUNCTION("""COMPUTED_VALUE"""),124498.0)</f>
        <v>124498</v>
      </c>
    </row>
    <row r="3299">
      <c r="A3299" s="2">
        <f>IFERROR(__xludf.DUMMYFUNCTION("""COMPUTED_VALUE"""),43955.66666666667)</f>
        <v>43955.66667</v>
      </c>
      <c r="B3299" s="1">
        <f>IFERROR(__xludf.DUMMYFUNCTION("""COMPUTED_VALUE"""),2.22)</f>
        <v>2.22</v>
      </c>
      <c r="C3299" s="1">
        <f>IFERROR(__xludf.DUMMYFUNCTION("""COMPUTED_VALUE"""),2.27)</f>
        <v>2.27</v>
      </c>
      <c r="D3299" s="1">
        <f>IFERROR(__xludf.DUMMYFUNCTION("""COMPUTED_VALUE"""),2.19)</f>
        <v>2.19</v>
      </c>
      <c r="E3299" s="1">
        <f>IFERROR(__xludf.DUMMYFUNCTION("""COMPUTED_VALUE"""),2.23)</f>
        <v>2.23</v>
      </c>
      <c r="F3299" s="1">
        <f>IFERROR(__xludf.DUMMYFUNCTION("""COMPUTED_VALUE"""),237487.0)</f>
        <v>237487</v>
      </c>
    </row>
    <row r="3300">
      <c r="A3300" s="2">
        <f>IFERROR(__xludf.DUMMYFUNCTION("""COMPUTED_VALUE"""),43956.66666666667)</f>
        <v>43956.66667</v>
      </c>
      <c r="B3300" s="1">
        <f>IFERROR(__xludf.DUMMYFUNCTION("""COMPUTED_VALUE"""),2.26)</f>
        <v>2.26</v>
      </c>
      <c r="C3300" s="1">
        <f>IFERROR(__xludf.DUMMYFUNCTION("""COMPUTED_VALUE"""),2.34)</f>
        <v>2.34</v>
      </c>
      <c r="D3300" s="1">
        <f>IFERROR(__xludf.DUMMYFUNCTION("""COMPUTED_VALUE"""),2.21)</f>
        <v>2.21</v>
      </c>
      <c r="E3300" s="1">
        <f>IFERROR(__xludf.DUMMYFUNCTION("""COMPUTED_VALUE"""),2.25)</f>
        <v>2.25</v>
      </c>
      <c r="F3300" s="1">
        <f>IFERROR(__xludf.DUMMYFUNCTION("""COMPUTED_VALUE"""),291655.0)</f>
        <v>291655</v>
      </c>
    </row>
    <row r="3301">
      <c r="A3301" s="2">
        <f>IFERROR(__xludf.DUMMYFUNCTION("""COMPUTED_VALUE"""),43957.66666666667)</f>
        <v>43957.66667</v>
      </c>
      <c r="B3301" s="1">
        <f>IFERROR(__xludf.DUMMYFUNCTION("""COMPUTED_VALUE"""),2.27)</f>
        <v>2.27</v>
      </c>
      <c r="C3301" s="1">
        <f>IFERROR(__xludf.DUMMYFUNCTION("""COMPUTED_VALUE"""),2.28)</f>
        <v>2.28</v>
      </c>
      <c r="D3301" s="1">
        <f>IFERROR(__xludf.DUMMYFUNCTION("""COMPUTED_VALUE"""),2.19)</f>
        <v>2.19</v>
      </c>
      <c r="E3301" s="1">
        <f>IFERROR(__xludf.DUMMYFUNCTION("""COMPUTED_VALUE"""),2.2)</f>
        <v>2.2</v>
      </c>
      <c r="F3301" s="1">
        <f>IFERROR(__xludf.DUMMYFUNCTION("""COMPUTED_VALUE"""),169540.0)</f>
        <v>169540</v>
      </c>
    </row>
    <row r="3302">
      <c r="A3302" s="2">
        <f>IFERROR(__xludf.DUMMYFUNCTION("""COMPUTED_VALUE"""),43958.66666666667)</f>
        <v>43958.66667</v>
      </c>
      <c r="B3302" s="1">
        <f>IFERROR(__xludf.DUMMYFUNCTION("""COMPUTED_VALUE"""),2.23)</f>
        <v>2.23</v>
      </c>
      <c r="C3302" s="1">
        <f>IFERROR(__xludf.DUMMYFUNCTION("""COMPUTED_VALUE"""),2.29)</f>
        <v>2.29</v>
      </c>
      <c r="D3302" s="1">
        <f>IFERROR(__xludf.DUMMYFUNCTION("""COMPUTED_VALUE"""),2.19)</f>
        <v>2.19</v>
      </c>
      <c r="E3302" s="1">
        <f>IFERROR(__xludf.DUMMYFUNCTION("""COMPUTED_VALUE"""),2.24)</f>
        <v>2.24</v>
      </c>
      <c r="F3302" s="1">
        <f>IFERROR(__xludf.DUMMYFUNCTION("""COMPUTED_VALUE"""),552665.0)</f>
        <v>552665</v>
      </c>
    </row>
    <row r="3303">
      <c r="A3303" s="2">
        <f>IFERROR(__xludf.DUMMYFUNCTION("""COMPUTED_VALUE"""),43959.66666666667)</f>
        <v>43959.66667</v>
      </c>
      <c r="B3303" s="1">
        <f>IFERROR(__xludf.DUMMYFUNCTION("""COMPUTED_VALUE"""),2.35)</f>
        <v>2.35</v>
      </c>
      <c r="C3303" s="1">
        <f>IFERROR(__xludf.DUMMYFUNCTION("""COMPUTED_VALUE"""),2.69)</f>
        <v>2.69</v>
      </c>
      <c r="D3303" s="1">
        <f>IFERROR(__xludf.DUMMYFUNCTION("""COMPUTED_VALUE"""),2.3)</f>
        <v>2.3</v>
      </c>
      <c r="E3303" s="1">
        <f>IFERROR(__xludf.DUMMYFUNCTION("""COMPUTED_VALUE"""),2.54)</f>
        <v>2.54</v>
      </c>
      <c r="F3303" s="1">
        <f>IFERROR(__xludf.DUMMYFUNCTION("""COMPUTED_VALUE"""),751258.0)</f>
        <v>751258</v>
      </c>
    </row>
    <row r="3304">
      <c r="A3304" s="2">
        <f>IFERROR(__xludf.DUMMYFUNCTION("""COMPUTED_VALUE"""),43962.66666666667)</f>
        <v>43962.66667</v>
      </c>
      <c r="B3304" s="1">
        <f>IFERROR(__xludf.DUMMYFUNCTION("""COMPUTED_VALUE"""),2.54)</f>
        <v>2.54</v>
      </c>
      <c r="C3304" s="1">
        <f>IFERROR(__xludf.DUMMYFUNCTION("""COMPUTED_VALUE"""),2.58)</f>
        <v>2.58</v>
      </c>
      <c r="D3304" s="1">
        <f>IFERROR(__xludf.DUMMYFUNCTION("""COMPUTED_VALUE"""),2.44)</f>
        <v>2.44</v>
      </c>
      <c r="E3304" s="1">
        <f>IFERROR(__xludf.DUMMYFUNCTION("""COMPUTED_VALUE"""),2.57)</f>
        <v>2.57</v>
      </c>
      <c r="F3304" s="1">
        <f>IFERROR(__xludf.DUMMYFUNCTION("""COMPUTED_VALUE"""),332329.0)</f>
        <v>332329</v>
      </c>
    </row>
    <row r="3305">
      <c r="A3305" s="2">
        <f>IFERROR(__xludf.DUMMYFUNCTION("""COMPUTED_VALUE"""),43963.66666666667)</f>
        <v>43963.66667</v>
      </c>
      <c r="B3305" s="1">
        <f>IFERROR(__xludf.DUMMYFUNCTION("""COMPUTED_VALUE"""),2.58)</f>
        <v>2.58</v>
      </c>
      <c r="C3305" s="1">
        <f>IFERROR(__xludf.DUMMYFUNCTION("""COMPUTED_VALUE"""),2.58)</f>
        <v>2.58</v>
      </c>
      <c r="D3305" s="1">
        <f>IFERROR(__xludf.DUMMYFUNCTION("""COMPUTED_VALUE"""),2.39)</f>
        <v>2.39</v>
      </c>
      <c r="E3305" s="1">
        <f>IFERROR(__xludf.DUMMYFUNCTION("""COMPUTED_VALUE"""),2.4)</f>
        <v>2.4</v>
      </c>
      <c r="F3305" s="1">
        <f>IFERROR(__xludf.DUMMYFUNCTION("""COMPUTED_VALUE"""),367819.0)</f>
        <v>367819</v>
      </c>
    </row>
    <row r="3306">
      <c r="A3306" s="2">
        <f>IFERROR(__xludf.DUMMYFUNCTION("""COMPUTED_VALUE"""),43964.66666666667)</f>
        <v>43964.66667</v>
      </c>
      <c r="B3306" s="1">
        <f>IFERROR(__xludf.DUMMYFUNCTION("""COMPUTED_VALUE"""),2.4)</f>
        <v>2.4</v>
      </c>
      <c r="C3306" s="1">
        <f>IFERROR(__xludf.DUMMYFUNCTION("""COMPUTED_VALUE"""),2.45)</f>
        <v>2.45</v>
      </c>
      <c r="D3306" s="1">
        <f>IFERROR(__xludf.DUMMYFUNCTION("""COMPUTED_VALUE"""),2.32)</f>
        <v>2.32</v>
      </c>
      <c r="E3306" s="1">
        <f>IFERROR(__xludf.DUMMYFUNCTION("""COMPUTED_VALUE"""),2.33)</f>
        <v>2.33</v>
      </c>
      <c r="F3306" s="1">
        <f>IFERROR(__xludf.DUMMYFUNCTION("""COMPUTED_VALUE"""),293169.0)</f>
        <v>293169</v>
      </c>
    </row>
    <row r="3307">
      <c r="A3307" s="2">
        <f>IFERROR(__xludf.DUMMYFUNCTION("""COMPUTED_VALUE"""),43965.66666666667)</f>
        <v>43965.66667</v>
      </c>
      <c r="B3307" s="1">
        <f>IFERROR(__xludf.DUMMYFUNCTION("""COMPUTED_VALUE"""),2.29)</f>
        <v>2.29</v>
      </c>
      <c r="C3307" s="1">
        <f>IFERROR(__xludf.DUMMYFUNCTION("""COMPUTED_VALUE"""),2.35)</f>
        <v>2.35</v>
      </c>
      <c r="D3307" s="1">
        <f>IFERROR(__xludf.DUMMYFUNCTION("""COMPUTED_VALUE"""),2.23)</f>
        <v>2.23</v>
      </c>
      <c r="E3307" s="1">
        <f>IFERROR(__xludf.DUMMYFUNCTION("""COMPUTED_VALUE"""),2.34)</f>
        <v>2.34</v>
      </c>
      <c r="F3307" s="1">
        <f>IFERROR(__xludf.DUMMYFUNCTION("""COMPUTED_VALUE"""),202913.0)</f>
        <v>202913</v>
      </c>
    </row>
    <row r="3308">
      <c r="A3308" s="2">
        <f>IFERROR(__xludf.DUMMYFUNCTION("""COMPUTED_VALUE"""),43966.66666666667)</f>
        <v>43966.66667</v>
      </c>
      <c r="B3308" s="1">
        <f>IFERROR(__xludf.DUMMYFUNCTION("""COMPUTED_VALUE"""),2.3)</f>
        <v>2.3</v>
      </c>
      <c r="C3308" s="1">
        <f>IFERROR(__xludf.DUMMYFUNCTION("""COMPUTED_VALUE"""),2.38)</f>
        <v>2.38</v>
      </c>
      <c r="D3308" s="1">
        <f>IFERROR(__xludf.DUMMYFUNCTION("""COMPUTED_VALUE"""),2.28)</f>
        <v>2.28</v>
      </c>
      <c r="E3308" s="1">
        <f>IFERROR(__xludf.DUMMYFUNCTION("""COMPUTED_VALUE"""),2.33)</f>
        <v>2.33</v>
      </c>
      <c r="F3308" s="1">
        <f>IFERROR(__xludf.DUMMYFUNCTION("""COMPUTED_VALUE"""),232321.0)</f>
        <v>232321</v>
      </c>
    </row>
    <row r="3309">
      <c r="A3309" s="2">
        <f>IFERROR(__xludf.DUMMYFUNCTION("""COMPUTED_VALUE"""),43969.66666666667)</f>
        <v>43969.66667</v>
      </c>
      <c r="B3309" s="1">
        <f>IFERROR(__xludf.DUMMYFUNCTION("""COMPUTED_VALUE"""),2.36)</f>
        <v>2.36</v>
      </c>
      <c r="C3309" s="1">
        <f>IFERROR(__xludf.DUMMYFUNCTION("""COMPUTED_VALUE"""),2.47)</f>
        <v>2.47</v>
      </c>
      <c r="D3309" s="1">
        <f>IFERROR(__xludf.DUMMYFUNCTION("""COMPUTED_VALUE"""),2.35)</f>
        <v>2.35</v>
      </c>
      <c r="E3309" s="1">
        <f>IFERROR(__xludf.DUMMYFUNCTION("""COMPUTED_VALUE"""),2.44)</f>
        <v>2.44</v>
      </c>
      <c r="F3309" s="1">
        <f>IFERROR(__xludf.DUMMYFUNCTION("""COMPUTED_VALUE"""),310088.0)</f>
        <v>310088</v>
      </c>
    </row>
    <row r="3310">
      <c r="A3310" s="2">
        <f>IFERROR(__xludf.DUMMYFUNCTION("""COMPUTED_VALUE"""),43970.66666666667)</f>
        <v>43970.66667</v>
      </c>
      <c r="B3310" s="1">
        <f>IFERROR(__xludf.DUMMYFUNCTION("""COMPUTED_VALUE"""),2.45)</f>
        <v>2.45</v>
      </c>
      <c r="C3310" s="1">
        <f>IFERROR(__xludf.DUMMYFUNCTION("""COMPUTED_VALUE"""),2.53)</f>
        <v>2.53</v>
      </c>
      <c r="D3310" s="1">
        <f>IFERROR(__xludf.DUMMYFUNCTION("""COMPUTED_VALUE"""),2.45)</f>
        <v>2.45</v>
      </c>
      <c r="E3310" s="1">
        <f>IFERROR(__xludf.DUMMYFUNCTION("""COMPUTED_VALUE"""),2.48)</f>
        <v>2.48</v>
      </c>
      <c r="F3310" s="1">
        <f>IFERROR(__xludf.DUMMYFUNCTION("""COMPUTED_VALUE"""),336953.0)</f>
        <v>336953</v>
      </c>
    </row>
    <row r="3311">
      <c r="A3311" s="2">
        <f>IFERROR(__xludf.DUMMYFUNCTION("""COMPUTED_VALUE"""),43971.66666666667)</f>
        <v>43971.66667</v>
      </c>
      <c r="B3311" s="1">
        <f>IFERROR(__xludf.DUMMYFUNCTION("""COMPUTED_VALUE"""),2.52)</f>
        <v>2.52</v>
      </c>
      <c r="C3311" s="1">
        <f>IFERROR(__xludf.DUMMYFUNCTION("""COMPUTED_VALUE"""),2.58)</f>
        <v>2.58</v>
      </c>
      <c r="D3311" s="1">
        <f>IFERROR(__xludf.DUMMYFUNCTION("""COMPUTED_VALUE"""),2.51)</f>
        <v>2.51</v>
      </c>
      <c r="E3311" s="1">
        <f>IFERROR(__xludf.DUMMYFUNCTION("""COMPUTED_VALUE"""),2.56)</f>
        <v>2.56</v>
      </c>
      <c r="F3311" s="1">
        <f>IFERROR(__xludf.DUMMYFUNCTION("""COMPUTED_VALUE"""),227166.0)</f>
        <v>227166</v>
      </c>
    </row>
    <row r="3312">
      <c r="A3312" s="2">
        <f>IFERROR(__xludf.DUMMYFUNCTION("""COMPUTED_VALUE"""),43972.66666666667)</f>
        <v>43972.66667</v>
      </c>
      <c r="B3312" s="1">
        <f>IFERROR(__xludf.DUMMYFUNCTION("""COMPUTED_VALUE"""),2.52)</f>
        <v>2.52</v>
      </c>
      <c r="C3312" s="1">
        <f>IFERROR(__xludf.DUMMYFUNCTION("""COMPUTED_VALUE"""),2.55)</f>
        <v>2.55</v>
      </c>
      <c r="D3312" s="1">
        <f>IFERROR(__xludf.DUMMYFUNCTION("""COMPUTED_VALUE"""),2.49)</f>
        <v>2.49</v>
      </c>
      <c r="E3312" s="1">
        <f>IFERROR(__xludf.DUMMYFUNCTION("""COMPUTED_VALUE"""),2.52)</f>
        <v>2.52</v>
      </c>
      <c r="F3312" s="1">
        <f>IFERROR(__xludf.DUMMYFUNCTION("""COMPUTED_VALUE"""),218988.0)</f>
        <v>218988</v>
      </c>
    </row>
    <row r="3313">
      <c r="A3313" s="2">
        <f>IFERROR(__xludf.DUMMYFUNCTION("""COMPUTED_VALUE"""),43973.66666666667)</f>
        <v>43973.66667</v>
      </c>
      <c r="B3313" s="1">
        <f>IFERROR(__xludf.DUMMYFUNCTION("""COMPUTED_VALUE"""),2.51)</f>
        <v>2.51</v>
      </c>
      <c r="C3313" s="1">
        <f>IFERROR(__xludf.DUMMYFUNCTION("""COMPUTED_VALUE"""),2.51)</f>
        <v>2.51</v>
      </c>
      <c r="D3313" s="1">
        <f>IFERROR(__xludf.DUMMYFUNCTION("""COMPUTED_VALUE"""),2.41)</f>
        <v>2.41</v>
      </c>
      <c r="E3313" s="1">
        <f>IFERROR(__xludf.DUMMYFUNCTION("""COMPUTED_VALUE"""),2.47)</f>
        <v>2.47</v>
      </c>
      <c r="F3313" s="1">
        <f>IFERROR(__xludf.DUMMYFUNCTION("""COMPUTED_VALUE"""),298220.0)</f>
        <v>298220</v>
      </c>
    </row>
    <row r="3314">
      <c r="A3314" s="2">
        <f>IFERROR(__xludf.DUMMYFUNCTION("""COMPUTED_VALUE"""),43977.66666666667)</f>
        <v>43977.66667</v>
      </c>
      <c r="B3314" s="1">
        <f>IFERROR(__xludf.DUMMYFUNCTION("""COMPUTED_VALUE"""),2.52)</f>
        <v>2.52</v>
      </c>
      <c r="C3314" s="1">
        <f>IFERROR(__xludf.DUMMYFUNCTION("""COMPUTED_VALUE"""),2.58)</f>
        <v>2.58</v>
      </c>
      <c r="D3314" s="1">
        <f>IFERROR(__xludf.DUMMYFUNCTION("""COMPUTED_VALUE"""),2.52)</f>
        <v>2.52</v>
      </c>
      <c r="E3314" s="1">
        <f>IFERROR(__xludf.DUMMYFUNCTION("""COMPUTED_VALUE"""),2.53)</f>
        <v>2.53</v>
      </c>
      <c r="F3314" s="1">
        <f>IFERROR(__xludf.DUMMYFUNCTION("""COMPUTED_VALUE"""),281853.0)</f>
        <v>281853</v>
      </c>
    </row>
    <row r="3315">
      <c r="A3315" s="2">
        <f>IFERROR(__xludf.DUMMYFUNCTION("""COMPUTED_VALUE"""),43978.66666666667)</f>
        <v>43978.66667</v>
      </c>
      <c r="B3315" s="1">
        <f>IFERROR(__xludf.DUMMYFUNCTION("""COMPUTED_VALUE"""),2.55)</f>
        <v>2.55</v>
      </c>
      <c r="C3315" s="1">
        <f>IFERROR(__xludf.DUMMYFUNCTION("""COMPUTED_VALUE"""),2.6)</f>
        <v>2.6</v>
      </c>
      <c r="D3315" s="1">
        <f>IFERROR(__xludf.DUMMYFUNCTION("""COMPUTED_VALUE"""),2.5)</f>
        <v>2.5</v>
      </c>
      <c r="E3315" s="1">
        <f>IFERROR(__xludf.DUMMYFUNCTION("""COMPUTED_VALUE"""),2.59)</f>
        <v>2.59</v>
      </c>
      <c r="F3315" s="1">
        <f>IFERROR(__xludf.DUMMYFUNCTION("""COMPUTED_VALUE"""),378056.0)</f>
        <v>378056</v>
      </c>
    </row>
    <row r="3316">
      <c r="A3316" s="2">
        <f>IFERROR(__xludf.DUMMYFUNCTION("""COMPUTED_VALUE"""),43979.66666666667)</f>
        <v>43979.66667</v>
      </c>
      <c r="B3316" s="1">
        <f>IFERROR(__xludf.DUMMYFUNCTION("""COMPUTED_VALUE"""),2.56)</f>
        <v>2.56</v>
      </c>
      <c r="C3316" s="1">
        <f>IFERROR(__xludf.DUMMYFUNCTION("""COMPUTED_VALUE"""),2.59)</f>
        <v>2.59</v>
      </c>
      <c r="D3316" s="1">
        <f>IFERROR(__xludf.DUMMYFUNCTION("""COMPUTED_VALUE"""),2.52)</f>
        <v>2.52</v>
      </c>
      <c r="E3316" s="1">
        <f>IFERROR(__xludf.DUMMYFUNCTION("""COMPUTED_VALUE"""),2.53)</f>
        <v>2.53</v>
      </c>
      <c r="F3316" s="1">
        <f>IFERROR(__xludf.DUMMYFUNCTION("""COMPUTED_VALUE"""),209026.0)</f>
        <v>209026</v>
      </c>
    </row>
    <row r="3317">
      <c r="A3317" s="2">
        <f>IFERROR(__xludf.DUMMYFUNCTION("""COMPUTED_VALUE"""),43980.66666666667)</f>
        <v>43980.66667</v>
      </c>
      <c r="B3317" s="1">
        <f>IFERROR(__xludf.DUMMYFUNCTION("""COMPUTED_VALUE"""),2.49)</f>
        <v>2.49</v>
      </c>
      <c r="C3317" s="1">
        <f>IFERROR(__xludf.DUMMYFUNCTION("""COMPUTED_VALUE"""),2.63)</f>
        <v>2.63</v>
      </c>
      <c r="D3317" s="1">
        <f>IFERROR(__xludf.DUMMYFUNCTION("""COMPUTED_VALUE"""),2.49)</f>
        <v>2.49</v>
      </c>
      <c r="E3317" s="1">
        <f>IFERROR(__xludf.DUMMYFUNCTION("""COMPUTED_VALUE"""),2.6)</f>
        <v>2.6</v>
      </c>
      <c r="F3317" s="1">
        <f>IFERROR(__xludf.DUMMYFUNCTION("""COMPUTED_VALUE"""),776890.0)</f>
        <v>776890</v>
      </c>
    </row>
    <row r="3318">
      <c r="A3318" s="2">
        <f>IFERROR(__xludf.DUMMYFUNCTION("""COMPUTED_VALUE"""),43983.66666666667)</f>
        <v>43983.66667</v>
      </c>
      <c r="B3318" s="1">
        <f>IFERROR(__xludf.DUMMYFUNCTION("""COMPUTED_VALUE"""),2.64)</f>
        <v>2.64</v>
      </c>
      <c r="C3318" s="1">
        <f>IFERROR(__xludf.DUMMYFUNCTION("""COMPUTED_VALUE"""),2.68)</f>
        <v>2.68</v>
      </c>
      <c r="D3318" s="1">
        <f>IFERROR(__xludf.DUMMYFUNCTION("""COMPUTED_VALUE"""),2.62)</f>
        <v>2.62</v>
      </c>
      <c r="E3318" s="1">
        <f>IFERROR(__xludf.DUMMYFUNCTION("""COMPUTED_VALUE"""),2.66)</f>
        <v>2.66</v>
      </c>
      <c r="F3318" s="1">
        <f>IFERROR(__xludf.DUMMYFUNCTION("""COMPUTED_VALUE"""),344913.0)</f>
        <v>344913</v>
      </c>
    </row>
    <row r="3319">
      <c r="A3319" s="2">
        <f>IFERROR(__xludf.DUMMYFUNCTION("""COMPUTED_VALUE"""),43984.66666666667)</f>
        <v>43984.66667</v>
      </c>
      <c r="B3319" s="1">
        <f>IFERROR(__xludf.DUMMYFUNCTION("""COMPUTED_VALUE"""),2.68)</f>
        <v>2.68</v>
      </c>
      <c r="C3319" s="1">
        <f>IFERROR(__xludf.DUMMYFUNCTION("""COMPUTED_VALUE"""),2.76)</f>
        <v>2.76</v>
      </c>
      <c r="D3319" s="1">
        <f>IFERROR(__xludf.DUMMYFUNCTION("""COMPUTED_VALUE"""),2.62)</f>
        <v>2.62</v>
      </c>
      <c r="E3319" s="1">
        <f>IFERROR(__xludf.DUMMYFUNCTION("""COMPUTED_VALUE"""),2.75)</f>
        <v>2.75</v>
      </c>
      <c r="F3319" s="1">
        <f>IFERROR(__xludf.DUMMYFUNCTION("""COMPUTED_VALUE"""),499626.0)</f>
        <v>499626</v>
      </c>
    </row>
    <row r="3320">
      <c r="A3320" s="2">
        <f>IFERROR(__xludf.DUMMYFUNCTION("""COMPUTED_VALUE"""),43985.66666666667)</f>
        <v>43985.66667</v>
      </c>
      <c r="B3320" s="1">
        <f>IFERROR(__xludf.DUMMYFUNCTION("""COMPUTED_VALUE"""),2.8)</f>
        <v>2.8</v>
      </c>
      <c r="C3320" s="1">
        <f>IFERROR(__xludf.DUMMYFUNCTION("""COMPUTED_VALUE"""),2.8)</f>
        <v>2.8</v>
      </c>
      <c r="D3320" s="1">
        <f>IFERROR(__xludf.DUMMYFUNCTION("""COMPUTED_VALUE"""),2.73)</f>
        <v>2.73</v>
      </c>
      <c r="E3320" s="1">
        <f>IFERROR(__xludf.DUMMYFUNCTION("""COMPUTED_VALUE"""),2.77)</f>
        <v>2.77</v>
      </c>
      <c r="F3320" s="1">
        <f>IFERROR(__xludf.DUMMYFUNCTION("""COMPUTED_VALUE"""),388587.0)</f>
        <v>388587</v>
      </c>
    </row>
    <row r="3321">
      <c r="A3321" s="2">
        <f>IFERROR(__xludf.DUMMYFUNCTION("""COMPUTED_VALUE"""),43986.66666666667)</f>
        <v>43986.66667</v>
      </c>
      <c r="B3321" s="1">
        <f>IFERROR(__xludf.DUMMYFUNCTION("""COMPUTED_VALUE"""),2.76)</f>
        <v>2.76</v>
      </c>
      <c r="C3321" s="1">
        <f>IFERROR(__xludf.DUMMYFUNCTION("""COMPUTED_VALUE"""),2.8)</f>
        <v>2.8</v>
      </c>
      <c r="D3321" s="1">
        <f>IFERROR(__xludf.DUMMYFUNCTION("""COMPUTED_VALUE"""),2.75)</f>
        <v>2.75</v>
      </c>
      <c r="E3321" s="1">
        <f>IFERROR(__xludf.DUMMYFUNCTION("""COMPUTED_VALUE"""),2.78)</f>
        <v>2.78</v>
      </c>
      <c r="F3321" s="1">
        <f>IFERROR(__xludf.DUMMYFUNCTION("""COMPUTED_VALUE"""),381373.0)</f>
        <v>381373</v>
      </c>
    </row>
    <row r="3322">
      <c r="A3322" s="2">
        <f>IFERROR(__xludf.DUMMYFUNCTION("""COMPUTED_VALUE"""),43987.66666666667)</f>
        <v>43987.66667</v>
      </c>
      <c r="B3322" s="1">
        <f>IFERROR(__xludf.DUMMYFUNCTION("""COMPUTED_VALUE"""),2.86)</f>
        <v>2.86</v>
      </c>
      <c r="C3322" s="1">
        <f>IFERROR(__xludf.DUMMYFUNCTION("""COMPUTED_VALUE"""),2.98)</f>
        <v>2.98</v>
      </c>
      <c r="D3322" s="1">
        <f>IFERROR(__xludf.DUMMYFUNCTION("""COMPUTED_VALUE"""),2.81)</f>
        <v>2.81</v>
      </c>
      <c r="E3322" s="1">
        <f>IFERROR(__xludf.DUMMYFUNCTION("""COMPUTED_VALUE"""),2.86)</f>
        <v>2.86</v>
      </c>
      <c r="F3322" s="1">
        <f>IFERROR(__xludf.DUMMYFUNCTION("""COMPUTED_VALUE"""),609941.0)</f>
        <v>609941</v>
      </c>
    </row>
    <row r="3323">
      <c r="A3323" s="2">
        <f>IFERROR(__xludf.DUMMYFUNCTION("""COMPUTED_VALUE"""),43990.66666666667)</f>
        <v>43990.66667</v>
      </c>
      <c r="B3323" s="1">
        <f>IFERROR(__xludf.DUMMYFUNCTION("""COMPUTED_VALUE"""),2.93)</f>
        <v>2.93</v>
      </c>
      <c r="C3323" s="1">
        <f>IFERROR(__xludf.DUMMYFUNCTION("""COMPUTED_VALUE"""),3.03)</f>
        <v>3.03</v>
      </c>
      <c r="D3323" s="1">
        <f>IFERROR(__xludf.DUMMYFUNCTION("""COMPUTED_VALUE"""),2.92)</f>
        <v>2.92</v>
      </c>
      <c r="E3323" s="1">
        <f>IFERROR(__xludf.DUMMYFUNCTION("""COMPUTED_VALUE"""),2.97)</f>
        <v>2.97</v>
      </c>
      <c r="F3323" s="1">
        <f>IFERROR(__xludf.DUMMYFUNCTION("""COMPUTED_VALUE"""),911696.0)</f>
        <v>911696</v>
      </c>
    </row>
    <row r="3324">
      <c r="A3324" s="2">
        <f>IFERROR(__xludf.DUMMYFUNCTION("""COMPUTED_VALUE"""),43991.66666666667)</f>
        <v>43991.66667</v>
      </c>
      <c r="B3324" s="1">
        <f>IFERROR(__xludf.DUMMYFUNCTION("""COMPUTED_VALUE"""),2.97)</f>
        <v>2.97</v>
      </c>
      <c r="C3324" s="1">
        <f>IFERROR(__xludf.DUMMYFUNCTION("""COMPUTED_VALUE"""),3.01)</f>
        <v>3.01</v>
      </c>
      <c r="D3324" s="1">
        <f>IFERROR(__xludf.DUMMYFUNCTION("""COMPUTED_VALUE"""),2.91)</f>
        <v>2.91</v>
      </c>
      <c r="E3324" s="1">
        <f>IFERROR(__xludf.DUMMYFUNCTION("""COMPUTED_VALUE"""),2.96)</f>
        <v>2.96</v>
      </c>
      <c r="F3324" s="1">
        <f>IFERROR(__xludf.DUMMYFUNCTION("""COMPUTED_VALUE"""),388689.0)</f>
        <v>388689</v>
      </c>
    </row>
    <row r="3325">
      <c r="A3325" s="2">
        <f>IFERROR(__xludf.DUMMYFUNCTION("""COMPUTED_VALUE"""),43992.66666666667)</f>
        <v>43992.66667</v>
      </c>
      <c r="B3325" s="1">
        <f>IFERROR(__xludf.DUMMYFUNCTION("""COMPUTED_VALUE"""),2.97)</f>
        <v>2.97</v>
      </c>
      <c r="C3325" s="1">
        <f>IFERROR(__xludf.DUMMYFUNCTION("""COMPUTED_VALUE"""),2.99)</f>
        <v>2.99</v>
      </c>
      <c r="D3325" s="1">
        <f>IFERROR(__xludf.DUMMYFUNCTION("""COMPUTED_VALUE"""),2.86)</f>
        <v>2.86</v>
      </c>
      <c r="E3325" s="1">
        <f>IFERROR(__xludf.DUMMYFUNCTION("""COMPUTED_VALUE"""),2.91)</f>
        <v>2.91</v>
      </c>
      <c r="F3325" s="1">
        <f>IFERROR(__xludf.DUMMYFUNCTION("""COMPUTED_VALUE"""),358871.0)</f>
        <v>358871</v>
      </c>
    </row>
    <row r="3326">
      <c r="A3326" s="2">
        <f>IFERROR(__xludf.DUMMYFUNCTION("""COMPUTED_VALUE"""),43993.66666666667)</f>
        <v>43993.66667</v>
      </c>
      <c r="B3326" s="1">
        <f>IFERROR(__xludf.DUMMYFUNCTION("""COMPUTED_VALUE"""),2.88)</f>
        <v>2.88</v>
      </c>
      <c r="C3326" s="1">
        <f>IFERROR(__xludf.DUMMYFUNCTION("""COMPUTED_VALUE"""),2.89)</f>
        <v>2.89</v>
      </c>
      <c r="D3326" s="1">
        <f>IFERROR(__xludf.DUMMYFUNCTION("""COMPUTED_VALUE"""),2.77)</f>
        <v>2.77</v>
      </c>
      <c r="E3326" s="1">
        <f>IFERROR(__xludf.DUMMYFUNCTION("""COMPUTED_VALUE"""),2.8)</f>
        <v>2.8</v>
      </c>
      <c r="F3326" s="1">
        <f>IFERROR(__xludf.DUMMYFUNCTION("""COMPUTED_VALUE"""),765058.0)</f>
        <v>765058</v>
      </c>
    </row>
    <row r="3327">
      <c r="A3327" s="2">
        <f>IFERROR(__xludf.DUMMYFUNCTION("""COMPUTED_VALUE"""),43994.66666666667)</f>
        <v>43994.66667</v>
      </c>
      <c r="B3327" s="1">
        <f>IFERROR(__xludf.DUMMYFUNCTION("""COMPUTED_VALUE"""),2.86)</f>
        <v>2.86</v>
      </c>
      <c r="C3327" s="1">
        <f>IFERROR(__xludf.DUMMYFUNCTION("""COMPUTED_VALUE"""),2.95)</f>
        <v>2.95</v>
      </c>
      <c r="D3327" s="1">
        <f>IFERROR(__xludf.DUMMYFUNCTION("""COMPUTED_VALUE"""),2.82)</f>
        <v>2.82</v>
      </c>
      <c r="E3327" s="1">
        <f>IFERROR(__xludf.DUMMYFUNCTION("""COMPUTED_VALUE"""),2.92)</f>
        <v>2.92</v>
      </c>
      <c r="F3327" s="1">
        <f>IFERROR(__xludf.DUMMYFUNCTION("""COMPUTED_VALUE"""),419613.0)</f>
        <v>419613</v>
      </c>
    </row>
    <row r="3328">
      <c r="A3328" s="2">
        <f>IFERROR(__xludf.DUMMYFUNCTION("""COMPUTED_VALUE"""),43997.66666666667)</f>
        <v>43997.66667</v>
      </c>
      <c r="B3328" s="1">
        <f>IFERROR(__xludf.DUMMYFUNCTION("""COMPUTED_VALUE"""),2.95)</f>
        <v>2.95</v>
      </c>
      <c r="C3328" s="1">
        <f>IFERROR(__xludf.DUMMYFUNCTION("""COMPUTED_VALUE"""),3.15)</f>
        <v>3.15</v>
      </c>
      <c r="D3328" s="1">
        <f>IFERROR(__xludf.DUMMYFUNCTION("""COMPUTED_VALUE"""),2.94)</f>
        <v>2.94</v>
      </c>
      <c r="E3328" s="1">
        <f>IFERROR(__xludf.DUMMYFUNCTION("""COMPUTED_VALUE"""),3.13)</f>
        <v>3.13</v>
      </c>
      <c r="F3328" s="1">
        <f>IFERROR(__xludf.DUMMYFUNCTION("""COMPUTED_VALUE"""),1543850.0)</f>
        <v>1543850</v>
      </c>
    </row>
    <row r="3329">
      <c r="A3329" s="2">
        <f>IFERROR(__xludf.DUMMYFUNCTION("""COMPUTED_VALUE"""),43998.66666666667)</f>
        <v>43998.66667</v>
      </c>
      <c r="B3329" s="1">
        <f>IFERROR(__xludf.DUMMYFUNCTION("""COMPUTED_VALUE"""),3.15)</f>
        <v>3.15</v>
      </c>
      <c r="C3329" s="1">
        <f>IFERROR(__xludf.DUMMYFUNCTION("""COMPUTED_VALUE"""),3.25)</f>
        <v>3.25</v>
      </c>
      <c r="D3329" s="1">
        <f>IFERROR(__xludf.DUMMYFUNCTION("""COMPUTED_VALUE"""),3.07)</f>
        <v>3.07</v>
      </c>
      <c r="E3329" s="1">
        <f>IFERROR(__xludf.DUMMYFUNCTION("""COMPUTED_VALUE"""),3.12)</f>
        <v>3.12</v>
      </c>
      <c r="F3329" s="1">
        <f>IFERROR(__xludf.DUMMYFUNCTION("""COMPUTED_VALUE"""),843527.0)</f>
        <v>843527</v>
      </c>
    </row>
    <row r="3330">
      <c r="A3330" s="2">
        <f>IFERROR(__xludf.DUMMYFUNCTION("""COMPUTED_VALUE"""),43999.66666666667)</f>
        <v>43999.66667</v>
      </c>
      <c r="B3330" s="1">
        <f>IFERROR(__xludf.DUMMYFUNCTION("""COMPUTED_VALUE"""),3.14)</f>
        <v>3.14</v>
      </c>
      <c r="C3330" s="1">
        <f>IFERROR(__xludf.DUMMYFUNCTION("""COMPUTED_VALUE"""),3.25)</f>
        <v>3.25</v>
      </c>
      <c r="D3330" s="1">
        <f>IFERROR(__xludf.DUMMYFUNCTION("""COMPUTED_VALUE"""),3.14)</f>
        <v>3.14</v>
      </c>
      <c r="E3330" s="1">
        <f>IFERROR(__xludf.DUMMYFUNCTION("""COMPUTED_VALUE"""),3.18)</f>
        <v>3.18</v>
      </c>
      <c r="F3330" s="1">
        <f>IFERROR(__xludf.DUMMYFUNCTION("""COMPUTED_VALUE"""),1673298.0)</f>
        <v>1673298</v>
      </c>
    </row>
    <row r="3331">
      <c r="A3331" s="2">
        <f>IFERROR(__xludf.DUMMYFUNCTION("""COMPUTED_VALUE"""),44000.66666666667)</f>
        <v>44000.66667</v>
      </c>
      <c r="B3331" s="1">
        <f>IFERROR(__xludf.DUMMYFUNCTION("""COMPUTED_VALUE"""),3.15)</f>
        <v>3.15</v>
      </c>
      <c r="C3331" s="1">
        <f>IFERROR(__xludf.DUMMYFUNCTION("""COMPUTED_VALUE"""),3.2)</f>
        <v>3.2</v>
      </c>
      <c r="D3331" s="1">
        <f>IFERROR(__xludf.DUMMYFUNCTION("""COMPUTED_VALUE"""),3.08)</f>
        <v>3.08</v>
      </c>
      <c r="E3331" s="1">
        <f>IFERROR(__xludf.DUMMYFUNCTION("""COMPUTED_VALUE"""),3.14)</f>
        <v>3.14</v>
      </c>
      <c r="F3331" s="1">
        <f>IFERROR(__xludf.DUMMYFUNCTION("""COMPUTED_VALUE"""),1293580.0)</f>
        <v>1293580</v>
      </c>
    </row>
    <row r="3332">
      <c r="A3332" s="2">
        <f>IFERROR(__xludf.DUMMYFUNCTION("""COMPUTED_VALUE"""),44001.66666666667)</f>
        <v>44001.66667</v>
      </c>
      <c r="B3332" s="1">
        <f>IFERROR(__xludf.DUMMYFUNCTION("""COMPUTED_VALUE"""),3.19)</f>
        <v>3.19</v>
      </c>
      <c r="C3332" s="1">
        <f>IFERROR(__xludf.DUMMYFUNCTION("""COMPUTED_VALUE"""),3.33)</f>
        <v>3.33</v>
      </c>
      <c r="D3332" s="1">
        <f>IFERROR(__xludf.DUMMYFUNCTION("""COMPUTED_VALUE"""),3.18)</f>
        <v>3.18</v>
      </c>
      <c r="E3332" s="1">
        <f>IFERROR(__xludf.DUMMYFUNCTION("""COMPUTED_VALUE"""),3.23)</f>
        <v>3.23</v>
      </c>
      <c r="F3332" s="1">
        <f>IFERROR(__xludf.DUMMYFUNCTION("""COMPUTED_VALUE"""),4284257.0)</f>
        <v>4284257</v>
      </c>
    </row>
    <row r="3333">
      <c r="A3333" s="2">
        <f>IFERROR(__xludf.DUMMYFUNCTION("""COMPUTED_VALUE"""),44004.66666666667)</f>
        <v>44004.66667</v>
      </c>
      <c r="B3333" s="1">
        <f>IFERROR(__xludf.DUMMYFUNCTION("""COMPUTED_VALUE"""),3.24)</f>
        <v>3.24</v>
      </c>
      <c r="C3333" s="1">
        <f>IFERROR(__xludf.DUMMYFUNCTION("""COMPUTED_VALUE"""),3.24)</f>
        <v>3.24</v>
      </c>
      <c r="D3333" s="1">
        <f>IFERROR(__xludf.DUMMYFUNCTION("""COMPUTED_VALUE"""),3.05)</f>
        <v>3.05</v>
      </c>
      <c r="E3333" s="1">
        <f>IFERROR(__xludf.DUMMYFUNCTION("""COMPUTED_VALUE"""),3.1)</f>
        <v>3.1</v>
      </c>
      <c r="F3333" s="1">
        <f>IFERROR(__xludf.DUMMYFUNCTION("""COMPUTED_VALUE"""),1182615.0)</f>
        <v>1182615</v>
      </c>
    </row>
    <row r="3334">
      <c r="A3334" s="2">
        <f>IFERROR(__xludf.DUMMYFUNCTION("""COMPUTED_VALUE"""),44005.66666666667)</f>
        <v>44005.66667</v>
      </c>
      <c r="B3334" s="1">
        <f>IFERROR(__xludf.DUMMYFUNCTION("""COMPUTED_VALUE"""),3.13)</f>
        <v>3.13</v>
      </c>
      <c r="C3334" s="1">
        <f>IFERROR(__xludf.DUMMYFUNCTION("""COMPUTED_VALUE"""),3.19)</f>
        <v>3.19</v>
      </c>
      <c r="D3334" s="1">
        <f>IFERROR(__xludf.DUMMYFUNCTION("""COMPUTED_VALUE"""),3.1)</f>
        <v>3.1</v>
      </c>
      <c r="E3334" s="1">
        <f>IFERROR(__xludf.DUMMYFUNCTION("""COMPUTED_VALUE"""),3.13)</f>
        <v>3.13</v>
      </c>
      <c r="F3334" s="1">
        <f>IFERROR(__xludf.DUMMYFUNCTION("""COMPUTED_VALUE"""),1397388.0)</f>
        <v>1397388</v>
      </c>
    </row>
    <row r="3335">
      <c r="A3335" s="2">
        <f>IFERROR(__xludf.DUMMYFUNCTION("""COMPUTED_VALUE"""),44006.66666666667)</f>
        <v>44006.66667</v>
      </c>
      <c r="B3335" s="1">
        <f>IFERROR(__xludf.DUMMYFUNCTION("""COMPUTED_VALUE"""),3.15)</f>
        <v>3.15</v>
      </c>
      <c r="C3335" s="1">
        <f>IFERROR(__xludf.DUMMYFUNCTION("""COMPUTED_VALUE"""),3.17)</f>
        <v>3.17</v>
      </c>
      <c r="D3335" s="1">
        <f>IFERROR(__xludf.DUMMYFUNCTION("""COMPUTED_VALUE"""),3.02)</f>
        <v>3.02</v>
      </c>
      <c r="E3335" s="1">
        <f>IFERROR(__xludf.DUMMYFUNCTION("""COMPUTED_VALUE"""),3.06)</f>
        <v>3.06</v>
      </c>
      <c r="F3335" s="1">
        <f>IFERROR(__xludf.DUMMYFUNCTION("""COMPUTED_VALUE"""),643834.0)</f>
        <v>643834</v>
      </c>
    </row>
    <row r="3336">
      <c r="A3336" s="2">
        <f>IFERROR(__xludf.DUMMYFUNCTION("""COMPUTED_VALUE"""),44007.66666666667)</f>
        <v>44007.66667</v>
      </c>
      <c r="B3336" s="1">
        <f>IFERROR(__xludf.DUMMYFUNCTION("""COMPUTED_VALUE"""),3.07)</f>
        <v>3.07</v>
      </c>
      <c r="C3336" s="1">
        <f>IFERROR(__xludf.DUMMYFUNCTION("""COMPUTED_VALUE"""),3.18)</f>
        <v>3.18</v>
      </c>
      <c r="D3336" s="1">
        <f>IFERROR(__xludf.DUMMYFUNCTION("""COMPUTED_VALUE"""),3.05)</f>
        <v>3.05</v>
      </c>
      <c r="E3336" s="1">
        <f>IFERROR(__xludf.DUMMYFUNCTION("""COMPUTED_VALUE"""),3.1)</f>
        <v>3.1</v>
      </c>
      <c r="F3336" s="1">
        <f>IFERROR(__xludf.DUMMYFUNCTION("""COMPUTED_VALUE"""),948973.0)</f>
        <v>948973</v>
      </c>
    </row>
    <row r="3337">
      <c r="A3337" s="2">
        <f>IFERROR(__xludf.DUMMYFUNCTION("""COMPUTED_VALUE"""),44008.66666666667)</f>
        <v>44008.66667</v>
      </c>
      <c r="B3337" s="1">
        <f>IFERROR(__xludf.DUMMYFUNCTION("""COMPUTED_VALUE"""),3.09)</f>
        <v>3.09</v>
      </c>
      <c r="C3337" s="1">
        <f>IFERROR(__xludf.DUMMYFUNCTION("""COMPUTED_VALUE"""),3.14)</f>
        <v>3.14</v>
      </c>
      <c r="D3337" s="1">
        <f>IFERROR(__xludf.DUMMYFUNCTION("""COMPUTED_VALUE"""),2.76)</f>
        <v>2.76</v>
      </c>
      <c r="E3337" s="1">
        <f>IFERROR(__xludf.DUMMYFUNCTION("""COMPUTED_VALUE"""),2.81)</f>
        <v>2.81</v>
      </c>
      <c r="F3337" s="1">
        <f>IFERROR(__xludf.DUMMYFUNCTION("""COMPUTED_VALUE"""),6582702.0)</f>
        <v>6582702</v>
      </c>
    </row>
    <row r="3338">
      <c r="A3338" s="2">
        <f>IFERROR(__xludf.DUMMYFUNCTION("""COMPUTED_VALUE"""),44011.66666666667)</f>
        <v>44011.66667</v>
      </c>
      <c r="B3338" s="1">
        <f>IFERROR(__xludf.DUMMYFUNCTION("""COMPUTED_VALUE"""),2.82)</f>
        <v>2.82</v>
      </c>
      <c r="C3338" s="1">
        <f>IFERROR(__xludf.DUMMYFUNCTION("""COMPUTED_VALUE"""),2.84)</f>
        <v>2.84</v>
      </c>
      <c r="D3338" s="1">
        <f>IFERROR(__xludf.DUMMYFUNCTION("""COMPUTED_VALUE"""),2.75)</f>
        <v>2.75</v>
      </c>
      <c r="E3338" s="1">
        <f>IFERROR(__xludf.DUMMYFUNCTION("""COMPUTED_VALUE"""),2.82)</f>
        <v>2.82</v>
      </c>
      <c r="F3338" s="1">
        <f>IFERROR(__xludf.DUMMYFUNCTION("""COMPUTED_VALUE"""),625436.0)</f>
        <v>625436</v>
      </c>
    </row>
    <row r="3339">
      <c r="A3339" s="2">
        <f>IFERROR(__xludf.DUMMYFUNCTION("""COMPUTED_VALUE"""),44012.66666666667)</f>
        <v>44012.66667</v>
      </c>
      <c r="B3339" s="1">
        <f>IFERROR(__xludf.DUMMYFUNCTION("""COMPUTED_VALUE"""),2.85)</f>
        <v>2.85</v>
      </c>
      <c r="C3339" s="1">
        <f>IFERROR(__xludf.DUMMYFUNCTION("""COMPUTED_VALUE"""),2.86)</f>
        <v>2.86</v>
      </c>
      <c r="D3339" s="1">
        <f>IFERROR(__xludf.DUMMYFUNCTION("""COMPUTED_VALUE"""),2.75)</f>
        <v>2.75</v>
      </c>
      <c r="E3339" s="1">
        <f>IFERROR(__xludf.DUMMYFUNCTION("""COMPUTED_VALUE"""),2.84)</f>
        <v>2.84</v>
      </c>
      <c r="F3339" s="1">
        <f>IFERROR(__xludf.DUMMYFUNCTION("""COMPUTED_VALUE"""),1040306.0)</f>
        <v>1040306</v>
      </c>
    </row>
    <row r="3340">
      <c r="A3340" s="2">
        <f>IFERROR(__xludf.DUMMYFUNCTION("""COMPUTED_VALUE"""),44013.66666666667)</f>
        <v>44013.66667</v>
      </c>
      <c r="B3340" s="1">
        <f>IFERROR(__xludf.DUMMYFUNCTION("""COMPUTED_VALUE"""),2.84)</f>
        <v>2.84</v>
      </c>
      <c r="C3340" s="1">
        <f>IFERROR(__xludf.DUMMYFUNCTION("""COMPUTED_VALUE"""),2.84)</f>
        <v>2.84</v>
      </c>
      <c r="D3340" s="1">
        <f>IFERROR(__xludf.DUMMYFUNCTION("""COMPUTED_VALUE"""),2.74)</f>
        <v>2.74</v>
      </c>
      <c r="E3340" s="1">
        <f>IFERROR(__xludf.DUMMYFUNCTION("""COMPUTED_VALUE"""),2.79)</f>
        <v>2.79</v>
      </c>
      <c r="F3340" s="1">
        <f>IFERROR(__xludf.DUMMYFUNCTION("""COMPUTED_VALUE"""),792172.0)</f>
        <v>792172</v>
      </c>
    </row>
    <row r="3341">
      <c r="A3341" s="2">
        <f>IFERROR(__xludf.DUMMYFUNCTION("""COMPUTED_VALUE"""),44014.66666666667)</f>
        <v>44014.66667</v>
      </c>
      <c r="B3341" s="1">
        <f>IFERROR(__xludf.DUMMYFUNCTION("""COMPUTED_VALUE"""),2.84)</f>
        <v>2.84</v>
      </c>
      <c r="C3341" s="1">
        <f>IFERROR(__xludf.DUMMYFUNCTION("""COMPUTED_VALUE"""),2.87)</f>
        <v>2.87</v>
      </c>
      <c r="D3341" s="1">
        <f>IFERROR(__xludf.DUMMYFUNCTION("""COMPUTED_VALUE"""),2.73)</f>
        <v>2.73</v>
      </c>
      <c r="E3341" s="1">
        <f>IFERROR(__xludf.DUMMYFUNCTION("""COMPUTED_VALUE"""),2.75)</f>
        <v>2.75</v>
      </c>
      <c r="F3341" s="1">
        <f>IFERROR(__xludf.DUMMYFUNCTION("""COMPUTED_VALUE"""),420774.0)</f>
        <v>420774</v>
      </c>
    </row>
    <row r="3342">
      <c r="A3342" s="2">
        <f>IFERROR(__xludf.DUMMYFUNCTION("""COMPUTED_VALUE"""),44018.66666666667)</f>
        <v>44018.66667</v>
      </c>
      <c r="B3342" s="1">
        <f>IFERROR(__xludf.DUMMYFUNCTION("""COMPUTED_VALUE"""),2.8)</f>
        <v>2.8</v>
      </c>
      <c r="C3342" s="1">
        <f>IFERROR(__xludf.DUMMYFUNCTION("""COMPUTED_VALUE"""),2.84)</f>
        <v>2.84</v>
      </c>
      <c r="D3342" s="1">
        <f>IFERROR(__xludf.DUMMYFUNCTION("""COMPUTED_VALUE"""),2.78)</f>
        <v>2.78</v>
      </c>
      <c r="E3342" s="1">
        <f>IFERROR(__xludf.DUMMYFUNCTION("""COMPUTED_VALUE"""),2.8)</f>
        <v>2.8</v>
      </c>
      <c r="F3342" s="1">
        <f>IFERROR(__xludf.DUMMYFUNCTION("""COMPUTED_VALUE"""),488949.0)</f>
        <v>488949</v>
      </c>
    </row>
    <row r="3343">
      <c r="A3343" s="2">
        <f>IFERROR(__xludf.DUMMYFUNCTION("""COMPUTED_VALUE"""),44019.66666666667)</f>
        <v>44019.66667</v>
      </c>
      <c r="B3343" s="1">
        <f>IFERROR(__xludf.DUMMYFUNCTION("""COMPUTED_VALUE"""),2.77)</f>
        <v>2.77</v>
      </c>
      <c r="C3343" s="1">
        <f>IFERROR(__xludf.DUMMYFUNCTION("""COMPUTED_VALUE"""),2.8)</f>
        <v>2.8</v>
      </c>
      <c r="D3343" s="1">
        <f>IFERROR(__xludf.DUMMYFUNCTION("""COMPUTED_VALUE"""),2.73)</f>
        <v>2.73</v>
      </c>
      <c r="E3343" s="1">
        <f>IFERROR(__xludf.DUMMYFUNCTION("""COMPUTED_VALUE"""),2.75)</f>
        <v>2.75</v>
      </c>
      <c r="F3343" s="1">
        <f>IFERROR(__xludf.DUMMYFUNCTION("""COMPUTED_VALUE"""),445364.0)</f>
        <v>445364</v>
      </c>
    </row>
    <row r="3344">
      <c r="A3344" s="2">
        <f>IFERROR(__xludf.DUMMYFUNCTION("""COMPUTED_VALUE"""),44020.66666666667)</f>
        <v>44020.66667</v>
      </c>
      <c r="B3344" s="1">
        <f>IFERROR(__xludf.DUMMYFUNCTION("""COMPUTED_VALUE"""),2.77)</f>
        <v>2.77</v>
      </c>
      <c r="C3344" s="1">
        <f>IFERROR(__xludf.DUMMYFUNCTION("""COMPUTED_VALUE"""),2.83)</f>
        <v>2.83</v>
      </c>
      <c r="D3344" s="1">
        <f>IFERROR(__xludf.DUMMYFUNCTION("""COMPUTED_VALUE"""),2.74)</f>
        <v>2.74</v>
      </c>
      <c r="E3344" s="1">
        <f>IFERROR(__xludf.DUMMYFUNCTION("""COMPUTED_VALUE"""),2.82)</f>
        <v>2.82</v>
      </c>
      <c r="F3344" s="1">
        <f>IFERROR(__xludf.DUMMYFUNCTION("""COMPUTED_VALUE"""),438022.0)</f>
        <v>438022</v>
      </c>
    </row>
    <row r="3345">
      <c r="A3345" s="2">
        <f>IFERROR(__xludf.DUMMYFUNCTION("""COMPUTED_VALUE"""),44021.66666666667)</f>
        <v>44021.66667</v>
      </c>
      <c r="B3345" s="1">
        <f>IFERROR(__xludf.DUMMYFUNCTION("""COMPUTED_VALUE"""),2.82)</f>
        <v>2.82</v>
      </c>
      <c r="C3345" s="1">
        <f>IFERROR(__xludf.DUMMYFUNCTION("""COMPUTED_VALUE"""),2.86)</f>
        <v>2.86</v>
      </c>
      <c r="D3345" s="1">
        <f>IFERROR(__xludf.DUMMYFUNCTION("""COMPUTED_VALUE"""),2.75)</f>
        <v>2.75</v>
      </c>
      <c r="E3345" s="1">
        <f>IFERROR(__xludf.DUMMYFUNCTION("""COMPUTED_VALUE"""),2.77)</f>
        <v>2.77</v>
      </c>
      <c r="F3345" s="1">
        <f>IFERROR(__xludf.DUMMYFUNCTION("""COMPUTED_VALUE"""),462617.0)</f>
        <v>462617</v>
      </c>
    </row>
    <row r="3346">
      <c r="A3346" s="2">
        <f>IFERROR(__xludf.DUMMYFUNCTION("""COMPUTED_VALUE"""),44022.66666666667)</f>
        <v>44022.66667</v>
      </c>
      <c r="B3346" s="1">
        <f>IFERROR(__xludf.DUMMYFUNCTION("""COMPUTED_VALUE"""),2.78)</f>
        <v>2.78</v>
      </c>
      <c r="C3346" s="1">
        <f>IFERROR(__xludf.DUMMYFUNCTION("""COMPUTED_VALUE"""),2.8)</f>
        <v>2.8</v>
      </c>
      <c r="D3346" s="1">
        <f>IFERROR(__xludf.DUMMYFUNCTION("""COMPUTED_VALUE"""),2.74)</f>
        <v>2.74</v>
      </c>
      <c r="E3346" s="1">
        <f>IFERROR(__xludf.DUMMYFUNCTION("""COMPUTED_VALUE"""),2.76)</f>
        <v>2.76</v>
      </c>
      <c r="F3346" s="1">
        <f>IFERROR(__xludf.DUMMYFUNCTION("""COMPUTED_VALUE"""),303888.0)</f>
        <v>303888</v>
      </c>
    </row>
    <row r="3347">
      <c r="A3347" s="2">
        <f>IFERROR(__xludf.DUMMYFUNCTION("""COMPUTED_VALUE"""),44025.66666666667)</f>
        <v>44025.66667</v>
      </c>
      <c r="B3347" s="1">
        <f>IFERROR(__xludf.DUMMYFUNCTION("""COMPUTED_VALUE"""),2.82)</f>
        <v>2.82</v>
      </c>
      <c r="C3347" s="1">
        <f>IFERROR(__xludf.DUMMYFUNCTION("""COMPUTED_VALUE"""),2.82)</f>
        <v>2.82</v>
      </c>
      <c r="D3347" s="1">
        <f>IFERROR(__xludf.DUMMYFUNCTION("""COMPUTED_VALUE"""),2.71)</f>
        <v>2.71</v>
      </c>
      <c r="E3347" s="1">
        <f>IFERROR(__xludf.DUMMYFUNCTION("""COMPUTED_VALUE"""),2.71)</f>
        <v>2.71</v>
      </c>
      <c r="F3347" s="1">
        <f>IFERROR(__xludf.DUMMYFUNCTION("""COMPUTED_VALUE"""),319419.0)</f>
        <v>319419</v>
      </c>
    </row>
    <row r="3348">
      <c r="A3348" s="2">
        <f>IFERROR(__xludf.DUMMYFUNCTION("""COMPUTED_VALUE"""),44026.66666666667)</f>
        <v>44026.66667</v>
      </c>
      <c r="B3348" s="1">
        <f>IFERROR(__xludf.DUMMYFUNCTION("""COMPUTED_VALUE"""),2.7)</f>
        <v>2.7</v>
      </c>
      <c r="C3348" s="1">
        <f>IFERROR(__xludf.DUMMYFUNCTION("""COMPUTED_VALUE"""),2.79)</f>
        <v>2.79</v>
      </c>
      <c r="D3348" s="1">
        <f>IFERROR(__xludf.DUMMYFUNCTION("""COMPUTED_VALUE"""),2.66)</f>
        <v>2.66</v>
      </c>
      <c r="E3348" s="1">
        <f>IFERROR(__xludf.DUMMYFUNCTION("""COMPUTED_VALUE"""),2.77)</f>
        <v>2.77</v>
      </c>
      <c r="F3348" s="1">
        <f>IFERROR(__xludf.DUMMYFUNCTION("""COMPUTED_VALUE"""),541725.0)</f>
        <v>541725</v>
      </c>
    </row>
    <row r="3349">
      <c r="A3349" s="2">
        <f>IFERROR(__xludf.DUMMYFUNCTION("""COMPUTED_VALUE"""),44027.66666666667)</f>
        <v>44027.66667</v>
      </c>
      <c r="B3349" s="1">
        <f>IFERROR(__xludf.DUMMYFUNCTION("""COMPUTED_VALUE"""),2.81)</f>
        <v>2.81</v>
      </c>
      <c r="C3349" s="1">
        <f>IFERROR(__xludf.DUMMYFUNCTION("""COMPUTED_VALUE"""),2.84)</f>
        <v>2.84</v>
      </c>
      <c r="D3349" s="1">
        <f>IFERROR(__xludf.DUMMYFUNCTION("""COMPUTED_VALUE"""),2.74)</f>
        <v>2.74</v>
      </c>
      <c r="E3349" s="1">
        <f>IFERROR(__xludf.DUMMYFUNCTION("""COMPUTED_VALUE"""),2.79)</f>
        <v>2.79</v>
      </c>
      <c r="F3349" s="1">
        <f>IFERROR(__xludf.DUMMYFUNCTION("""COMPUTED_VALUE"""),237709.0)</f>
        <v>237709</v>
      </c>
    </row>
    <row r="3350">
      <c r="A3350" s="2">
        <f>IFERROR(__xludf.DUMMYFUNCTION("""COMPUTED_VALUE"""),44028.66666666667)</f>
        <v>44028.66667</v>
      </c>
      <c r="B3350" s="1">
        <f>IFERROR(__xludf.DUMMYFUNCTION("""COMPUTED_VALUE"""),2.77)</f>
        <v>2.77</v>
      </c>
      <c r="C3350" s="1">
        <f>IFERROR(__xludf.DUMMYFUNCTION("""COMPUTED_VALUE"""),2.82)</f>
        <v>2.82</v>
      </c>
      <c r="D3350" s="1">
        <f>IFERROR(__xludf.DUMMYFUNCTION("""COMPUTED_VALUE"""),2.75)</f>
        <v>2.75</v>
      </c>
      <c r="E3350" s="1">
        <f>IFERROR(__xludf.DUMMYFUNCTION("""COMPUTED_VALUE"""),2.81)</f>
        <v>2.81</v>
      </c>
      <c r="F3350" s="1">
        <f>IFERROR(__xludf.DUMMYFUNCTION("""COMPUTED_VALUE"""),195679.0)</f>
        <v>195679</v>
      </c>
    </row>
    <row r="3351">
      <c r="A3351" s="2">
        <f>IFERROR(__xludf.DUMMYFUNCTION("""COMPUTED_VALUE"""),44029.66666666667)</f>
        <v>44029.66667</v>
      </c>
      <c r="B3351" s="1">
        <f>IFERROR(__xludf.DUMMYFUNCTION("""COMPUTED_VALUE"""),2.81)</f>
        <v>2.81</v>
      </c>
      <c r="C3351" s="1">
        <f>IFERROR(__xludf.DUMMYFUNCTION("""COMPUTED_VALUE"""),2.89)</f>
        <v>2.89</v>
      </c>
      <c r="D3351" s="1">
        <f>IFERROR(__xludf.DUMMYFUNCTION("""COMPUTED_VALUE"""),2.8)</f>
        <v>2.8</v>
      </c>
      <c r="E3351" s="1">
        <f>IFERROR(__xludf.DUMMYFUNCTION("""COMPUTED_VALUE"""),2.84)</f>
        <v>2.84</v>
      </c>
      <c r="F3351" s="1">
        <f>IFERROR(__xludf.DUMMYFUNCTION("""COMPUTED_VALUE"""),224588.0)</f>
        <v>224588</v>
      </c>
    </row>
    <row r="3352">
      <c r="A3352" s="2">
        <f>IFERROR(__xludf.DUMMYFUNCTION("""COMPUTED_VALUE"""),44032.66666666667)</f>
        <v>44032.66667</v>
      </c>
      <c r="B3352" s="1">
        <f>IFERROR(__xludf.DUMMYFUNCTION("""COMPUTED_VALUE"""),2.85)</f>
        <v>2.85</v>
      </c>
      <c r="C3352" s="1">
        <f>IFERROR(__xludf.DUMMYFUNCTION("""COMPUTED_VALUE"""),2.88)</f>
        <v>2.88</v>
      </c>
      <c r="D3352" s="1">
        <f>IFERROR(__xludf.DUMMYFUNCTION("""COMPUTED_VALUE"""),2.81)</f>
        <v>2.81</v>
      </c>
      <c r="E3352" s="1">
        <f>IFERROR(__xludf.DUMMYFUNCTION("""COMPUTED_VALUE"""),2.87)</f>
        <v>2.87</v>
      </c>
      <c r="F3352" s="1">
        <f>IFERROR(__xludf.DUMMYFUNCTION("""COMPUTED_VALUE"""),260632.0)</f>
        <v>260632</v>
      </c>
    </row>
    <row r="3353">
      <c r="A3353" s="2">
        <f>IFERROR(__xludf.DUMMYFUNCTION("""COMPUTED_VALUE"""),44033.66666666667)</f>
        <v>44033.66667</v>
      </c>
      <c r="B3353" s="1">
        <f>IFERROR(__xludf.DUMMYFUNCTION("""COMPUTED_VALUE"""),2.88)</f>
        <v>2.88</v>
      </c>
      <c r="C3353" s="1">
        <f>IFERROR(__xludf.DUMMYFUNCTION("""COMPUTED_VALUE"""),2.88)</f>
        <v>2.88</v>
      </c>
      <c r="D3353" s="1">
        <f>IFERROR(__xludf.DUMMYFUNCTION("""COMPUTED_VALUE"""),2.79)</f>
        <v>2.79</v>
      </c>
      <c r="E3353" s="1">
        <f>IFERROR(__xludf.DUMMYFUNCTION("""COMPUTED_VALUE"""),2.81)</f>
        <v>2.81</v>
      </c>
      <c r="F3353" s="1">
        <f>IFERROR(__xludf.DUMMYFUNCTION("""COMPUTED_VALUE"""),353275.0)</f>
        <v>353275</v>
      </c>
    </row>
    <row r="3354">
      <c r="A3354" s="2">
        <f>IFERROR(__xludf.DUMMYFUNCTION("""COMPUTED_VALUE"""),44034.66666666667)</f>
        <v>44034.66667</v>
      </c>
      <c r="B3354" s="1">
        <f>IFERROR(__xludf.DUMMYFUNCTION("""COMPUTED_VALUE"""),2.8)</f>
        <v>2.8</v>
      </c>
      <c r="C3354" s="1">
        <f>IFERROR(__xludf.DUMMYFUNCTION("""COMPUTED_VALUE"""),2.84)</f>
        <v>2.84</v>
      </c>
      <c r="D3354" s="1">
        <f>IFERROR(__xludf.DUMMYFUNCTION("""COMPUTED_VALUE"""),2.77)</f>
        <v>2.77</v>
      </c>
      <c r="E3354" s="1">
        <f>IFERROR(__xludf.DUMMYFUNCTION("""COMPUTED_VALUE"""),2.8)</f>
        <v>2.8</v>
      </c>
      <c r="F3354" s="1">
        <f>IFERROR(__xludf.DUMMYFUNCTION("""COMPUTED_VALUE"""),412917.0)</f>
        <v>412917</v>
      </c>
    </row>
    <row r="3355">
      <c r="A3355" s="2">
        <f>IFERROR(__xludf.DUMMYFUNCTION("""COMPUTED_VALUE"""),44035.66666666667)</f>
        <v>44035.66667</v>
      </c>
      <c r="B3355" s="1">
        <f>IFERROR(__xludf.DUMMYFUNCTION("""COMPUTED_VALUE"""),2.8)</f>
        <v>2.8</v>
      </c>
      <c r="C3355" s="1">
        <f>IFERROR(__xludf.DUMMYFUNCTION("""COMPUTED_VALUE"""),2.83)</f>
        <v>2.83</v>
      </c>
      <c r="D3355" s="1">
        <f>IFERROR(__xludf.DUMMYFUNCTION("""COMPUTED_VALUE"""),2.73)</f>
        <v>2.73</v>
      </c>
      <c r="E3355" s="1">
        <f>IFERROR(__xludf.DUMMYFUNCTION("""COMPUTED_VALUE"""),2.76)</f>
        <v>2.76</v>
      </c>
      <c r="F3355" s="1">
        <f>IFERROR(__xludf.DUMMYFUNCTION("""COMPUTED_VALUE"""),240478.0)</f>
        <v>240478</v>
      </c>
    </row>
    <row r="3356">
      <c r="A3356" s="2">
        <f>IFERROR(__xludf.DUMMYFUNCTION("""COMPUTED_VALUE"""),44036.66666666667)</f>
        <v>44036.66667</v>
      </c>
      <c r="B3356" s="1">
        <f>IFERROR(__xludf.DUMMYFUNCTION("""COMPUTED_VALUE"""),2.76)</f>
        <v>2.76</v>
      </c>
      <c r="C3356" s="1">
        <f>IFERROR(__xludf.DUMMYFUNCTION("""COMPUTED_VALUE"""),2.77)</f>
        <v>2.77</v>
      </c>
      <c r="D3356" s="1">
        <f>IFERROR(__xludf.DUMMYFUNCTION("""COMPUTED_VALUE"""),2.67)</f>
        <v>2.67</v>
      </c>
      <c r="E3356" s="1">
        <f>IFERROR(__xludf.DUMMYFUNCTION("""COMPUTED_VALUE"""),2.72)</f>
        <v>2.72</v>
      </c>
      <c r="F3356" s="1">
        <f>IFERROR(__xludf.DUMMYFUNCTION("""COMPUTED_VALUE"""),184210.0)</f>
        <v>184210</v>
      </c>
    </row>
    <row r="3357">
      <c r="A3357" s="2">
        <f>IFERROR(__xludf.DUMMYFUNCTION("""COMPUTED_VALUE"""),44039.66666666667)</f>
        <v>44039.66667</v>
      </c>
      <c r="B3357" s="1">
        <f>IFERROR(__xludf.DUMMYFUNCTION("""COMPUTED_VALUE"""),2.73)</f>
        <v>2.73</v>
      </c>
      <c r="C3357" s="1">
        <f>IFERROR(__xludf.DUMMYFUNCTION("""COMPUTED_VALUE"""),2.85)</f>
        <v>2.85</v>
      </c>
      <c r="D3357" s="1">
        <f>IFERROR(__xludf.DUMMYFUNCTION("""COMPUTED_VALUE"""),2.73)</f>
        <v>2.73</v>
      </c>
      <c r="E3357" s="1">
        <f>IFERROR(__xludf.DUMMYFUNCTION("""COMPUTED_VALUE"""),2.85)</f>
        <v>2.85</v>
      </c>
      <c r="F3357" s="1">
        <f>IFERROR(__xludf.DUMMYFUNCTION("""COMPUTED_VALUE"""),196891.0)</f>
        <v>196891</v>
      </c>
    </row>
    <row r="3358">
      <c r="A3358" s="2">
        <f>IFERROR(__xludf.DUMMYFUNCTION("""COMPUTED_VALUE"""),44040.66666666667)</f>
        <v>44040.66667</v>
      </c>
      <c r="B3358" s="1">
        <f>IFERROR(__xludf.DUMMYFUNCTION("""COMPUTED_VALUE"""),2.85)</f>
        <v>2.85</v>
      </c>
      <c r="C3358" s="1">
        <f>IFERROR(__xludf.DUMMYFUNCTION("""COMPUTED_VALUE"""),2.86)</f>
        <v>2.86</v>
      </c>
      <c r="D3358" s="1">
        <f>IFERROR(__xludf.DUMMYFUNCTION("""COMPUTED_VALUE"""),2.79)</f>
        <v>2.79</v>
      </c>
      <c r="E3358" s="1">
        <f>IFERROR(__xludf.DUMMYFUNCTION("""COMPUTED_VALUE"""),2.81)</f>
        <v>2.81</v>
      </c>
      <c r="F3358" s="1">
        <f>IFERROR(__xludf.DUMMYFUNCTION("""COMPUTED_VALUE"""),344722.0)</f>
        <v>344722</v>
      </c>
    </row>
    <row r="3359">
      <c r="A3359" s="2">
        <f>IFERROR(__xludf.DUMMYFUNCTION("""COMPUTED_VALUE"""),44041.66666666667)</f>
        <v>44041.66667</v>
      </c>
      <c r="B3359" s="1">
        <f>IFERROR(__xludf.DUMMYFUNCTION("""COMPUTED_VALUE"""),2.83)</f>
        <v>2.83</v>
      </c>
      <c r="C3359" s="1">
        <f>IFERROR(__xludf.DUMMYFUNCTION("""COMPUTED_VALUE"""),2.96)</f>
        <v>2.96</v>
      </c>
      <c r="D3359" s="1">
        <f>IFERROR(__xludf.DUMMYFUNCTION("""COMPUTED_VALUE"""),2.82)</f>
        <v>2.82</v>
      </c>
      <c r="E3359" s="1">
        <f>IFERROR(__xludf.DUMMYFUNCTION("""COMPUTED_VALUE"""),2.96)</f>
        <v>2.96</v>
      </c>
      <c r="F3359" s="1">
        <f>IFERROR(__xludf.DUMMYFUNCTION("""COMPUTED_VALUE"""),273639.0)</f>
        <v>273639</v>
      </c>
    </row>
    <row r="3360">
      <c r="A3360" s="2">
        <f>IFERROR(__xludf.DUMMYFUNCTION("""COMPUTED_VALUE"""),44042.66666666667)</f>
        <v>44042.66667</v>
      </c>
      <c r="B3360" s="1">
        <f>IFERROR(__xludf.DUMMYFUNCTION("""COMPUTED_VALUE"""),2.92)</f>
        <v>2.92</v>
      </c>
      <c r="C3360" s="1">
        <f>IFERROR(__xludf.DUMMYFUNCTION("""COMPUTED_VALUE"""),2.99)</f>
        <v>2.99</v>
      </c>
      <c r="D3360" s="1">
        <f>IFERROR(__xludf.DUMMYFUNCTION("""COMPUTED_VALUE"""),2.9)</f>
        <v>2.9</v>
      </c>
      <c r="E3360" s="1">
        <f>IFERROR(__xludf.DUMMYFUNCTION("""COMPUTED_VALUE"""),2.97)</f>
        <v>2.97</v>
      </c>
      <c r="F3360" s="1">
        <f>IFERROR(__xludf.DUMMYFUNCTION("""COMPUTED_VALUE"""),230185.0)</f>
        <v>230185</v>
      </c>
    </row>
    <row r="3361">
      <c r="A3361" s="2">
        <f>IFERROR(__xludf.DUMMYFUNCTION("""COMPUTED_VALUE"""),44043.66666666667)</f>
        <v>44043.66667</v>
      </c>
      <c r="B3361" s="1">
        <f>IFERROR(__xludf.DUMMYFUNCTION("""COMPUTED_VALUE"""),2.99)</f>
        <v>2.99</v>
      </c>
      <c r="C3361" s="1">
        <f>IFERROR(__xludf.DUMMYFUNCTION("""COMPUTED_VALUE"""),3.03)</f>
        <v>3.03</v>
      </c>
      <c r="D3361" s="1">
        <f>IFERROR(__xludf.DUMMYFUNCTION("""COMPUTED_VALUE"""),2.95)</f>
        <v>2.95</v>
      </c>
      <c r="E3361" s="1">
        <f>IFERROR(__xludf.DUMMYFUNCTION("""COMPUTED_VALUE"""),3.03)</f>
        <v>3.03</v>
      </c>
      <c r="F3361" s="1">
        <f>IFERROR(__xludf.DUMMYFUNCTION("""COMPUTED_VALUE"""),344993.0)</f>
        <v>344993</v>
      </c>
    </row>
    <row r="3362">
      <c r="A3362" s="2">
        <f>IFERROR(__xludf.DUMMYFUNCTION("""COMPUTED_VALUE"""),44046.66666666667)</f>
        <v>44046.66667</v>
      </c>
      <c r="B3362" s="1">
        <f>IFERROR(__xludf.DUMMYFUNCTION("""COMPUTED_VALUE"""),3.1)</f>
        <v>3.1</v>
      </c>
      <c r="C3362" s="1">
        <f>IFERROR(__xludf.DUMMYFUNCTION("""COMPUTED_VALUE"""),3.12)</f>
        <v>3.12</v>
      </c>
      <c r="D3362" s="1">
        <f>IFERROR(__xludf.DUMMYFUNCTION("""COMPUTED_VALUE"""),3.02)</f>
        <v>3.02</v>
      </c>
      <c r="E3362" s="1">
        <f>IFERROR(__xludf.DUMMYFUNCTION("""COMPUTED_VALUE"""),3.03)</f>
        <v>3.03</v>
      </c>
      <c r="F3362" s="1">
        <f>IFERROR(__xludf.DUMMYFUNCTION("""COMPUTED_VALUE"""),516526.0)</f>
        <v>516526</v>
      </c>
    </row>
    <row r="3363">
      <c r="A3363" s="2">
        <f>IFERROR(__xludf.DUMMYFUNCTION("""COMPUTED_VALUE"""),44047.66666666667)</f>
        <v>44047.66667</v>
      </c>
      <c r="B3363" s="1">
        <f>IFERROR(__xludf.DUMMYFUNCTION("""COMPUTED_VALUE"""),3.03)</f>
        <v>3.03</v>
      </c>
      <c r="C3363" s="1">
        <f>IFERROR(__xludf.DUMMYFUNCTION("""COMPUTED_VALUE"""),3.07)</f>
        <v>3.07</v>
      </c>
      <c r="D3363" s="1">
        <f>IFERROR(__xludf.DUMMYFUNCTION("""COMPUTED_VALUE"""),3.01)</f>
        <v>3.01</v>
      </c>
      <c r="E3363" s="1">
        <f>IFERROR(__xludf.DUMMYFUNCTION("""COMPUTED_VALUE"""),3.03)</f>
        <v>3.03</v>
      </c>
      <c r="F3363" s="1">
        <f>IFERROR(__xludf.DUMMYFUNCTION("""COMPUTED_VALUE"""),291514.0)</f>
        <v>291514</v>
      </c>
    </row>
    <row r="3364">
      <c r="A3364" s="2">
        <f>IFERROR(__xludf.DUMMYFUNCTION("""COMPUTED_VALUE"""),44048.66666666667)</f>
        <v>44048.66667</v>
      </c>
      <c r="B3364" s="1">
        <f>IFERROR(__xludf.DUMMYFUNCTION("""COMPUTED_VALUE"""),3.05)</f>
        <v>3.05</v>
      </c>
      <c r="C3364" s="1">
        <f>IFERROR(__xludf.DUMMYFUNCTION("""COMPUTED_VALUE"""),3.11)</f>
        <v>3.11</v>
      </c>
      <c r="D3364" s="1">
        <f>IFERROR(__xludf.DUMMYFUNCTION("""COMPUTED_VALUE"""),3.01)</f>
        <v>3.01</v>
      </c>
      <c r="E3364" s="1">
        <f>IFERROR(__xludf.DUMMYFUNCTION("""COMPUTED_VALUE"""),3.08)</f>
        <v>3.08</v>
      </c>
      <c r="F3364" s="1">
        <f>IFERROR(__xludf.DUMMYFUNCTION("""COMPUTED_VALUE"""),876282.0)</f>
        <v>876282</v>
      </c>
    </row>
    <row r="3365">
      <c r="A3365" s="2">
        <f>IFERROR(__xludf.DUMMYFUNCTION("""COMPUTED_VALUE"""),44049.66666666667)</f>
        <v>44049.66667</v>
      </c>
      <c r="B3365" s="1">
        <f>IFERROR(__xludf.DUMMYFUNCTION("""COMPUTED_VALUE"""),3.06)</f>
        <v>3.06</v>
      </c>
      <c r="C3365" s="1">
        <f>IFERROR(__xludf.DUMMYFUNCTION("""COMPUTED_VALUE"""),3.07)</f>
        <v>3.07</v>
      </c>
      <c r="D3365" s="1">
        <f>IFERROR(__xludf.DUMMYFUNCTION("""COMPUTED_VALUE"""),2.98)</f>
        <v>2.98</v>
      </c>
      <c r="E3365" s="1">
        <f>IFERROR(__xludf.DUMMYFUNCTION("""COMPUTED_VALUE"""),3.01)</f>
        <v>3.01</v>
      </c>
      <c r="F3365" s="1">
        <f>IFERROR(__xludf.DUMMYFUNCTION("""COMPUTED_VALUE"""),221817.0)</f>
        <v>221817</v>
      </c>
    </row>
    <row r="3366">
      <c r="A3366" s="2">
        <f>IFERROR(__xludf.DUMMYFUNCTION("""COMPUTED_VALUE"""),44050.66666666667)</f>
        <v>44050.66667</v>
      </c>
      <c r="B3366" s="1">
        <f>IFERROR(__xludf.DUMMYFUNCTION("""COMPUTED_VALUE"""),3.01)</f>
        <v>3.01</v>
      </c>
      <c r="C3366" s="1">
        <f>IFERROR(__xludf.DUMMYFUNCTION("""COMPUTED_VALUE"""),3.05)</f>
        <v>3.05</v>
      </c>
      <c r="D3366" s="1">
        <f>IFERROR(__xludf.DUMMYFUNCTION("""COMPUTED_VALUE"""),2.97)</f>
        <v>2.97</v>
      </c>
      <c r="E3366" s="1">
        <f>IFERROR(__xludf.DUMMYFUNCTION("""COMPUTED_VALUE"""),3.02)</f>
        <v>3.02</v>
      </c>
      <c r="F3366" s="1">
        <f>IFERROR(__xludf.DUMMYFUNCTION("""COMPUTED_VALUE"""),271634.0)</f>
        <v>271634</v>
      </c>
    </row>
    <row r="3367">
      <c r="A3367" s="2">
        <f>IFERROR(__xludf.DUMMYFUNCTION("""COMPUTED_VALUE"""),44053.66666666667)</f>
        <v>44053.66667</v>
      </c>
      <c r="B3367" s="1">
        <f>IFERROR(__xludf.DUMMYFUNCTION("""COMPUTED_VALUE"""),3.04)</f>
        <v>3.04</v>
      </c>
      <c r="C3367" s="1">
        <f>IFERROR(__xludf.DUMMYFUNCTION("""COMPUTED_VALUE"""),3.06)</f>
        <v>3.06</v>
      </c>
      <c r="D3367" s="1">
        <f>IFERROR(__xludf.DUMMYFUNCTION("""COMPUTED_VALUE"""),3.0)</f>
        <v>3</v>
      </c>
      <c r="E3367" s="1">
        <f>IFERROR(__xludf.DUMMYFUNCTION("""COMPUTED_VALUE"""),3.02)</f>
        <v>3.02</v>
      </c>
      <c r="F3367" s="1">
        <f>IFERROR(__xludf.DUMMYFUNCTION("""COMPUTED_VALUE"""),273620.0)</f>
        <v>273620</v>
      </c>
    </row>
    <row r="3368">
      <c r="A3368" s="2">
        <f>IFERROR(__xludf.DUMMYFUNCTION("""COMPUTED_VALUE"""),44054.66666666667)</f>
        <v>44054.66667</v>
      </c>
      <c r="B3368" s="1">
        <f>IFERROR(__xludf.DUMMYFUNCTION("""COMPUTED_VALUE"""),3.05)</f>
        <v>3.05</v>
      </c>
      <c r="C3368" s="1">
        <f>IFERROR(__xludf.DUMMYFUNCTION("""COMPUTED_VALUE"""),3.12)</f>
        <v>3.12</v>
      </c>
      <c r="D3368" s="1">
        <f>IFERROR(__xludf.DUMMYFUNCTION("""COMPUTED_VALUE"""),3.03)</f>
        <v>3.03</v>
      </c>
      <c r="E3368" s="1">
        <f>IFERROR(__xludf.DUMMYFUNCTION("""COMPUTED_VALUE"""),3.05)</f>
        <v>3.05</v>
      </c>
      <c r="F3368" s="1">
        <f>IFERROR(__xludf.DUMMYFUNCTION("""COMPUTED_VALUE"""),624409.0)</f>
        <v>624409</v>
      </c>
    </row>
    <row r="3369">
      <c r="A3369" s="2">
        <f>IFERROR(__xludf.DUMMYFUNCTION("""COMPUTED_VALUE"""),44055.66666666667)</f>
        <v>44055.66667</v>
      </c>
      <c r="B3369" s="1">
        <f>IFERROR(__xludf.DUMMYFUNCTION("""COMPUTED_VALUE"""),2.78)</f>
        <v>2.78</v>
      </c>
      <c r="C3369" s="1">
        <f>IFERROR(__xludf.DUMMYFUNCTION("""COMPUTED_VALUE"""),2.84)</f>
        <v>2.84</v>
      </c>
      <c r="D3369" s="1">
        <f>IFERROR(__xludf.DUMMYFUNCTION("""COMPUTED_VALUE"""),2.56)</f>
        <v>2.56</v>
      </c>
      <c r="E3369" s="1">
        <f>IFERROR(__xludf.DUMMYFUNCTION("""COMPUTED_VALUE"""),2.6)</f>
        <v>2.6</v>
      </c>
      <c r="F3369" s="1">
        <f>IFERROR(__xludf.DUMMYFUNCTION("""COMPUTED_VALUE"""),2284914.0)</f>
        <v>2284914</v>
      </c>
    </row>
    <row r="3370">
      <c r="A3370" s="2">
        <f>IFERROR(__xludf.DUMMYFUNCTION("""COMPUTED_VALUE"""),44056.66666666667)</f>
        <v>44056.66667</v>
      </c>
      <c r="B3370" s="1">
        <f>IFERROR(__xludf.DUMMYFUNCTION("""COMPUTED_VALUE"""),2.61)</f>
        <v>2.61</v>
      </c>
      <c r="C3370" s="1">
        <f>IFERROR(__xludf.DUMMYFUNCTION("""COMPUTED_VALUE"""),2.64)</f>
        <v>2.64</v>
      </c>
      <c r="D3370" s="1">
        <f>IFERROR(__xludf.DUMMYFUNCTION("""COMPUTED_VALUE"""),2.54)</f>
        <v>2.54</v>
      </c>
      <c r="E3370" s="1">
        <f>IFERROR(__xludf.DUMMYFUNCTION("""COMPUTED_VALUE"""),2.6)</f>
        <v>2.6</v>
      </c>
      <c r="F3370" s="1">
        <f>IFERROR(__xludf.DUMMYFUNCTION("""COMPUTED_VALUE"""),772775.0)</f>
        <v>772775</v>
      </c>
    </row>
    <row r="3371">
      <c r="A3371" s="2">
        <f>IFERROR(__xludf.DUMMYFUNCTION("""COMPUTED_VALUE"""),44057.66666666667)</f>
        <v>44057.66667</v>
      </c>
      <c r="B3371" s="1">
        <f>IFERROR(__xludf.DUMMYFUNCTION("""COMPUTED_VALUE"""),2.57)</f>
        <v>2.57</v>
      </c>
      <c r="C3371" s="1">
        <f>IFERROR(__xludf.DUMMYFUNCTION("""COMPUTED_VALUE"""),2.62)</f>
        <v>2.62</v>
      </c>
      <c r="D3371" s="1">
        <f>IFERROR(__xludf.DUMMYFUNCTION("""COMPUTED_VALUE"""),2.56)</f>
        <v>2.56</v>
      </c>
      <c r="E3371" s="1">
        <f>IFERROR(__xludf.DUMMYFUNCTION("""COMPUTED_VALUE"""),2.61)</f>
        <v>2.61</v>
      </c>
      <c r="F3371" s="1">
        <f>IFERROR(__xludf.DUMMYFUNCTION("""COMPUTED_VALUE"""),633108.0)</f>
        <v>633108</v>
      </c>
    </row>
    <row r="3372">
      <c r="A3372" s="2">
        <f>IFERROR(__xludf.DUMMYFUNCTION("""COMPUTED_VALUE"""),44060.66666666667)</f>
        <v>44060.66667</v>
      </c>
      <c r="B3372" s="1">
        <f>IFERROR(__xludf.DUMMYFUNCTION("""COMPUTED_VALUE"""),2.62)</f>
        <v>2.62</v>
      </c>
      <c r="C3372" s="1">
        <f>IFERROR(__xludf.DUMMYFUNCTION("""COMPUTED_VALUE"""),2.63)</f>
        <v>2.63</v>
      </c>
      <c r="D3372" s="1">
        <f>IFERROR(__xludf.DUMMYFUNCTION("""COMPUTED_VALUE"""),2.56)</f>
        <v>2.56</v>
      </c>
      <c r="E3372" s="1">
        <f>IFERROR(__xludf.DUMMYFUNCTION("""COMPUTED_VALUE"""),2.57)</f>
        <v>2.57</v>
      </c>
      <c r="F3372" s="1">
        <f>IFERROR(__xludf.DUMMYFUNCTION("""COMPUTED_VALUE"""),372124.0)</f>
        <v>372124</v>
      </c>
    </row>
    <row r="3373">
      <c r="A3373" s="2">
        <f>IFERROR(__xludf.DUMMYFUNCTION("""COMPUTED_VALUE"""),44061.66666666667)</f>
        <v>44061.66667</v>
      </c>
      <c r="B3373" s="1">
        <f>IFERROR(__xludf.DUMMYFUNCTION("""COMPUTED_VALUE"""),2.57)</f>
        <v>2.57</v>
      </c>
      <c r="C3373" s="1">
        <f>IFERROR(__xludf.DUMMYFUNCTION("""COMPUTED_VALUE"""),2.59)</f>
        <v>2.59</v>
      </c>
      <c r="D3373" s="1">
        <f>IFERROR(__xludf.DUMMYFUNCTION("""COMPUTED_VALUE"""),2.53)</f>
        <v>2.53</v>
      </c>
      <c r="E3373" s="1">
        <f>IFERROR(__xludf.DUMMYFUNCTION("""COMPUTED_VALUE"""),2.59)</f>
        <v>2.59</v>
      </c>
      <c r="F3373" s="1">
        <f>IFERROR(__xludf.DUMMYFUNCTION("""COMPUTED_VALUE"""),388240.0)</f>
        <v>388240</v>
      </c>
    </row>
    <row r="3374">
      <c r="A3374" s="2">
        <f>IFERROR(__xludf.DUMMYFUNCTION("""COMPUTED_VALUE"""),44062.66666666667)</f>
        <v>44062.66667</v>
      </c>
      <c r="B3374" s="1">
        <f>IFERROR(__xludf.DUMMYFUNCTION("""COMPUTED_VALUE"""),2.6)</f>
        <v>2.6</v>
      </c>
      <c r="C3374" s="1">
        <f>IFERROR(__xludf.DUMMYFUNCTION("""COMPUTED_VALUE"""),2.64)</f>
        <v>2.64</v>
      </c>
      <c r="D3374" s="1">
        <f>IFERROR(__xludf.DUMMYFUNCTION("""COMPUTED_VALUE"""),2.58)</f>
        <v>2.58</v>
      </c>
      <c r="E3374" s="1">
        <f>IFERROR(__xludf.DUMMYFUNCTION("""COMPUTED_VALUE"""),2.59)</f>
        <v>2.59</v>
      </c>
      <c r="F3374" s="1">
        <f>IFERROR(__xludf.DUMMYFUNCTION("""COMPUTED_VALUE"""),361760.0)</f>
        <v>361760</v>
      </c>
    </row>
    <row r="3375">
      <c r="A3375" s="2">
        <f>IFERROR(__xludf.DUMMYFUNCTION("""COMPUTED_VALUE"""),44063.66666666667)</f>
        <v>44063.66667</v>
      </c>
      <c r="B3375" s="1">
        <f>IFERROR(__xludf.DUMMYFUNCTION("""COMPUTED_VALUE"""),2.57)</f>
        <v>2.57</v>
      </c>
      <c r="C3375" s="1">
        <f>IFERROR(__xludf.DUMMYFUNCTION("""COMPUTED_VALUE"""),2.62)</f>
        <v>2.62</v>
      </c>
      <c r="D3375" s="1">
        <f>IFERROR(__xludf.DUMMYFUNCTION("""COMPUTED_VALUE"""),2.56)</f>
        <v>2.56</v>
      </c>
      <c r="E3375" s="1">
        <f>IFERROR(__xludf.DUMMYFUNCTION("""COMPUTED_VALUE"""),2.62)</f>
        <v>2.62</v>
      </c>
      <c r="F3375" s="1">
        <f>IFERROR(__xludf.DUMMYFUNCTION("""COMPUTED_VALUE"""),337289.0)</f>
        <v>337289</v>
      </c>
    </row>
    <row r="3376">
      <c r="A3376" s="2">
        <f>IFERROR(__xludf.DUMMYFUNCTION("""COMPUTED_VALUE"""),44064.66666666667)</f>
        <v>44064.66667</v>
      </c>
      <c r="B3376" s="1">
        <f>IFERROR(__xludf.DUMMYFUNCTION("""COMPUTED_VALUE"""),2.61)</f>
        <v>2.61</v>
      </c>
      <c r="C3376" s="1">
        <f>IFERROR(__xludf.DUMMYFUNCTION("""COMPUTED_VALUE"""),2.65)</f>
        <v>2.65</v>
      </c>
      <c r="D3376" s="1">
        <f>IFERROR(__xludf.DUMMYFUNCTION("""COMPUTED_VALUE"""),2.6)</f>
        <v>2.6</v>
      </c>
      <c r="E3376" s="1">
        <f>IFERROR(__xludf.DUMMYFUNCTION("""COMPUTED_VALUE"""),2.65)</f>
        <v>2.65</v>
      </c>
      <c r="F3376" s="1">
        <f>IFERROR(__xludf.DUMMYFUNCTION("""COMPUTED_VALUE"""),229990.0)</f>
        <v>229990</v>
      </c>
    </row>
    <row r="3377">
      <c r="A3377" s="2">
        <f>IFERROR(__xludf.DUMMYFUNCTION("""COMPUTED_VALUE"""),44067.66666666667)</f>
        <v>44067.66667</v>
      </c>
      <c r="B3377" s="1">
        <f>IFERROR(__xludf.DUMMYFUNCTION("""COMPUTED_VALUE"""),2.66)</f>
        <v>2.66</v>
      </c>
      <c r="C3377" s="1">
        <f>IFERROR(__xludf.DUMMYFUNCTION("""COMPUTED_VALUE"""),2.7)</f>
        <v>2.7</v>
      </c>
      <c r="D3377" s="1">
        <f>IFERROR(__xludf.DUMMYFUNCTION("""COMPUTED_VALUE"""),2.63)</f>
        <v>2.63</v>
      </c>
      <c r="E3377" s="1">
        <f>IFERROR(__xludf.DUMMYFUNCTION("""COMPUTED_VALUE"""),2.67)</f>
        <v>2.67</v>
      </c>
      <c r="F3377" s="1">
        <f>IFERROR(__xludf.DUMMYFUNCTION("""COMPUTED_VALUE"""),366356.0)</f>
        <v>366356</v>
      </c>
    </row>
    <row r="3378">
      <c r="A3378" s="2">
        <f>IFERROR(__xludf.DUMMYFUNCTION("""COMPUTED_VALUE"""),44068.66666666667)</f>
        <v>44068.66667</v>
      </c>
      <c r="B3378" s="1">
        <f>IFERROR(__xludf.DUMMYFUNCTION("""COMPUTED_VALUE"""),2.66)</f>
        <v>2.66</v>
      </c>
      <c r="C3378" s="1">
        <f>IFERROR(__xludf.DUMMYFUNCTION("""COMPUTED_VALUE"""),2.69)</f>
        <v>2.69</v>
      </c>
      <c r="D3378" s="1">
        <f>IFERROR(__xludf.DUMMYFUNCTION("""COMPUTED_VALUE"""),2.62)</f>
        <v>2.62</v>
      </c>
      <c r="E3378" s="1">
        <f>IFERROR(__xludf.DUMMYFUNCTION("""COMPUTED_VALUE"""),2.67)</f>
        <v>2.67</v>
      </c>
      <c r="F3378" s="1">
        <f>IFERROR(__xludf.DUMMYFUNCTION("""COMPUTED_VALUE"""),485734.0)</f>
        <v>485734</v>
      </c>
    </row>
    <row r="3379">
      <c r="A3379" s="2">
        <f>IFERROR(__xludf.DUMMYFUNCTION("""COMPUTED_VALUE"""),44069.66666666667)</f>
        <v>44069.66667</v>
      </c>
      <c r="B3379" s="1">
        <f>IFERROR(__xludf.DUMMYFUNCTION("""COMPUTED_VALUE"""),2.57)</f>
        <v>2.57</v>
      </c>
      <c r="C3379" s="1">
        <f>IFERROR(__xludf.DUMMYFUNCTION("""COMPUTED_VALUE"""),2.65)</f>
        <v>2.65</v>
      </c>
      <c r="D3379" s="1">
        <f>IFERROR(__xludf.DUMMYFUNCTION("""COMPUTED_VALUE"""),2.57)</f>
        <v>2.57</v>
      </c>
      <c r="E3379" s="1">
        <f>IFERROR(__xludf.DUMMYFUNCTION("""COMPUTED_VALUE"""),2.6)</f>
        <v>2.6</v>
      </c>
      <c r="F3379" s="1">
        <f>IFERROR(__xludf.DUMMYFUNCTION("""COMPUTED_VALUE"""),511619.0)</f>
        <v>511619</v>
      </c>
    </row>
    <row r="3380">
      <c r="A3380" s="2">
        <f>IFERROR(__xludf.DUMMYFUNCTION("""COMPUTED_VALUE"""),44070.66666666667)</f>
        <v>44070.66667</v>
      </c>
      <c r="B3380" s="1">
        <f>IFERROR(__xludf.DUMMYFUNCTION("""COMPUTED_VALUE"""),2.61)</f>
        <v>2.61</v>
      </c>
      <c r="C3380" s="1">
        <f>IFERROR(__xludf.DUMMYFUNCTION("""COMPUTED_VALUE"""),2.63)</f>
        <v>2.63</v>
      </c>
      <c r="D3380" s="1">
        <f>IFERROR(__xludf.DUMMYFUNCTION("""COMPUTED_VALUE"""),2.59)</f>
        <v>2.59</v>
      </c>
      <c r="E3380" s="1">
        <f>IFERROR(__xludf.DUMMYFUNCTION("""COMPUTED_VALUE"""),2.62)</f>
        <v>2.62</v>
      </c>
      <c r="F3380" s="1">
        <f>IFERROR(__xludf.DUMMYFUNCTION("""COMPUTED_VALUE"""),345081.0)</f>
        <v>345081</v>
      </c>
    </row>
    <row r="3381">
      <c r="A3381" s="2">
        <f>IFERROR(__xludf.DUMMYFUNCTION("""COMPUTED_VALUE"""),44071.66666666667)</f>
        <v>44071.66667</v>
      </c>
      <c r="B3381" s="1">
        <f>IFERROR(__xludf.DUMMYFUNCTION("""COMPUTED_VALUE"""),2.63)</f>
        <v>2.63</v>
      </c>
      <c r="C3381" s="1">
        <f>IFERROR(__xludf.DUMMYFUNCTION("""COMPUTED_VALUE"""),2.74)</f>
        <v>2.74</v>
      </c>
      <c r="D3381" s="1">
        <f>IFERROR(__xludf.DUMMYFUNCTION("""COMPUTED_VALUE"""),2.63)</f>
        <v>2.63</v>
      </c>
      <c r="E3381" s="1">
        <f>IFERROR(__xludf.DUMMYFUNCTION("""COMPUTED_VALUE"""),2.71)</f>
        <v>2.71</v>
      </c>
      <c r="F3381" s="1">
        <f>IFERROR(__xludf.DUMMYFUNCTION("""COMPUTED_VALUE"""),558482.0)</f>
        <v>558482</v>
      </c>
    </row>
    <row r="3382">
      <c r="A3382" s="2">
        <f>IFERROR(__xludf.DUMMYFUNCTION("""COMPUTED_VALUE"""),44074.66666666667)</f>
        <v>44074.66667</v>
      </c>
      <c r="B3382" s="1">
        <f>IFERROR(__xludf.DUMMYFUNCTION("""COMPUTED_VALUE"""),2.7)</f>
        <v>2.7</v>
      </c>
      <c r="C3382" s="1">
        <f>IFERROR(__xludf.DUMMYFUNCTION("""COMPUTED_VALUE"""),2.79)</f>
        <v>2.79</v>
      </c>
      <c r="D3382" s="1">
        <f>IFERROR(__xludf.DUMMYFUNCTION("""COMPUTED_VALUE"""),2.69)</f>
        <v>2.69</v>
      </c>
      <c r="E3382" s="1">
        <f>IFERROR(__xludf.DUMMYFUNCTION("""COMPUTED_VALUE"""),2.74)</f>
        <v>2.74</v>
      </c>
      <c r="F3382" s="1">
        <f>IFERROR(__xludf.DUMMYFUNCTION("""COMPUTED_VALUE"""),498091.0)</f>
        <v>498091</v>
      </c>
    </row>
    <row r="3383">
      <c r="A3383" s="2">
        <f>IFERROR(__xludf.DUMMYFUNCTION("""COMPUTED_VALUE"""),44075.66666666667)</f>
        <v>44075.66667</v>
      </c>
      <c r="B3383" s="1">
        <f>IFERROR(__xludf.DUMMYFUNCTION("""COMPUTED_VALUE"""),2.74)</f>
        <v>2.74</v>
      </c>
      <c r="C3383" s="1">
        <f>IFERROR(__xludf.DUMMYFUNCTION("""COMPUTED_VALUE"""),2.75)</f>
        <v>2.75</v>
      </c>
      <c r="D3383" s="1">
        <f>IFERROR(__xludf.DUMMYFUNCTION("""COMPUTED_VALUE"""),2.67)</f>
        <v>2.67</v>
      </c>
      <c r="E3383" s="1">
        <f>IFERROR(__xludf.DUMMYFUNCTION("""COMPUTED_VALUE"""),2.71)</f>
        <v>2.71</v>
      </c>
      <c r="F3383" s="1">
        <f>IFERROR(__xludf.DUMMYFUNCTION("""COMPUTED_VALUE"""),363830.0)</f>
        <v>363830</v>
      </c>
    </row>
    <row r="3384">
      <c r="A3384" s="2">
        <f>IFERROR(__xludf.DUMMYFUNCTION("""COMPUTED_VALUE"""),44076.66666666667)</f>
        <v>44076.66667</v>
      </c>
      <c r="B3384" s="1">
        <f>IFERROR(__xludf.DUMMYFUNCTION("""COMPUTED_VALUE"""),2.69)</f>
        <v>2.69</v>
      </c>
      <c r="C3384" s="1">
        <f>IFERROR(__xludf.DUMMYFUNCTION("""COMPUTED_VALUE"""),2.75)</f>
        <v>2.75</v>
      </c>
      <c r="D3384" s="1">
        <f>IFERROR(__xludf.DUMMYFUNCTION("""COMPUTED_VALUE"""),2.64)</f>
        <v>2.64</v>
      </c>
      <c r="E3384" s="1">
        <f>IFERROR(__xludf.DUMMYFUNCTION("""COMPUTED_VALUE"""),2.73)</f>
        <v>2.73</v>
      </c>
      <c r="F3384" s="1">
        <f>IFERROR(__xludf.DUMMYFUNCTION("""COMPUTED_VALUE"""),459085.0)</f>
        <v>459085</v>
      </c>
    </row>
    <row r="3385">
      <c r="A3385" s="2">
        <f>IFERROR(__xludf.DUMMYFUNCTION("""COMPUTED_VALUE"""),44077.66666666667)</f>
        <v>44077.66667</v>
      </c>
      <c r="B3385" s="1">
        <f>IFERROR(__xludf.DUMMYFUNCTION("""COMPUTED_VALUE"""),2.73)</f>
        <v>2.73</v>
      </c>
      <c r="C3385" s="1">
        <f>IFERROR(__xludf.DUMMYFUNCTION("""COMPUTED_VALUE"""),2.73)</f>
        <v>2.73</v>
      </c>
      <c r="D3385" s="1">
        <f>IFERROR(__xludf.DUMMYFUNCTION("""COMPUTED_VALUE"""),2.57)</f>
        <v>2.57</v>
      </c>
      <c r="E3385" s="1">
        <f>IFERROR(__xludf.DUMMYFUNCTION("""COMPUTED_VALUE"""),2.58)</f>
        <v>2.58</v>
      </c>
      <c r="F3385" s="1">
        <f>IFERROR(__xludf.DUMMYFUNCTION("""COMPUTED_VALUE"""),428352.0)</f>
        <v>428352</v>
      </c>
    </row>
    <row r="3386">
      <c r="A3386" s="2">
        <f>IFERROR(__xludf.DUMMYFUNCTION("""COMPUTED_VALUE"""),44078.66666666667)</f>
        <v>44078.66667</v>
      </c>
      <c r="B3386" s="1">
        <f>IFERROR(__xludf.DUMMYFUNCTION("""COMPUTED_VALUE"""),2.61)</f>
        <v>2.61</v>
      </c>
      <c r="C3386" s="1">
        <f>IFERROR(__xludf.DUMMYFUNCTION("""COMPUTED_VALUE"""),2.63)</f>
        <v>2.63</v>
      </c>
      <c r="D3386" s="1">
        <f>IFERROR(__xludf.DUMMYFUNCTION("""COMPUTED_VALUE"""),2.49)</f>
        <v>2.49</v>
      </c>
      <c r="E3386" s="1">
        <f>IFERROR(__xludf.DUMMYFUNCTION("""COMPUTED_VALUE"""),2.55)</f>
        <v>2.55</v>
      </c>
      <c r="F3386" s="1">
        <f>IFERROR(__xludf.DUMMYFUNCTION("""COMPUTED_VALUE"""),258478.0)</f>
        <v>258478</v>
      </c>
    </row>
    <row r="3387">
      <c r="A3387" s="2">
        <f>IFERROR(__xludf.DUMMYFUNCTION("""COMPUTED_VALUE"""),44082.66666666667)</f>
        <v>44082.66667</v>
      </c>
      <c r="B3387" s="1">
        <f>IFERROR(__xludf.DUMMYFUNCTION("""COMPUTED_VALUE"""),2.53)</f>
        <v>2.53</v>
      </c>
      <c r="C3387" s="1">
        <f>IFERROR(__xludf.DUMMYFUNCTION("""COMPUTED_VALUE"""),2.58)</f>
        <v>2.58</v>
      </c>
      <c r="D3387" s="1">
        <f>IFERROR(__xludf.DUMMYFUNCTION("""COMPUTED_VALUE"""),2.47)</f>
        <v>2.47</v>
      </c>
      <c r="E3387" s="1">
        <f>IFERROR(__xludf.DUMMYFUNCTION("""COMPUTED_VALUE"""),2.53)</f>
        <v>2.53</v>
      </c>
      <c r="F3387" s="1">
        <f>IFERROR(__xludf.DUMMYFUNCTION("""COMPUTED_VALUE"""),232957.0)</f>
        <v>232957</v>
      </c>
    </row>
    <row r="3388">
      <c r="A3388" s="2">
        <f>IFERROR(__xludf.DUMMYFUNCTION("""COMPUTED_VALUE"""),44083.66666666667)</f>
        <v>44083.66667</v>
      </c>
      <c r="B3388" s="1">
        <f>IFERROR(__xludf.DUMMYFUNCTION("""COMPUTED_VALUE"""),2.52)</f>
        <v>2.52</v>
      </c>
      <c r="C3388" s="1">
        <f>IFERROR(__xludf.DUMMYFUNCTION("""COMPUTED_VALUE"""),2.64)</f>
        <v>2.64</v>
      </c>
      <c r="D3388" s="1">
        <f>IFERROR(__xludf.DUMMYFUNCTION("""COMPUTED_VALUE"""),2.52)</f>
        <v>2.52</v>
      </c>
      <c r="E3388" s="1">
        <f>IFERROR(__xludf.DUMMYFUNCTION("""COMPUTED_VALUE"""),2.62)</f>
        <v>2.62</v>
      </c>
      <c r="F3388" s="1">
        <f>IFERROR(__xludf.DUMMYFUNCTION("""COMPUTED_VALUE"""),297175.0)</f>
        <v>297175</v>
      </c>
    </row>
    <row r="3389">
      <c r="A3389" s="2">
        <f>IFERROR(__xludf.DUMMYFUNCTION("""COMPUTED_VALUE"""),44084.66666666667)</f>
        <v>44084.66667</v>
      </c>
      <c r="B3389" s="1">
        <f>IFERROR(__xludf.DUMMYFUNCTION("""COMPUTED_VALUE"""),2.63)</f>
        <v>2.63</v>
      </c>
      <c r="C3389" s="1">
        <f>IFERROR(__xludf.DUMMYFUNCTION("""COMPUTED_VALUE"""),2.63)</f>
        <v>2.63</v>
      </c>
      <c r="D3389" s="1">
        <f>IFERROR(__xludf.DUMMYFUNCTION("""COMPUTED_VALUE"""),2.54)</f>
        <v>2.54</v>
      </c>
      <c r="E3389" s="1">
        <f>IFERROR(__xludf.DUMMYFUNCTION("""COMPUTED_VALUE"""),2.54)</f>
        <v>2.54</v>
      </c>
      <c r="F3389" s="1">
        <f>IFERROR(__xludf.DUMMYFUNCTION("""COMPUTED_VALUE"""),264382.0)</f>
        <v>264382</v>
      </c>
    </row>
    <row r="3390">
      <c r="A3390" s="2">
        <f>IFERROR(__xludf.DUMMYFUNCTION("""COMPUTED_VALUE"""),44085.66666666667)</f>
        <v>44085.66667</v>
      </c>
      <c r="B3390" s="1">
        <f>IFERROR(__xludf.DUMMYFUNCTION("""COMPUTED_VALUE"""),2.57)</f>
        <v>2.57</v>
      </c>
      <c r="C3390" s="1">
        <f>IFERROR(__xludf.DUMMYFUNCTION("""COMPUTED_VALUE"""),2.58)</f>
        <v>2.58</v>
      </c>
      <c r="D3390" s="1">
        <f>IFERROR(__xludf.DUMMYFUNCTION("""COMPUTED_VALUE"""),2.53)</f>
        <v>2.53</v>
      </c>
      <c r="E3390" s="1">
        <f>IFERROR(__xludf.DUMMYFUNCTION("""COMPUTED_VALUE"""),2.57)</f>
        <v>2.57</v>
      </c>
      <c r="F3390" s="1">
        <f>IFERROR(__xludf.DUMMYFUNCTION("""COMPUTED_VALUE"""),209840.0)</f>
        <v>209840</v>
      </c>
    </row>
    <row r="3391">
      <c r="A3391" s="2">
        <f>IFERROR(__xludf.DUMMYFUNCTION("""COMPUTED_VALUE"""),44088.66666666667)</f>
        <v>44088.66667</v>
      </c>
      <c r="B3391" s="1">
        <f>IFERROR(__xludf.DUMMYFUNCTION("""COMPUTED_VALUE"""),2.59)</f>
        <v>2.59</v>
      </c>
      <c r="C3391" s="1">
        <f>IFERROR(__xludf.DUMMYFUNCTION("""COMPUTED_VALUE"""),2.64)</f>
        <v>2.64</v>
      </c>
      <c r="D3391" s="1">
        <f>IFERROR(__xludf.DUMMYFUNCTION("""COMPUTED_VALUE"""),2.57)</f>
        <v>2.57</v>
      </c>
      <c r="E3391" s="1">
        <f>IFERROR(__xludf.DUMMYFUNCTION("""COMPUTED_VALUE"""),2.63)</f>
        <v>2.63</v>
      </c>
      <c r="F3391" s="1">
        <f>IFERROR(__xludf.DUMMYFUNCTION("""COMPUTED_VALUE"""),248017.0)</f>
        <v>248017</v>
      </c>
    </row>
    <row r="3392">
      <c r="A3392" s="2">
        <f>IFERROR(__xludf.DUMMYFUNCTION("""COMPUTED_VALUE"""),44089.66666666667)</f>
        <v>44089.66667</v>
      </c>
      <c r="B3392" s="1">
        <f>IFERROR(__xludf.DUMMYFUNCTION("""COMPUTED_VALUE"""),2.65)</f>
        <v>2.65</v>
      </c>
      <c r="C3392" s="1">
        <f>IFERROR(__xludf.DUMMYFUNCTION("""COMPUTED_VALUE"""),2.68)</f>
        <v>2.68</v>
      </c>
      <c r="D3392" s="1">
        <f>IFERROR(__xludf.DUMMYFUNCTION("""COMPUTED_VALUE"""),2.61)</f>
        <v>2.61</v>
      </c>
      <c r="E3392" s="1">
        <f>IFERROR(__xludf.DUMMYFUNCTION("""COMPUTED_VALUE"""),2.63)</f>
        <v>2.63</v>
      </c>
      <c r="F3392" s="1">
        <f>IFERROR(__xludf.DUMMYFUNCTION("""COMPUTED_VALUE"""),254983.0)</f>
        <v>254983</v>
      </c>
    </row>
    <row r="3393">
      <c r="A3393" s="2">
        <f>IFERROR(__xludf.DUMMYFUNCTION("""COMPUTED_VALUE"""),44090.66666666667)</f>
        <v>44090.66667</v>
      </c>
      <c r="B3393" s="1">
        <f>IFERROR(__xludf.DUMMYFUNCTION("""COMPUTED_VALUE"""),2.63)</f>
        <v>2.63</v>
      </c>
      <c r="C3393" s="1">
        <f>IFERROR(__xludf.DUMMYFUNCTION("""COMPUTED_VALUE"""),2.66)</f>
        <v>2.66</v>
      </c>
      <c r="D3393" s="1">
        <f>IFERROR(__xludf.DUMMYFUNCTION("""COMPUTED_VALUE"""),2.62)</f>
        <v>2.62</v>
      </c>
      <c r="E3393" s="1">
        <f>IFERROR(__xludf.DUMMYFUNCTION("""COMPUTED_VALUE"""),2.63)</f>
        <v>2.63</v>
      </c>
      <c r="F3393" s="1">
        <f>IFERROR(__xludf.DUMMYFUNCTION("""COMPUTED_VALUE"""),247011.0)</f>
        <v>247011</v>
      </c>
    </row>
    <row r="3394">
      <c r="A3394" s="2">
        <f>IFERROR(__xludf.DUMMYFUNCTION("""COMPUTED_VALUE"""),44091.66666666667)</f>
        <v>44091.66667</v>
      </c>
      <c r="B3394" s="1">
        <f>IFERROR(__xludf.DUMMYFUNCTION("""COMPUTED_VALUE"""),2.62)</f>
        <v>2.62</v>
      </c>
      <c r="C3394" s="1">
        <f>IFERROR(__xludf.DUMMYFUNCTION("""COMPUTED_VALUE"""),2.65)</f>
        <v>2.65</v>
      </c>
      <c r="D3394" s="1">
        <f>IFERROR(__xludf.DUMMYFUNCTION("""COMPUTED_VALUE"""),2.58)</f>
        <v>2.58</v>
      </c>
      <c r="E3394" s="1">
        <f>IFERROR(__xludf.DUMMYFUNCTION("""COMPUTED_VALUE"""),2.64)</f>
        <v>2.64</v>
      </c>
      <c r="F3394" s="1">
        <f>IFERROR(__xludf.DUMMYFUNCTION("""COMPUTED_VALUE"""),217499.0)</f>
        <v>217499</v>
      </c>
    </row>
    <row r="3395">
      <c r="A3395" s="2">
        <f>IFERROR(__xludf.DUMMYFUNCTION("""COMPUTED_VALUE"""),44092.66666666667)</f>
        <v>44092.66667</v>
      </c>
      <c r="B3395" s="1">
        <f>IFERROR(__xludf.DUMMYFUNCTION("""COMPUTED_VALUE"""),2.67)</f>
        <v>2.67</v>
      </c>
      <c r="C3395" s="1">
        <f>IFERROR(__xludf.DUMMYFUNCTION("""COMPUTED_VALUE"""),2.71)</f>
        <v>2.71</v>
      </c>
      <c r="D3395" s="1">
        <f>IFERROR(__xludf.DUMMYFUNCTION("""COMPUTED_VALUE"""),2.65)</f>
        <v>2.65</v>
      </c>
      <c r="E3395" s="1">
        <f>IFERROR(__xludf.DUMMYFUNCTION("""COMPUTED_VALUE"""),2.7)</f>
        <v>2.7</v>
      </c>
      <c r="F3395" s="1">
        <f>IFERROR(__xludf.DUMMYFUNCTION("""COMPUTED_VALUE"""),539817.0)</f>
        <v>539817</v>
      </c>
    </row>
    <row r="3396">
      <c r="A3396" s="2">
        <f>IFERROR(__xludf.DUMMYFUNCTION("""COMPUTED_VALUE"""),44095.66666666667)</f>
        <v>44095.66667</v>
      </c>
      <c r="B3396" s="1">
        <f>IFERROR(__xludf.DUMMYFUNCTION("""COMPUTED_VALUE"""),2.65)</f>
        <v>2.65</v>
      </c>
      <c r="C3396" s="1">
        <f>IFERROR(__xludf.DUMMYFUNCTION("""COMPUTED_VALUE"""),2.65)</f>
        <v>2.65</v>
      </c>
      <c r="D3396" s="1">
        <f>IFERROR(__xludf.DUMMYFUNCTION("""COMPUTED_VALUE"""),2.57)</f>
        <v>2.57</v>
      </c>
      <c r="E3396" s="1">
        <f>IFERROR(__xludf.DUMMYFUNCTION("""COMPUTED_VALUE"""),2.59)</f>
        <v>2.59</v>
      </c>
      <c r="F3396" s="1">
        <f>IFERROR(__xludf.DUMMYFUNCTION("""COMPUTED_VALUE"""),344611.0)</f>
        <v>344611</v>
      </c>
    </row>
    <row r="3397">
      <c r="A3397" s="2">
        <f>IFERROR(__xludf.DUMMYFUNCTION("""COMPUTED_VALUE"""),44096.66666666667)</f>
        <v>44096.66667</v>
      </c>
      <c r="B3397" s="1">
        <f>IFERROR(__xludf.DUMMYFUNCTION("""COMPUTED_VALUE"""),2.62)</f>
        <v>2.62</v>
      </c>
      <c r="C3397" s="1">
        <f>IFERROR(__xludf.DUMMYFUNCTION("""COMPUTED_VALUE"""),2.64)</f>
        <v>2.64</v>
      </c>
      <c r="D3397" s="1">
        <f>IFERROR(__xludf.DUMMYFUNCTION("""COMPUTED_VALUE"""),2.54)</f>
        <v>2.54</v>
      </c>
      <c r="E3397" s="1">
        <f>IFERROR(__xludf.DUMMYFUNCTION("""COMPUTED_VALUE"""),2.6)</f>
        <v>2.6</v>
      </c>
      <c r="F3397" s="1">
        <f>IFERROR(__xludf.DUMMYFUNCTION("""COMPUTED_VALUE"""),358294.0)</f>
        <v>358294</v>
      </c>
    </row>
    <row r="3398">
      <c r="A3398" s="2">
        <f>IFERROR(__xludf.DUMMYFUNCTION("""COMPUTED_VALUE"""),44097.66666666667)</f>
        <v>44097.66667</v>
      </c>
      <c r="B3398" s="1">
        <f>IFERROR(__xludf.DUMMYFUNCTION("""COMPUTED_VALUE"""),2.61)</f>
        <v>2.61</v>
      </c>
      <c r="C3398" s="1">
        <f>IFERROR(__xludf.DUMMYFUNCTION("""COMPUTED_VALUE"""),2.65)</f>
        <v>2.65</v>
      </c>
      <c r="D3398" s="1">
        <f>IFERROR(__xludf.DUMMYFUNCTION("""COMPUTED_VALUE"""),2.51)</f>
        <v>2.51</v>
      </c>
      <c r="E3398" s="1">
        <f>IFERROR(__xludf.DUMMYFUNCTION("""COMPUTED_VALUE"""),2.51)</f>
        <v>2.51</v>
      </c>
      <c r="F3398" s="1">
        <f>IFERROR(__xludf.DUMMYFUNCTION("""COMPUTED_VALUE"""),249027.0)</f>
        <v>249027</v>
      </c>
    </row>
    <row r="3399">
      <c r="A3399" s="2">
        <f>IFERROR(__xludf.DUMMYFUNCTION("""COMPUTED_VALUE"""),44098.66666666667)</f>
        <v>44098.66667</v>
      </c>
      <c r="B3399" s="1">
        <f>IFERROR(__xludf.DUMMYFUNCTION("""COMPUTED_VALUE"""),2.5)</f>
        <v>2.5</v>
      </c>
      <c r="C3399" s="1">
        <f>IFERROR(__xludf.DUMMYFUNCTION("""COMPUTED_VALUE"""),2.59)</f>
        <v>2.59</v>
      </c>
      <c r="D3399" s="1">
        <f>IFERROR(__xludf.DUMMYFUNCTION("""COMPUTED_VALUE"""),2.45)</f>
        <v>2.45</v>
      </c>
      <c r="E3399" s="1">
        <f>IFERROR(__xludf.DUMMYFUNCTION("""COMPUTED_VALUE"""),2.54)</f>
        <v>2.54</v>
      </c>
      <c r="F3399" s="1">
        <f>IFERROR(__xludf.DUMMYFUNCTION("""COMPUTED_VALUE"""),201510.0)</f>
        <v>201510</v>
      </c>
    </row>
    <row r="3400">
      <c r="A3400" s="2">
        <f>IFERROR(__xludf.DUMMYFUNCTION("""COMPUTED_VALUE"""),44099.66666666667)</f>
        <v>44099.66667</v>
      </c>
      <c r="B3400" s="1">
        <f>IFERROR(__xludf.DUMMYFUNCTION("""COMPUTED_VALUE"""),2.53)</f>
        <v>2.53</v>
      </c>
      <c r="C3400" s="1">
        <f>IFERROR(__xludf.DUMMYFUNCTION("""COMPUTED_VALUE"""),2.6)</f>
        <v>2.6</v>
      </c>
      <c r="D3400" s="1">
        <f>IFERROR(__xludf.DUMMYFUNCTION("""COMPUTED_VALUE"""),2.52)</f>
        <v>2.52</v>
      </c>
      <c r="E3400" s="1">
        <f>IFERROR(__xludf.DUMMYFUNCTION("""COMPUTED_VALUE"""),2.57)</f>
        <v>2.57</v>
      </c>
      <c r="F3400" s="1">
        <f>IFERROR(__xludf.DUMMYFUNCTION("""COMPUTED_VALUE"""),212671.0)</f>
        <v>212671</v>
      </c>
    </row>
    <row r="3401">
      <c r="A3401" s="2">
        <f>IFERROR(__xludf.DUMMYFUNCTION("""COMPUTED_VALUE"""),44102.66666666667)</f>
        <v>44102.66667</v>
      </c>
      <c r="B3401" s="1">
        <f>IFERROR(__xludf.DUMMYFUNCTION("""COMPUTED_VALUE"""),2.61)</f>
        <v>2.61</v>
      </c>
      <c r="C3401" s="1">
        <f>IFERROR(__xludf.DUMMYFUNCTION("""COMPUTED_VALUE"""),2.66)</f>
        <v>2.66</v>
      </c>
      <c r="D3401" s="1">
        <f>IFERROR(__xludf.DUMMYFUNCTION("""COMPUTED_VALUE"""),2.61)</f>
        <v>2.61</v>
      </c>
      <c r="E3401" s="1">
        <f>IFERROR(__xludf.DUMMYFUNCTION("""COMPUTED_VALUE"""),2.65)</f>
        <v>2.65</v>
      </c>
      <c r="F3401" s="1">
        <f>IFERROR(__xludf.DUMMYFUNCTION("""COMPUTED_VALUE"""),233530.0)</f>
        <v>233530</v>
      </c>
    </row>
    <row r="3402">
      <c r="A3402" s="2">
        <f>IFERROR(__xludf.DUMMYFUNCTION("""COMPUTED_VALUE"""),44103.66666666667)</f>
        <v>44103.66667</v>
      </c>
      <c r="B3402" s="1">
        <f>IFERROR(__xludf.DUMMYFUNCTION("""COMPUTED_VALUE"""),2.65)</f>
        <v>2.65</v>
      </c>
      <c r="C3402" s="1">
        <f>IFERROR(__xludf.DUMMYFUNCTION("""COMPUTED_VALUE"""),2.69)</f>
        <v>2.69</v>
      </c>
      <c r="D3402" s="1">
        <f>IFERROR(__xludf.DUMMYFUNCTION("""COMPUTED_VALUE"""),2.65)</f>
        <v>2.65</v>
      </c>
      <c r="E3402" s="1">
        <f>IFERROR(__xludf.DUMMYFUNCTION("""COMPUTED_VALUE"""),2.68)</f>
        <v>2.68</v>
      </c>
      <c r="F3402" s="1">
        <f>IFERROR(__xludf.DUMMYFUNCTION("""COMPUTED_VALUE"""),175693.0)</f>
        <v>175693</v>
      </c>
    </row>
    <row r="3403">
      <c r="A3403" s="2">
        <f>IFERROR(__xludf.DUMMYFUNCTION("""COMPUTED_VALUE"""),44104.66666666667)</f>
        <v>44104.66667</v>
      </c>
      <c r="B3403" s="1">
        <f>IFERROR(__xludf.DUMMYFUNCTION("""COMPUTED_VALUE"""),2.67)</f>
        <v>2.67</v>
      </c>
      <c r="C3403" s="1">
        <f>IFERROR(__xludf.DUMMYFUNCTION("""COMPUTED_VALUE"""),2.71)</f>
        <v>2.71</v>
      </c>
      <c r="D3403" s="1">
        <f>IFERROR(__xludf.DUMMYFUNCTION("""COMPUTED_VALUE"""),2.63)</f>
        <v>2.63</v>
      </c>
      <c r="E3403" s="1">
        <f>IFERROR(__xludf.DUMMYFUNCTION("""COMPUTED_VALUE"""),2.64)</f>
        <v>2.64</v>
      </c>
      <c r="F3403" s="1">
        <f>IFERROR(__xludf.DUMMYFUNCTION("""COMPUTED_VALUE"""),286523.0)</f>
        <v>286523</v>
      </c>
    </row>
    <row r="3404">
      <c r="A3404" s="2">
        <f>IFERROR(__xludf.DUMMYFUNCTION("""COMPUTED_VALUE"""),44105.66666666667)</f>
        <v>44105.66667</v>
      </c>
      <c r="B3404" s="1">
        <f>IFERROR(__xludf.DUMMYFUNCTION("""COMPUTED_VALUE"""),2.66)</f>
        <v>2.66</v>
      </c>
      <c r="C3404" s="1">
        <f>IFERROR(__xludf.DUMMYFUNCTION("""COMPUTED_VALUE"""),2.68)</f>
        <v>2.68</v>
      </c>
      <c r="D3404" s="1">
        <f>IFERROR(__xludf.DUMMYFUNCTION("""COMPUTED_VALUE"""),2.6)</f>
        <v>2.6</v>
      </c>
      <c r="E3404" s="1">
        <f>IFERROR(__xludf.DUMMYFUNCTION("""COMPUTED_VALUE"""),2.62)</f>
        <v>2.62</v>
      </c>
      <c r="F3404" s="1">
        <f>IFERROR(__xludf.DUMMYFUNCTION("""COMPUTED_VALUE"""),158977.0)</f>
        <v>158977</v>
      </c>
    </row>
    <row r="3405">
      <c r="A3405" s="2">
        <f>IFERROR(__xludf.DUMMYFUNCTION("""COMPUTED_VALUE"""),44106.66666666667)</f>
        <v>44106.66667</v>
      </c>
      <c r="B3405" s="1">
        <f>IFERROR(__xludf.DUMMYFUNCTION("""COMPUTED_VALUE"""),2.57)</f>
        <v>2.57</v>
      </c>
      <c r="C3405" s="1">
        <f>IFERROR(__xludf.DUMMYFUNCTION("""COMPUTED_VALUE"""),2.62)</f>
        <v>2.62</v>
      </c>
      <c r="D3405" s="1">
        <f>IFERROR(__xludf.DUMMYFUNCTION("""COMPUTED_VALUE"""),2.53)</f>
        <v>2.53</v>
      </c>
      <c r="E3405" s="1">
        <f>IFERROR(__xludf.DUMMYFUNCTION("""COMPUTED_VALUE"""),2.58)</f>
        <v>2.58</v>
      </c>
      <c r="F3405" s="1">
        <f>IFERROR(__xludf.DUMMYFUNCTION("""COMPUTED_VALUE"""),121877.0)</f>
        <v>121877</v>
      </c>
    </row>
    <row r="3406">
      <c r="A3406" s="2">
        <f>IFERROR(__xludf.DUMMYFUNCTION("""COMPUTED_VALUE"""),44109.66666666667)</f>
        <v>44109.66667</v>
      </c>
      <c r="B3406" s="1">
        <f>IFERROR(__xludf.DUMMYFUNCTION("""COMPUTED_VALUE"""),2.61)</f>
        <v>2.61</v>
      </c>
      <c r="C3406" s="1">
        <f>IFERROR(__xludf.DUMMYFUNCTION("""COMPUTED_VALUE"""),2.69)</f>
        <v>2.69</v>
      </c>
      <c r="D3406" s="1">
        <f>IFERROR(__xludf.DUMMYFUNCTION("""COMPUTED_VALUE"""),2.6)</f>
        <v>2.6</v>
      </c>
      <c r="E3406" s="1">
        <f>IFERROR(__xludf.DUMMYFUNCTION("""COMPUTED_VALUE"""),2.68)</f>
        <v>2.68</v>
      </c>
      <c r="F3406" s="1">
        <f>IFERROR(__xludf.DUMMYFUNCTION("""COMPUTED_VALUE"""),229681.0)</f>
        <v>229681</v>
      </c>
    </row>
    <row r="3407">
      <c r="A3407" s="2">
        <f>IFERROR(__xludf.DUMMYFUNCTION("""COMPUTED_VALUE"""),44110.66666666667)</f>
        <v>44110.66667</v>
      </c>
      <c r="B3407" s="1">
        <f>IFERROR(__xludf.DUMMYFUNCTION("""COMPUTED_VALUE"""),2.7)</f>
        <v>2.7</v>
      </c>
      <c r="C3407" s="1">
        <f>IFERROR(__xludf.DUMMYFUNCTION("""COMPUTED_VALUE"""),2.71)</f>
        <v>2.71</v>
      </c>
      <c r="D3407" s="1">
        <f>IFERROR(__xludf.DUMMYFUNCTION("""COMPUTED_VALUE"""),2.64)</f>
        <v>2.64</v>
      </c>
      <c r="E3407" s="1">
        <f>IFERROR(__xludf.DUMMYFUNCTION("""COMPUTED_VALUE"""),2.65)</f>
        <v>2.65</v>
      </c>
      <c r="F3407" s="1">
        <f>IFERROR(__xludf.DUMMYFUNCTION("""COMPUTED_VALUE"""),188656.0)</f>
        <v>188656</v>
      </c>
    </row>
    <row r="3408">
      <c r="A3408" s="2">
        <f>IFERROR(__xludf.DUMMYFUNCTION("""COMPUTED_VALUE"""),44111.66666666667)</f>
        <v>44111.66667</v>
      </c>
      <c r="B3408" s="1">
        <f>IFERROR(__xludf.DUMMYFUNCTION("""COMPUTED_VALUE"""),2.67)</f>
        <v>2.67</v>
      </c>
      <c r="C3408" s="1">
        <f>IFERROR(__xludf.DUMMYFUNCTION("""COMPUTED_VALUE"""),2.73)</f>
        <v>2.73</v>
      </c>
      <c r="D3408" s="1">
        <f>IFERROR(__xludf.DUMMYFUNCTION("""COMPUTED_VALUE"""),2.67)</f>
        <v>2.67</v>
      </c>
      <c r="E3408" s="1">
        <f>IFERROR(__xludf.DUMMYFUNCTION("""COMPUTED_VALUE"""),2.7)</f>
        <v>2.7</v>
      </c>
      <c r="F3408" s="1">
        <f>IFERROR(__xludf.DUMMYFUNCTION("""COMPUTED_VALUE"""),167620.0)</f>
        <v>167620</v>
      </c>
    </row>
    <row r="3409">
      <c r="A3409" s="2">
        <f>IFERROR(__xludf.DUMMYFUNCTION("""COMPUTED_VALUE"""),44112.66666666667)</f>
        <v>44112.66667</v>
      </c>
      <c r="B3409" s="1">
        <f>IFERROR(__xludf.DUMMYFUNCTION("""COMPUTED_VALUE"""),2.73)</f>
        <v>2.73</v>
      </c>
      <c r="C3409" s="1">
        <f>IFERROR(__xludf.DUMMYFUNCTION("""COMPUTED_VALUE"""),2.77)</f>
        <v>2.77</v>
      </c>
      <c r="D3409" s="1">
        <f>IFERROR(__xludf.DUMMYFUNCTION("""COMPUTED_VALUE"""),2.73)</f>
        <v>2.73</v>
      </c>
      <c r="E3409" s="1">
        <f>IFERROR(__xludf.DUMMYFUNCTION("""COMPUTED_VALUE"""),2.76)</f>
        <v>2.76</v>
      </c>
      <c r="F3409" s="1">
        <f>IFERROR(__xludf.DUMMYFUNCTION("""COMPUTED_VALUE"""),130175.0)</f>
        <v>130175</v>
      </c>
    </row>
    <row r="3410">
      <c r="A3410" s="2">
        <f>IFERROR(__xludf.DUMMYFUNCTION("""COMPUTED_VALUE"""),44113.66666666667)</f>
        <v>44113.66667</v>
      </c>
      <c r="B3410" s="1">
        <f>IFERROR(__xludf.DUMMYFUNCTION("""COMPUTED_VALUE"""),2.79)</f>
        <v>2.79</v>
      </c>
      <c r="C3410" s="1">
        <f>IFERROR(__xludf.DUMMYFUNCTION("""COMPUTED_VALUE"""),2.79)</f>
        <v>2.79</v>
      </c>
      <c r="D3410" s="1">
        <f>IFERROR(__xludf.DUMMYFUNCTION("""COMPUTED_VALUE"""),2.76)</f>
        <v>2.76</v>
      </c>
      <c r="E3410" s="1">
        <f>IFERROR(__xludf.DUMMYFUNCTION("""COMPUTED_VALUE"""),2.77)</f>
        <v>2.77</v>
      </c>
      <c r="F3410" s="1">
        <f>IFERROR(__xludf.DUMMYFUNCTION("""COMPUTED_VALUE"""),96761.0)</f>
        <v>96761</v>
      </c>
    </row>
    <row r="3411">
      <c r="A3411" s="2">
        <f>IFERROR(__xludf.DUMMYFUNCTION("""COMPUTED_VALUE"""),44116.66666666667)</f>
        <v>44116.66667</v>
      </c>
      <c r="B3411" s="1">
        <f>IFERROR(__xludf.DUMMYFUNCTION("""COMPUTED_VALUE"""),2.79)</f>
        <v>2.79</v>
      </c>
      <c r="C3411" s="1">
        <f>IFERROR(__xludf.DUMMYFUNCTION("""COMPUTED_VALUE"""),2.82)</f>
        <v>2.82</v>
      </c>
      <c r="D3411" s="1">
        <f>IFERROR(__xludf.DUMMYFUNCTION("""COMPUTED_VALUE"""),2.77)</f>
        <v>2.77</v>
      </c>
      <c r="E3411" s="1">
        <f>IFERROR(__xludf.DUMMYFUNCTION("""COMPUTED_VALUE"""),2.79)</f>
        <v>2.79</v>
      </c>
      <c r="F3411" s="1">
        <f>IFERROR(__xludf.DUMMYFUNCTION("""COMPUTED_VALUE"""),217693.0)</f>
        <v>217693</v>
      </c>
    </row>
    <row r="3412">
      <c r="A3412" s="2">
        <f>IFERROR(__xludf.DUMMYFUNCTION("""COMPUTED_VALUE"""),44117.66666666667)</f>
        <v>44117.66667</v>
      </c>
      <c r="B3412" s="1">
        <f>IFERROR(__xludf.DUMMYFUNCTION("""COMPUTED_VALUE"""),2.79)</f>
        <v>2.79</v>
      </c>
      <c r="C3412" s="1">
        <f>IFERROR(__xludf.DUMMYFUNCTION("""COMPUTED_VALUE"""),2.8)</f>
        <v>2.8</v>
      </c>
      <c r="D3412" s="1">
        <f>IFERROR(__xludf.DUMMYFUNCTION("""COMPUTED_VALUE"""),2.73)</f>
        <v>2.73</v>
      </c>
      <c r="E3412" s="1">
        <f>IFERROR(__xludf.DUMMYFUNCTION("""COMPUTED_VALUE"""),2.79)</f>
        <v>2.79</v>
      </c>
      <c r="F3412" s="1">
        <f>IFERROR(__xludf.DUMMYFUNCTION("""COMPUTED_VALUE"""),133009.0)</f>
        <v>133009</v>
      </c>
    </row>
    <row r="3413">
      <c r="A3413" s="2">
        <f>IFERROR(__xludf.DUMMYFUNCTION("""COMPUTED_VALUE"""),44118.66666666667)</f>
        <v>44118.66667</v>
      </c>
      <c r="B3413" s="1">
        <f>IFERROR(__xludf.DUMMYFUNCTION("""COMPUTED_VALUE"""),2.78)</f>
        <v>2.78</v>
      </c>
      <c r="C3413" s="1">
        <f>IFERROR(__xludf.DUMMYFUNCTION("""COMPUTED_VALUE"""),2.8)</f>
        <v>2.8</v>
      </c>
      <c r="D3413" s="1">
        <f>IFERROR(__xludf.DUMMYFUNCTION("""COMPUTED_VALUE"""),2.74)</f>
        <v>2.74</v>
      </c>
      <c r="E3413" s="1">
        <f>IFERROR(__xludf.DUMMYFUNCTION("""COMPUTED_VALUE"""),2.75)</f>
        <v>2.75</v>
      </c>
      <c r="F3413" s="1">
        <f>IFERROR(__xludf.DUMMYFUNCTION("""COMPUTED_VALUE"""),130166.0)</f>
        <v>130166</v>
      </c>
    </row>
    <row r="3414">
      <c r="A3414" s="2">
        <f>IFERROR(__xludf.DUMMYFUNCTION("""COMPUTED_VALUE"""),44119.66666666667)</f>
        <v>44119.66667</v>
      </c>
      <c r="B3414" s="1">
        <f>IFERROR(__xludf.DUMMYFUNCTION("""COMPUTED_VALUE"""),2.71)</f>
        <v>2.71</v>
      </c>
      <c r="C3414" s="1">
        <f>IFERROR(__xludf.DUMMYFUNCTION("""COMPUTED_VALUE"""),2.77)</f>
        <v>2.77</v>
      </c>
      <c r="D3414" s="1">
        <f>IFERROR(__xludf.DUMMYFUNCTION("""COMPUTED_VALUE"""),2.69)</f>
        <v>2.69</v>
      </c>
      <c r="E3414" s="1">
        <f>IFERROR(__xludf.DUMMYFUNCTION("""COMPUTED_VALUE"""),2.77)</f>
        <v>2.77</v>
      </c>
      <c r="F3414" s="1">
        <f>IFERROR(__xludf.DUMMYFUNCTION("""COMPUTED_VALUE"""),105210.0)</f>
        <v>105210</v>
      </c>
    </row>
    <row r="3415">
      <c r="A3415" s="2">
        <f>IFERROR(__xludf.DUMMYFUNCTION("""COMPUTED_VALUE"""),44120.66666666667)</f>
        <v>44120.66667</v>
      </c>
      <c r="B3415" s="1">
        <f>IFERROR(__xludf.DUMMYFUNCTION("""COMPUTED_VALUE"""),2.76)</f>
        <v>2.76</v>
      </c>
      <c r="C3415" s="1">
        <f>IFERROR(__xludf.DUMMYFUNCTION("""COMPUTED_VALUE"""),2.78)</f>
        <v>2.78</v>
      </c>
      <c r="D3415" s="1">
        <f>IFERROR(__xludf.DUMMYFUNCTION("""COMPUTED_VALUE"""),2.72)</f>
        <v>2.72</v>
      </c>
      <c r="E3415" s="1">
        <f>IFERROR(__xludf.DUMMYFUNCTION("""COMPUTED_VALUE"""),2.73)</f>
        <v>2.73</v>
      </c>
      <c r="F3415" s="1">
        <f>IFERROR(__xludf.DUMMYFUNCTION("""COMPUTED_VALUE"""),154105.0)</f>
        <v>154105</v>
      </c>
    </row>
    <row r="3416">
      <c r="A3416" s="2">
        <f>IFERROR(__xludf.DUMMYFUNCTION("""COMPUTED_VALUE"""),44123.66666666667)</f>
        <v>44123.66667</v>
      </c>
      <c r="B3416" s="1">
        <f>IFERROR(__xludf.DUMMYFUNCTION("""COMPUTED_VALUE"""),2.74)</f>
        <v>2.74</v>
      </c>
      <c r="C3416" s="1">
        <f>IFERROR(__xludf.DUMMYFUNCTION("""COMPUTED_VALUE"""),2.74)</f>
        <v>2.74</v>
      </c>
      <c r="D3416" s="1">
        <f>IFERROR(__xludf.DUMMYFUNCTION("""COMPUTED_VALUE"""),2.66)</f>
        <v>2.66</v>
      </c>
      <c r="E3416" s="1">
        <f>IFERROR(__xludf.DUMMYFUNCTION("""COMPUTED_VALUE"""),2.67)</f>
        <v>2.67</v>
      </c>
      <c r="F3416" s="1">
        <f>IFERROR(__xludf.DUMMYFUNCTION("""COMPUTED_VALUE"""),126286.0)</f>
        <v>126286</v>
      </c>
    </row>
    <row r="3417">
      <c r="A3417" s="2">
        <f>IFERROR(__xludf.DUMMYFUNCTION("""COMPUTED_VALUE"""),44124.66666666667)</f>
        <v>44124.66667</v>
      </c>
      <c r="B3417" s="1">
        <f>IFERROR(__xludf.DUMMYFUNCTION("""COMPUTED_VALUE"""),2.69)</f>
        <v>2.69</v>
      </c>
      <c r="C3417" s="1">
        <f>IFERROR(__xludf.DUMMYFUNCTION("""COMPUTED_VALUE"""),2.69)</f>
        <v>2.69</v>
      </c>
      <c r="D3417" s="1">
        <f>IFERROR(__xludf.DUMMYFUNCTION("""COMPUTED_VALUE"""),2.64)</f>
        <v>2.64</v>
      </c>
      <c r="E3417" s="1">
        <f>IFERROR(__xludf.DUMMYFUNCTION("""COMPUTED_VALUE"""),2.65)</f>
        <v>2.65</v>
      </c>
      <c r="F3417" s="1">
        <f>IFERROR(__xludf.DUMMYFUNCTION("""COMPUTED_VALUE"""),139394.0)</f>
        <v>139394</v>
      </c>
    </row>
    <row r="3418">
      <c r="A3418" s="2">
        <f>IFERROR(__xludf.DUMMYFUNCTION("""COMPUTED_VALUE"""),44125.66666666667)</f>
        <v>44125.66667</v>
      </c>
      <c r="B3418" s="1">
        <f>IFERROR(__xludf.DUMMYFUNCTION("""COMPUTED_VALUE"""),2.66)</f>
        <v>2.66</v>
      </c>
      <c r="C3418" s="1">
        <f>IFERROR(__xludf.DUMMYFUNCTION("""COMPUTED_VALUE"""),2.69)</f>
        <v>2.69</v>
      </c>
      <c r="D3418" s="1">
        <f>IFERROR(__xludf.DUMMYFUNCTION("""COMPUTED_VALUE"""),2.61)</f>
        <v>2.61</v>
      </c>
      <c r="E3418" s="1">
        <f>IFERROR(__xludf.DUMMYFUNCTION("""COMPUTED_VALUE"""),2.62)</f>
        <v>2.62</v>
      </c>
      <c r="F3418" s="1">
        <f>IFERROR(__xludf.DUMMYFUNCTION("""COMPUTED_VALUE"""),155701.0)</f>
        <v>155701</v>
      </c>
    </row>
    <row r="3419">
      <c r="A3419" s="2">
        <f>IFERROR(__xludf.DUMMYFUNCTION("""COMPUTED_VALUE"""),44126.66666666667)</f>
        <v>44126.66667</v>
      </c>
      <c r="B3419" s="1">
        <f>IFERROR(__xludf.DUMMYFUNCTION("""COMPUTED_VALUE"""),2.61)</f>
        <v>2.61</v>
      </c>
      <c r="C3419" s="1">
        <f>IFERROR(__xludf.DUMMYFUNCTION("""COMPUTED_VALUE"""),2.69)</f>
        <v>2.69</v>
      </c>
      <c r="D3419" s="1">
        <f>IFERROR(__xludf.DUMMYFUNCTION("""COMPUTED_VALUE"""),2.59)</f>
        <v>2.59</v>
      </c>
      <c r="E3419" s="1">
        <f>IFERROR(__xludf.DUMMYFUNCTION("""COMPUTED_VALUE"""),2.68)</f>
        <v>2.68</v>
      </c>
      <c r="F3419" s="1">
        <f>IFERROR(__xludf.DUMMYFUNCTION("""COMPUTED_VALUE"""),190089.0)</f>
        <v>190089</v>
      </c>
    </row>
    <row r="3420">
      <c r="A3420" s="2">
        <f>IFERROR(__xludf.DUMMYFUNCTION("""COMPUTED_VALUE"""),44127.66666666667)</f>
        <v>44127.66667</v>
      </c>
      <c r="B3420" s="1">
        <f>IFERROR(__xludf.DUMMYFUNCTION("""COMPUTED_VALUE"""),2.69)</f>
        <v>2.69</v>
      </c>
      <c r="C3420" s="1">
        <f>IFERROR(__xludf.DUMMYFUNCTION("""COMPUTED_VALUE"""),2.69)</f>
        <v>2.69</v>
      </c>
      <c r="D3420" s="1">
        <f>IFERROR(__xludf.DUMMYFUNCTION("""COMPUTED_VALUE"""),2.53)</f>
        <v>2.53</v>
      </c>
      <c r="E3420" s="1">
        <f>IFERROR(__xludf.DUMMYFUNCTION("""COMPUTED_VALUE"""),2.55)</f>
        <v>2.55</v>
      </c>
      <c r="F3420" s="1">
        <f>IFERROR(__xludf.DUMMYFUNCTION("""COMPUTED_VALUE"""),337532.0)</f>
        <v>337532</v>
      </c>
    </row>
    <row r="3421">
      <c r="A3421" s="2">
        <f>IFERROR(__xludf.DUMMYFUNCTION("""COMPUTED_VALUE"""),44130.66666666667)</f>
        <v>44130.66667</v>
      </c>
      <c r="B3421" s="1">
        <f>IFERROR(__xludf.DUMMYFUNCTION("""COMPUTED_VALUE"""),2.53)</f>
        <v>2.53</v>
      </c>
      <c r="C3421" s="1">
        <f>IFERROR(__xludf.DUMMYFUNCTION("""COMPUTED_VALUE"""),2.53)</f>
        <v>2.53</v>
      </c>
      <c r="D3421" s="1">
        <f>IFERROR(__xludf.DUMMYFUNCTION("""COMPUTED_VALUE"""),2.4)</f>
        <v>2.4</v>
      </c>
      <c r="E3421" s="1">
        <f>IFERROR(__xludf.DUMMYFUNCTION("""COMPUTED_VALUE"""),2.43)</f>
        <v>2.43</v>
      </c>
      <c r="F3421" s="1">
        <f>IFERROR(__xludf.DUMMYFUNCTION("""COMPUTED_VALUE"""),246819.0)</f>
        <v>246819</v>
      </c>
    </row>
    <row r="3422">
      <c r="A3422" s="2">
        <f>IFERROR(__xludf.DUMMYFUNCTION("""COMPUTED_VALUE"""),44131.66666666667)</f>
        <v>44131.66667</v>
      </c>
      <c r="B3422" s="1">
        <f>IFERROR(__xludf.DUMMYFUNCTION("""COMPUTED_VALUE"""),2.42)</f>
        <v>2.42</v>
      </c>
      <c r="C3422" s="1">
        <f>IFERROR(__xludf.DUMMYFUNCTION("""COMPUTED_VALUE"""),2.44)</f>
        <v>2.44</v>
      </c>
      <c r="D3422" s="1">
        <f>IFERROR(__xludf.DUMMYFUNCTION("""COMPUTED_VALUE"""),2.37)</f>
        <v>2.37</v>
      </c>
      <c r="E3422" s="1">
        <f>IFERROR(__xludf.DUMMYFUNCTION("""COMPUTED_VALUE"""),2.37)</f>
        <v>2.37</v>
      </c>
      <c r="F3422" s="1">
        <f>IFERROR(__xludf.DUMMYFUNCTION("""COMPUTED_VALUE"""),220313.0)</f>
        <v>220313</v>
      </c>
    </row>
    <row r="3423">
      <c r="A3423" s="2">
        <f>IFERROR(__xludf.DUMMYFUNCTION("""COMPUTED_VALUE"""),44132.66666666667)</f>
        <v>44132.66667</v>
      </c>
      <c r="B3423" s="1">
        <f>IFERROR(__xludf.DUMMYFUNCTION("""COMPUTED_VALUE"""),2.32)</f>
        <v>2.32</v>
      </c>
      <c r="C3423" s="1">
        <f>IFERROR(__xludf.DUMMYFUNCTION("""COMPUTED_VALUE"""),2.35)</f>
        <v>2.35</v>
      </c>
      <c r="D3423" s="1">
        <f>IFERROR(__xludf.DUMMYFUNCTION("""COMPUTED_VALUE"""),2.21)</f>
        <v>2.21</v>
      </c>
      <c r="E3423" s="1">
        <f>IFERROR(__xludf.DUMMYFUNCTION("""COMPUTED_VALUE"""),2.23)</f>
        <v>2.23</v>
      </c>
      <c r="F3423" s="1">
        <f>IFERROR(__xludf.DUMMYFUNCTION("""COMPUTED_VALUE"""),337878.0)</f>
        <v>337878</v>
      </c>
    </row>
    <row r="3424">
      <c r="A3424" s="2">
        <f>IFERROR(__xludf.DUMMYFUNCTION("""COMPUTED_VALUE"""),44133.66666666667)</f>
        <v>44133.66667</v>
      </c>
      <c r="B3424" s="1">
        <f>IFERROR(__xludf.DUMMYFUNCTION("""COMPUTED_VALUE"""),2.22)</f>
        <v>2.22</v>
      </c>
      <c r="C3424" s="1">
        <f>IFERROR(__xludf.DUMMYFUNCTION("""COMPUTED_VALUE"""),2.32)</f>
        <v>2.32</v>
      </c>
      <c r="D3424" s="1">
        <f>IFERROR(__xludf.DUMMYFUNCTION("""COMPUTED_VALUE"""),2.19)</f>
        <v>2.19</v>
      </c>
      <c r="E3424" s="1">
        <f>IFERROR(__xludf.DUMMYFUNCTION("""COMPUTED_VALUE"""),2.3)</f>
        <v>2.3</v>
      </c>
      <c r="F3424" s="1">
        <f>IFERROR(__xludf.DUMMYFUNCTION("""COMPUTED_VALUE"""),243048.0)</f>
        <v>243048</v>
      </c>
    </row>
    <row r="3425">
      <c r="A3425" s="2">
        <f>IFERROR(__xludf.DUMMYFUNCTION("""COMPUTED_VALUE"""),44134.66666666667)</f>
        <v>44134.66667</v>
      </c>
      <c r="B3425" s="1">
        <f>IFERROR(__xludf.DUMMYFUNCTION("""COMPUTED_VALUE"""),2.28)</f>
        <v>2.28</v>
      </c>
      <c r="C3425" s="1">
        <f>IFERROR(__xludf.DUMMYFUNCTION("""COMPUTED_VALUE"""),2.32)</f>
        <v>2.32</v>
      </c>
      <c r="D3425" s="1">
        <f>IFERROR(__xludf.DUMMYFUNCTION("""COMPUTED_VALUE"""),2.25)</f>
        <v>2.25</v>
      </c>
      <c r="E3425" s="1">
        <f>IFERROR(__xludf.DUMMYFUNCTION("""COMPUTED_VALUE"""),2.27)</f>
        <v>2.27</v>
      </c>
      <c r="F3425" s="1">
        <f>IFERROR(__xludf.DUMMYFUNCTION("""COMPUTED_VALUE"""),207642.0)</f>
        <v>207642</v>
      </c>
    </row>
    <row r="3426">
      <c r="A3426" s="2">
        <f>IFERROR(__xludf.DUMMYFUNCTION("""COMPUTED_VALUE"""),44137.66666666667)</f>
        <v>44137.66667</v>
      </c>
      <c r="B3426" s="1">
        <f>IFERROR(__xludf.DUMMYFUNCTION("""COMPUTED_VALUE"""),2.3)</f>
        <v>2.3</v>
      </c>
      <c r="C3426" s="1">
        <f>IFERROR(__xludf.DUMMYFUNCTION("""COMPUTED_VALUE"""),2.32)</f>
        <v>2.32</v>
      </c>
      <c r="D3426" s="1">
        <f>IFERROR(__xludf.DUMMYFUNCTION("""COMPUTED_VALUE"""),2.27)</f>
        <v>2.27</v>
      </c>
      <c r="E3426" s="1">
        <f>IFERROR(__xludf.DUMMYFUNCTION("""COMPUTED_VALUE"""),2.3)</f>
        <v>2.3</v>
      </c>
      <c r="F3426" s="1">
        <f>IFERROR(__xludf.DUMMYFUNCTION("""COMPUTED_VALUE"""),739858.0)</f>
        <v>739858</v>
      </c>
    </row>
    <row r="3427">
      <c r="A3427" s="2">
        <f>IFERROR(__xludf.DUMMYFUNCTION("""COMPUTED_VALUE"""),44138.66666666667)</f>
        <v>44138.66667</v>
      </c>
      <c r="B3427" s="1">
        <f>IFERROR(__xludf.DUMMYFUNCTION("""COMPUTED_VALUE"""),2.36)</f>
        <v>2.36</v>
      </c>
      <c r="C3427" s="1">
        <f>IFERROR(__xludf.DUMMYFUNCTION("""COMPUTED_VALUE"""),2.36)</f>
        <v>2.36</v>
      </c>
      <c r="D3427" s="1">
        <f>IFERROR(__xludf.DUMMYFUNCTION("""COMPUTED_VALUE"""),2.3)</f>
        <v>2.3</v>
      </c>
      <c r="E3427" s="1">
        <f>IFERROR(__xludf.DUMMYFUNCTION("""COMPUTED_VALUE"""),2.32)</f>
        <v>2.32</v>
      </c>
      <c r="F3427" s="1">
        <f>IFERROR(__xludf.DUMMYFUNCTION("""COMPUTED_VALUE"""),473108.0)</f>
        <v>473108</v>
      </c>
    </row>
    <row r="3428">
      <c r="A3428" s="2">
        <f>IFERROR(__xludf.DUMMYFUNCTION("""COMPUTED_VALUE"""),44139.66666666667)</f>
        <v>44139.66667</v>
      </c>
      <c r="B3428" s="1">
        <f>IFERROR(__xludf.DUMMYFUNCTION("""COMPUTED_VALUE"""),2.69)</f>
        <v>2.69</v>
      </c>
      <c r="C3428" s="1">
        <f>IFERROR(__xludf.DUMMYFUNCTION("""COMPUTED_VALUE"""),2.89)</f>
        <v>2.89</v>
      </c>
      <c r="D3428" s="1">
        <f>IFERROR(__xludf.DUMMYFUNCTION("""COMPUTED_VALUE"""),2.62)</f>
        <v>2.62</v>
      </c>
      <c r="E3428" s="1">
        <f>IFERROR(__xludf.DUMMYFUNCTION("""COMPUTED_VALUE"""),2.84)</f>
        <v>2.84</v>
      </c>
      <c r="F3428" s="1">
        <f>IFERROR(__xludf.DUMMYFUNCTION("""COMPUTED_VALUE"""),1195068.0)</f>
        <v>1195068</v>
      </c>
    </row>
    <row r="3429">
      <c r="A3429" s="2">
        <f>IFERROR(__xludf.DUMMYFUNCTION("""COMPUTED_VALUE"""),44140.66666666667)</f>
        <v>44140.66667</v>
      </c>
      <c r="B3429" s="1">
        <f>IFERROR(__xludf.DUMMYFUNCTION("""COMPUTED_VALUE"""),2.85)</f>
        <v>2.85</v>
      </c>
      <c r="C3429" s="1">
        <f>IFERROR(__xludf.DUMMYFUNCTION("""COMPUTED_VALUE"""),2.87)</f>
        <v>2.87</v>
      </c>
      <c r="D3429" s="1">
        <f>IFERROR(__xludf.DUMMYFUNCTION("""COMPUTED_VALUE"""),2.73)</f>
        <v>2.73</v>
      </c>
      <c r="E3429" s="1">
        <f>IFERROR(__xludf.DUMMYFUNCTION("""COMPUTED_VALUE"""),2.87)</f>
        <v>2.87</v>
      </c>
      <c r="F3429" s="1">
        <f>IFERROR(__xludf.DUMMYFUNCTION("""COMPUTED_VALUE"""),387207.0)</f>
        <v>387207</v>
      </c>
    </row>
    <row r="3430">
      <c r="A3430" s="2">
        <f>IFERROR(__xludf.DUMMYFUNCTION("""COMPUTED_VALUE"""),44141.66666666667)</f>
        <v>44141.66667</v>
      </c>
      <c r="B3430" s="1">
        <f>IFERROR(__xludf.DUMMYFUNCTION("""COMPUTED_VALUE"""),2.78)</f>
        <v>2.78</v>
      </c>
      <c r="C3430" s="1">
        <f>IFERROR(__xludf.DUMMYFUNCTION("""COMPUTED_VALUE"""),2.85)</f>
        <v>2.85</v>
      </c>
      <c r="D3430" s="1">
        <f>IFERROR(__xludf.DUMMYFUNCTION("""COMPUTED_VALUE"""),2.78)</f>
        <v>2.78</v>
      </c>
      <c r="E3430" s="1">
        <f>IFERROR(__xludf.DUMMYFUNCTION("""COMPUTED_VALUE"""),2.8)</f>
        <v>2.8</v>
      </c>
      <c r="F3430" s="1">
        <f>IFERROR(__xludf.DUMMYFUNCTION("""COMPUTED_VALUE"""),417903.0)</f>
        <v>417903</v>
      </c>
    </row>
    <row r="3431">
      <c r="A3431" s="2">
        <f>IFERROR(__xludf.DUMMYFUNCTION("""COMPUTED_VALUE"""),44144.66666666667)</f>
        <v>44144.66667</v>
      </c>
      <c r="B3431" s="1">
        <f>IFERROR(__xludf.DUMMYFUNCTION("""COMPUTED_VALUE"""),2.81)</f>
        <v>2.81</v>
      </c>
      <c r="C3431" s="1">
        <f>IFERROR(__xludf.DUMMYFUNCTION("""COMPUTED_VALUE"""),3.0)</f>
        <v>3</v>
      </c>
      <c r="D3431" s="1">
        <f>IFERROR(__xludf.DUMMYFUNCTION("""COMPUTED_VALUE"""),2.77)</f>
        <v>2.77</v>
      </c>
      <c r="E3431" s="1">
        <f>IFERROR(__xludf.DUMMYFUNCTION("""COMPUTED_VALUE"""),2.77)</f>
        <v>2.77</v>
      </c>
      <c r="F3431" s="1">
        <f>IFERROR(__xludf.DUMMYFUNCTION("""COMPUTED_VALUE"""),489793.0)</f>
        <v>489793</v>
      </c>
    </row>
    <row r="3432">
      <c r="A3432" s="2">
        <f>IFERROR(__xludf.DUMMYFUNCTION("""COMPUTED_VALUE"""),44145.66666666667)</f>
        <v>44145.66667</v>
      </c>
      <c r="B3432" s="1">
        <f>IFERROR(__xludf.DUMMYFUNCTION("""COMPUTED_VALUE"""),2.77)</f>
        <v>2.77</v>
      </c>
      <c r="C3432" s="1">
        <f>IFERROR(__xludf.DUMMYFUNCTION("""COMPUTED_VALUE"""),2.83)</f>
        <v>2.83</v>
      </c>
      <c r="D3432" s="1">
        <f>IFERROR(__xludf.DUMMYFUNCTION("""COMPUTED_VALUE"""),2.75)</f>
        <v>2.75</v>
      </c>
      <c r="E3432" s="1">
        <f>IFERROR(__xludf.DUMMYFUNCTION("""COMPUTED_VALUE"""),2.78)</f>
        <v>2.78</v>
      </c>
      <c r="F3432" s="1">
        <f>IFERROR(__xludf.DUMMYFUNCTION("""COMPUTED_VALUE"""),367333.0)</f>
        <v>367333</v>
      </c>
    </row>
    <row r="3433">
      <c r="A3433" s="2">
        <f>IFERROR(__xludf.DUMMYFUNCTION("""COMPUTED_VALUE"""),44146.66666666667)</f>
        <v>44146.66667</v>
      </c>
      <c r="B3433" s="1">
        <f>IFERROR(__xludf.DUMMYFUNCTION("""COMPUTED_VALUE"""),2.8)</f>
        <v>2.8</v>
      </c>
      <c r="C3433" s="1">
        <f>IFERROR(__xludf.DUMMYFUNCTION("""COMPUTED_VALUE"""),2.88)</f>
        <v>2.88</v>
      </c>
      <c r="D3433" s="1">
        <f>IFERROR(__xludf.DUMMYFUNCTION("""COMPUTED_VALUE"""),2.79)</f>
        <v>2.79</v>
      </c>
      <c r="E3433" s="1">
        <f>IFERROR(__xludf.DUMMYFUNCTION("""COMPUTED_VALUE"""),2.85)</f>
        <v>2.85</v>
      </c>
      <c r="F3433" s="1">
        <f>IFERROR(__xludf.DUMMYFUNCTION("""COMPUTED_VALUE"""),336603.0)</f>
        <v>336603</v>
      </c>
    </row>
    <row r="3434">
      <c r="A3434" s="2">
        <f>IFERROR(__xludf.DUMMYFUNCTION("""COMPUTED_VALUE"""),44147.66666666667)</f>
        <v>44147.66667</v>
      </c>
      <c r="B3434" s="1">
        <f>IFERROR(__xludf.DUMMYFUNCTION("""COMPUTED_VALUE"""),2.83)</f>
        <v>2.83</v>
      </c>
      <c r="C3434" s="1">
        <f>IFERROR(__xludf.DUMMYFUNCTION("""COMPUTED_VALUE"""),2.87)</f>
        <v>2.87</v>
      </c>
      <c r="D3434" s="1">
        <f>IFERROR(__xludf.DUMMYFUNCTION("""COMPUTED_VALUE"""),2.82)</f>
        <v>2.82</v>
      </c>
      <c r="E3434" s="1">
        <f>IFERROR(__xludf.DUMMYFUNCTION("""COMPUTED_VALUE"""),2.86)</f>
        <v>2.86</v>
      </c>
      <c r="F3434" s="1">
        <f>IFERROR(__xludf.DUMMYFUNCTION("""COMPUTED_VALUE"""),239027.0)</f>
        <v>239027</v>
      </c>
    </row>
    <row r="3435">
      <c r="A3435" s="2">
        <f>IFERROR(__xludf.DUMMYFUNCTION("""COMPUTED_VALUE"""),44148.66666666667)</f>
        <v>44148.66667</v>
      </c>
      <c r="B3435" s="1">
        <f>IFERROR(__xludf.DUMMYFUNCTION("""COMPUTED_VALUE"""),2.85)</f>
        <v>2.85</v>
      </c>
      <c r="C3435" s="1">
        <f>IFERROR(__xludf.DUMMYFUNCTION("""COMPUTED_VALUE"""),2.97)</f>
        <v>2.97</v>
      </c>
      <c r="D3435" s="1">
        <f>IFERROR(__xludf.DUMMYFUNCTION("""COMPUTED_VALUE"""),2.85)</f>
        <v>2.85</v>
      </c>
      <c r="E3435" s="1">
        <f>IFERROR(__xludf.DUMMYFUNCTION("""COMPUTED_VALUE"""),2.95)</f>
        <v>2.95</v>
      </c>
      <c r="F3435" s="1">
        <f>IFERROR(__xludf.DUMMYFUNCTION("""COMPUTED_VALUE"""),342411.0)</f>
        <v>342411</v>
      </c>
    </row>
    <row r="3436">
      <c r="A3436" s="2">
        <f>IFERROR(__xludf.DUMMYFUNCTION("""COMPUTED_VALUE"""),44151.66666666667)</f>
        <v>44151.66667</v>
      </c>
      <c r="B3436" s="1">
        <f>IFERROR(__xludf.DUMMYFUNCTION("""COMPUTED_VALUE"""),2.95)</f>
        <v>2.95</v>
      </c>
      <c r="C3436" s="1">
        <f>IFERROR(__xludf.DUMMYFUNCTION("""COMPUTED_VALUE"""),3.0)</f>
        <v>3</v>
      </c>
      <c r="D3436" s="1">
        <f>IFERROR(__xludf.DUMMYFUNCTION("""COMPUTED_VALUE"""),2.93)</f>
        <v>2.93</v>
      </c>
      <c r="E3436" s="1">
        <f>IFERROR(__xludf.DUMMYFUNCTION("""COMPUTED_VALUE"""),2.95)</f>
        <v>2.95</v>
      </c>
      <c r="F3436" s="1">
        <f>IFERROR(__xludf.DUMMYFUNCTION("""COMPUTED_VALUE"""),385501.0)</f>
        <v>385501</v>
      </c>
    </row>
    <row r="3437">
      <c r="A3437" s="2">
        <f>IFERROR(__xludf.DUMMYFUNCTION("""COMPUTED_VALUE"""),44152.66666666667)</f>
        <v>44152.66667</v>
      </c>
      <c r="B3437" s="1">
        <f>IFERROR(__xludf.DUMMYFUNCTION("""COMPUTED_VALUE"""),2.89)</f>
        <v>2.89</v>
      </c>
      <c r="C3437" s="1">
        <f>IFERROR(__xludf.DUMMYFUNCTION("""COMPUTED_VALUE"""),2.99)</f>
        <v>2.99</v>
      </c>
      <c r="D3437" s="1">
        <f>IFERROR(__xludf.DUMMYFUNCTION("""COMPUTED_VALUE"""),2.89)</f>
        <v>2.89</v>
      </c>
      <c r="E3437" s="1">
        <f>IFERROR(__xludf.DUMMYFUNCTION("""COMPUTED_VALUE"""),2.95)</f>
        <v>2.95</v>
      </c>
      <c r="F3437" s="1">
        <f>IFERROR(__xludf.DUMMYFUNCTION("""COMPUTED_VALUE"""),270285.0)</f>
        <v>270285</v>
      </c>
    </row>
    <row r="3438">
      <c r="A3438" s="2">
        <f>IFERROR(__xludf.DUMMYFUNCTION("""COMPUTED_VALUE"""),44153.66666666667)</f>
        <v>44153.66667</v>
      </c>
      <c r="B3438" s="1">
        <f>IFERROR(__xludf.DUMMYFUNCTION("""COMPUTED_VALUE"""),2.96)</f>
        <v>2.96</v>
      </c>
      <c r="C3438" s="1">
        <f>IFERROR(__xludf.DUMMYFUNCTION("""COMPUTED_VALUE"""),3.0)</f>
        <v>3</v>
      </c>
      <c r="D3438" s="1">
        <f>IFERROR(__xludf.DUMMYFUNCTION("""COMPUTED_VALUE"""),2.95)</f>
        <v>2.95</v>
      </c>
      <c r="E3438" s="1">
        <f>IFERROR(__xludf.DUMMYFUNCTION("""COMPUTED_VALUE"""),2.96)</f>
        <v>2.96</v>
      </c>
      <c r="F3438" s="1">
        <f>IFERROR(__xludf.DUMMYFUNCTION("""COMPUTED_VALUE"""),352663.0)</f>
        <v>352663</v>
      </c>
    </row>
    <row r="3439">
      <c r="A3439" s="2">
        <f>IFERROR(__xludf.DUMMYFUNCTION("""COMPUTED_VALUE"""),44154.66666666667)</f>
        <v>44154.66667</v>
      </c>
      <c r="B3439" s="1">
        <f>IFERROR(__xludf.DUMMYFUNCTION("""COMPUTED_VALUE"""),2.97)</f>
        <v>2.97</v>
      </c>
      <c r="C3439" s="1">
        <f>IFERROR(__xludf.DUMMYFUNCTION("""COMPUTED_VALUE"""),3.0)</f>
        <v>3</v>
      </c>
      <c r="D3439" s="1">
        <f>IFERROR(__xludf.DUMMYFUNCTION("""COMPUTED_VALUE"""),2.95)</f>
        <v>2.95</v>
      </c>
      <c r="E3439" s="1">
        <f>IFERROR(__xludf.DUMMYFUNCTION("""COMPUTED_VALUE"""),3.0)</f>
        <v>3</v>
      </c>
      <c r="F3439" s="1">
        <f>IFERROR(__xludf.DUMMYFUNCTION("""COMPUTED_VALUE"""),251138.0)</f>
        <v>251138</v>
      </c>
    </row>
    <row r="3440">
      <c r="A3440" s="2">
        <f>IFERROR(__xludf.DUMMYFUNCTION("""COMPUTED_VALUE"""),44155.66666666667)</f>
        <v>44155.66667</v>
      </c>
      <c r="B3440" s="1">
        <f>IFERROR(__xludf.DUMMYFUNCTION("""COMPUTED_VALUE"""),2.97)</f>
        <v>2.97</v>
      </c>
      <c r="C3440" s="1">
        <f>IFERROR(__xludf.DUMMYFUNCTION("""COMPUTED_VALUE"""),3.0)</f>
        <v>3</v>
      </c>
      <c r="D3440" s="1">
        <f>IFERROR(__xludf.DUMMYFUNCTION("""COMPUTED_VALUE"""),2.97)</f>
        <v>2.97</v>
      </c>
      <c r="E3440" s="1">
        <f>IFERROR(__xludf.DUMMYFUNCTION("""COMPUTED_VALUE"""),2.99)</f>
        <v>2.99</v>
      </c>
      <c r="F3440" s="1">
        <f>IFERROR(__xludf.DUMMYFUNCTION("""COMPUTED_VALUE"""),402508.0)</f>
        <v>402508</v>
      </c>
    </row>
    <row r="3441">
      <c r="A3441" s="2">
        <f>IFERROR(__xludf.DUMMYFUNCTION("""COMPUTED_VALUE"""),44158.66666666667)</f>
        <v>44158.66667</v>
      </c>
      <c r="B3441" s="1">
        <f>IFERROR(__xludf.DUMMYFUNCTION("""COMPUTED_VALUE"""),2.99)</f>
        <v>2.99</v>
      </c>
      <c r="C3441" s="1">
        <f>IFERROR(__xludf.DUMMYFUNCTION("""COMPUTED_VALUE"""),3.0)</f>
        <v>3</v>
      </c>
      <c r="D3441" s="1">
        <f>IFERROR(__xludf.DUMMYFUNCTION("""COMPUTED_VALUE"""),2.93)</f>
        <v>2.93</v>
      </c>
      <c r="E3441" s="1">
        <f>IFERROR(__xludf.DUMMYFUNCTION("""COMPUTED_VALUE"""),2.94)</f>
        <v>2.94</v>
      </c>
      <c r="F3441" s="1">
        <f>IFERROR(__xludf.DUMMYFUNCTION("""COMPUTED_VALUE"""),353538.0)</f>
        <v>353538</v>
      </c>
    </row>
    <row r="3442">
      <c r="A3442" s="2">
        <f>IFERROR(__xludf.DUMMYFUNCTION("""COMPUTED_VALUE"""),44159.66666666667)</f>
        <v>44159.66667</v>
      </c>
      <c r="B3442" s="1">
        <f>IFERROR(__xludf.DUMMYFUNCTION("""COMPUTED_VALUE"""),2.99)</f>
        <v>2.99</v>
      </c>
      <c r="C3442" s="1">
        <f>IFERROR(__xludf.DUMMYFUNCTION("""COMPUTED_VALUE"""),2.99)</f>
        <v>2.99</v>
      </c>
      <c r="D3442" s="1">
        <f>IFERROR(__xludf.DUMMYFUNCTION("""COMPUTED_VALUE"""),2.88)</f>
        <v>2.88</v>
      </c>
      <c r="E3442" s="1">
        <f>IFERROR(__xludf.DUMMYFUNCTION("""COMPUTED_VALUE"""),2.91)</f>
        <v>2.91</v>
      </c>
      <c r="F3442" s="1">
        <f>IFERROR(__xludf.DUMMYFUNCTION("""COMPUTED_VALUE"""),458605.0)</f>
        <v>458605</v>
      </c>
    </row>
    <row r="3443">
      <c r="A3443" s="2">
        <f>IFERROR(__xludf.DUMMYFUNCTION("""COMPUTED_VALUE"""),44160.66666666667)</f>
        <v>44160.66667</v>
      </c>
      <c r="B3443" s="1">
        <f>IFERROR(__xludf.DUMMYFUNCTION("""COMPUTED_VALUE"""),2.88)</f>
        <v>2.88</v>
      </c>
      <c r="C3443" s="1">
        <f>IFERROR(__xludf.DUMMYFUNCTION("""COMPUTED_VALUE"""),2.95)</f>
        <v>2.95</v>
      </c>
      <c r="D3443" s="1">
        <f>IFERROR(__xludf.DUMMYFUNCTION("""COMPUTED_VALUE"""),2.88)</f>
        <v>2.88</v>
      </c>
      <c r="E3443" s="1">
        <f>IFERROR(__xludf.DUMMYFUNCTION("""COMPUTED_VALUE"""),2.93)</f>
        <v>2.93</v>
      </c>
      <c r="F3443" s="1">
        <f>IFERROR(__xludf.DUMMYFUNCTION("""COMPUTED_VALUE"""),275708.0)</f>
        <v>275708</v>
      </c>
    </row>
    <row r="3444">
      <c r="A3444" s="2">
        <f>IFERROR(__xludf.DUMMYFUNCTION("""COMPUTED_VALUE"""),44162.54166666667)</f>
        <v>44162.54167</v>
      </c>
      <c r="B3444" s="1">
        <f>IFERROR(__xludf.DUMMYFUNCTION("""COMPUTED_VALUE"""),2.92)</f>
        <v>2.92</v>
      </c>
      <c r="C3444" s="1">
        <f>IFERROR(__xludf.DUMMYFUNCTION("""COMPUTED_VALUE"""),2.99)</f>
        <v>2.99</v>
      </c>
      <c r="D3444" s="1">
        <f>IFERROR(__xludf.DUMMYFUNCTION("""COMPUTED_VALUE"""),2.92)</f>
        <v>2.92</v>
      </c>
      <c r="E3444" s="1">
        <f>IFERROR(__xludf.DUMMYFUNCTION("""COMPUTED_VALUE"""),2.97)</f>
        <v>2.97</v>
      </c>
      <c r="F3444" s="1">
        <f>IFERROR(__xludf.DUMMYFUNCTION("""COMPUTED_VALUE"""),247032.0)</f>
        <v>247032</v>
      </c>
    </row>
    <row r="3445">
      <c r="A3445" s="2">
        <f>IFERROR(__xludf.DUMMYFUNCTION("""COMPUTED_VALUE"""),44165.66666666667)</f>
        <v>44165.66667</v>
      </c>
      <c r="B3445" s="1">
        <f>IFERROR(__xludf.DUMMYFUNCTION("""COMPUTED_VALUE"""),2.94)</f>
        <v>2.94</v>
      </c>
      <c r="C3445" s="1">
        <f>IFERROR(__xludf.DUMMYFUNCTION("""COMPUTED_VALUE"""),2.98)</f>
        <v>2.98</v>
      </c>
      <c r="D3445" s="1">
        <f>IFERROR(__xludf.DUMMYFUNCTION("""COMPUTED_VALUE"""),2.8)</f>
        <v>2.8</v>
      </c>
      <c r="E3445" s="1">
        <f>IFERROR(__xludf.DUMMYFUNCTION("""COMPUTED_VALUE"""),2.82)</f>
        <v>2.82</v>
      </c>
      <c r="F3445" s="1">
        <f>IFERROR(__xludf.DUMMYFUNCTION("""COMPUTED_VALUE"""),561108.0)</f>
        <v>561108</v>
      </c>
    </row>
    <row r="3446">
      <c r="A3446" s="2">
        <f>IFERROR(__xludf.DUMMYFUNCTION("""COMPUTED_VALUE"""),44166.66666666667)</f>
        <v>44166.66667</v>
      </c>
      <c r="B3446" s="1">
        <f>IFERROR(__xludf.DUMMYFUNCTION("""COMPUTED_VALUE"""),2.85)</f>
        <v>2.85</v>
      </c>
      <c r="C3446" s="1">
        <f>IFERROR(__xludf.DUMMYFUNCTION("""COMPUTED_VALUE"""),2.93)</f>
        <v>2.93</v>
      </c>
      <c r="D3446" s="1">
        <f>IFERROR(__xludf.DUMMYFUNCTION("""COMPUTED_VALUE"""),2.83)</f>
        <v>2.83</v>
      </c>
      <c r="E3446" s="1">
        <f>IFERROR(__xludf.DUMMYFUNCTION("""COMPUTED_VALUE"""),2.89)</f>
        <v>2.89</v>
      </c>
      <c r="F3446" s="1">
        <f>IFERROR(__xludf.DUMMYFUNCTION("""COMPUTED_VALUE"""),345830.0)</f>
        <v>345830</v>
      </c>
    </row>
    <row r="3447">
      <c r="A3447" s="2">
        <f>IFERROR(__xludf.DUMMYFUNCTION("""COMPUTED_VALUE"""),44167.66666666667)</f>
        <v>44167.66667</v>
      </c>
      <c r="B3447" s="1">
        <f>IFERROR(__xludf.DUMMYFUNCTION("""COMPUTED_VALUE"""),2.89)</f>
        <v>2.89</v>
      </c>
      <c r="C3447" s="1">
        <f>IFERROR(__xludf.DUMMYFUNCTION("""COMPUTED_VALUE"""),2.94)</f>
        <v>2.94</v>
      </c>
      <c r="D3447" s="1">
        <f>IFERROR(__xludf.DUMMYFUNCTION("""COMPUTED_VALUE"""),2.84)</f>
        <v>2.84</v>
      </c>
      <c r="E3447" s="1">
        <f>IFERROR(__xludf.DUMMYFUNCTION("""COMPUTED_VALUE"""),2.91)</f>
        <v>2.91</v>
      </c>
      <c r="F3447" s="1">
        <f>IFERROR(__xludf.DUMMYFUNCTION("""COMPUTED_VALUE"""),230918.0)</f>
        <v>230918</v>
      </c>
    </row>
    <row r="3448">
      <c r="A3448" s="2">
        <f>IFERROR(__xludf.DUMMYFUNCTION("""COMPUTED_VALUE"""),44168.66666666667)</f>
        <v>44168.66667</v>
      </c>
      <c r="B3448" s="1">
        <f>IFERROR(__xludf.DUMMYFUNCTION("""COMPUTED_VALUE"""),2.91)</f>
        <v>2.91</v>
      </c>
      <c r="C3448" s="1">
        <f>IFERROR(__xludf.DUMMYFUNCTION("""COMPUTED_VALUE"""),3.0)</f>
        <v>3</v>
      </c>
      <c r="D3448" s="1">
        <f>IFERROR(__xludf.DUMMYFUNCTION("""COMPUTED_VALUE"""),2.91)</f>
        <v>2.91</v>
      </c>
      <c r="E3448" s="1">
        <f>IFERROR(__xludf.DUMMYFUNCTION("""COMPUTED_VALUE"""),2.97)</f>
        <v>2.97</v>
      </c>
      <c r="F3448" s="1">
        <f>IFERROR(__xludf.DUMMYFUNCTION("""COMPUTED_VALUE"""),246636.0)</f>
        <v>246636</v>
      </c>
    </row>
    <row r="3449">
      <c r="A3449" s="2">
        <f>IFERROR(__xludf.DUMMYFUNCTION("""COMPUTED_VALUE"""),44169.66666666667)</f>
        <v>44169.66667</v>
      </c>
      <c r="B3449" s="1">
        <f>IFERROR(__xludf.DUMMYFUNCTION("""COMPUTED_VALUE"""),2.98)</f>
        <v>2.98</v>
      </c>
      <c r="C3449" s="1">
        <f>IFERROR(__xludf.DUMMYFUNCTION("""COMPUTED_VALUE"""),3.07)</f>
        <v>3.07</v>
      </c>
      <c r="D3449" s="1">
        <f>IFERROR(__xludf.DUMMYFUNCTION("""COMPUTED_VALUE"""),2.98)</f>
        <v>2.98</v>
      </c>
      <c r="E3449" s="1">
        <f>IFERROR(__xludf.DUMMYFUNCTION("""COMPUTED_VALUE"""),3.06)</f>
        <v>3.06</v>
      </c>
      <c r="F3449" s="1">
        <f>IFERROR(__xludf.DUMMYFUNCTION("""COMPUTED_VALUE"""),294972.0)</f>
        <v>294972</v>
      </c>
    </row>
    <row r="3450">
      <c r="A3450" s="2">
        <f>IFERROR(__xludf.DUMMYFUNCTION("""COMPUTED_VALUE"""),44172.66666666667)</f>
        <v>44172.66667</v>
      </c>
      <c r="B3450" s="1">
        <f>IFERROR(__xludf.DUMMYFUNCTION("""COMPUTED_VALUE"""),3.06)</f>
        <v>3.06</v>
      </c>
      <c r="C3450" s="1">
        <f>IFERROR(__xludf.DUMMYFUNCTION("""COMPUTED_VALUE"""),3.15)</f>
        <v>3.15</v>
      </c>
      <c r="D3450" s="1">
        <f>IFERROR(__xludf.DUMMYFUNCTION("""COMPUTED_VALUE"""),3.04)</f>
        <v>3.04</v>
      </c>
      <c r="E3450" s="1">
        <f>IFERROR(__xludf.DUMMYFUNCTION("""COMPUTED_VALUE"""),3.1)</f>
        <v>3.1</v>
      </c>
      <c r="F3450" s="1">
        <f>IFERROR(__xludf.DUMMYFUNCTION("""COMPUTED_VALUE"""),261847.0)</f>
        <v>261847</v>
      </c>
    </row>
    <row r="3451">
      <c r="A3451" s="2">
        <f>IFERROR(__xludf.DUMMYFUNCTION("""COMPUTED_VALUE"""),44173.66666666667)</f>
        <v>44173.66667</v>
      </c>
      <c r="B3451" s="1">
        <f>IFERROR(__xludf.DUMMYFUNCTION("""COMPUTED_VALUE"""),3.08)</f>
        <v>3.08</v>
      </c>
      <c r="C3451" s="1">
        <f>IFERROR(__xludf.DUMMYFUNCTION("""COMPUTED_VALUE"""),3.11)</f>
        <v>3.11</v>
      </c>
      <c r="D3451" s="1">
        <f>IFERROR(__xludf.DUMMYFUNCTION("""COMPUTED_VALUE"""),3.05)</f>
        <v>3.05</v>
      </c>
      <c r="E3451" s="1">
        <f>IFERROR(__xludf.DUMMYFUNCTION("""COMPUTED_VALUE"""),3.09)</f>
        <v>3.09</v>
      </c>
      <c r="F3451" s="1">
        <f>IFERROR(__xludf.DUMMYFUNCTION("""COMPUTED_VALUE"""),185341.0)</f>
        <v>185341</v>
      </c>
    </row>
    <row r="3452">
      <c r="A3452" s="2">
        <f>IFERROR(__xludf.DUMMYFUNCTION("""COMPUTED_VALUE"""),44174.66666666667)</f>
        <v>44174.66667</v>
      </c>
      <c r="B3452" s="1">
        <f>IFERROR(__xludf.DUMMYFUNCTION("""COMPUTED_VALUE"""),3.09)</f>
        <v>3.09</v>
      </c>
      <c r="C3452" s="1">
        <f>IFERROR(__xludf.DUMMYFUNCTION("""COMPUTED_VALUE"""),3.13)</f>
        <v>3.13</v>
      </c>
      <c r="D3452" s="1">
        <f>IFERROR(__xludf.DUMMYFUNCTION("""COMPUTED_VALUE"""),3.01)</f>
        <v>3.01</v>
      </c>
      <c r="E3452" s="1">
        <f>IFERROR(__xludf.DUMMYFUNCTION("""COMPUTED_VALUE"""),3.03)</f>
        <v>3.03</v>
      </c>
      <c r="F3452" s="1">
        <f>IFERROR(__xludf.DUMMYFUNCTION("""COMPUTED_VALUE"""),202420.0)</f>
        <v>202420</v>
      </c>
    </row>
    <row r="3453">
      <c r="A3453" s="2">
        <f>IFERROR(__xludf.DUMMYFUNCTION("""COMPUTED_VALUE"""),44175.66666666667)</f>
        <v>44175.66667</v>
      </c>
      <c r="B3453" s="1">
        <f>IFERROR(__xludf.DUMMYFUNCTION("""COMPUTED_VALUE"""),3.0)</f>
        <v>3</v>
      </c>
      <c r="C3453" s="1">
        <f>IFERROR(__xludf.DUMMYFUNCTION("""COMPUTED_VALUE"""),3.05)</f>
        <v>3.05</v>
      </c>
      <c r="D3453" s="1">
        <f>IFERROR(__xludf.DUMMYFUNCTION("""COMPUTED_VALUE"""),2.96)</f>
        <v>2.96</v>
      </c>
      <c r="E3453" s="1">
        <f>IFERROR(__xludf.DUMMYFUNCTION("""COMPUTED_VALUE"""),3.04)</f>
        <v>3.04</v>
      </c>
      <c r="F3453" s="1">
        <f>IFERROR(__xludf.DUMMYFUNCTION("""COMPUTED_VALUE"""),138753.0)</f>
        <v>138753</v>
      </c>
    </row>
    <row r="3454">
      <c r="A3454" s="2">
        <f>IFERROR(__xludf.DUMMYFUNCTION("""COMPUTED_VALUE"""),44176.66666666667)</f>
        <v>44176.66667</v>
      </c>
      <c r="B3454" s="1">
        <f>IFERROR(__xludf.DUMMYFUNCTION("""COMPUTED_VALUE"""),3.01)</f>
        <v>3.01</v>
      </c>
      <c r="C3454" s="1">
        <f>IFERROR(__xludf.DUMMYFUNCTION("""COMPUTED_VALUE"""),3.04)</f>
        <v>3.04</v>
      </c>
      <c r="D3454" s="1">
        <f>IFERROR(__xludf.DUMMYFUNCTION("""COMPUTED_VALUE"""),2.97)</f>
        <v>2.97</v>
      </c>
      <c r="E3454" s="1">
        <f>IFERROR(__xludf.DUMMYFUNCTION("""COMPUTED_VALUE"""),2.99)</f>
        <v>2.99</v>
      </c>
      <c r="F3454" s="1">
        <f>IFERROR(__xludf.DUMMYFUNCTION("""COMPUTED_VALUE"""),298731.0)</f>
        <v>298731</v>
      </c>
    </row>
    <row r="3455">
      <c r="A3455" s="2">
        <f>IFERROR(__xludf.DUMMYFUNCTION("""COMPUTED_VALUE"""),44179.66666666667)</f>
        <v>44179.66667</v>
      </c>
      <c r="B3455" s="1">
        <f>IFERROR(__xludf.DUMMYFUNCTION("""COMPUTED_VALUE"""),3.02)</f>
        <v>3.02</v>
      </c>
      <c r="C3455" s="1">
        <f>IFERROR(__xludf.DUMMYFUNCTION("""COMPUTED_VALUE"""),3.02)</f>
        <v>3.02</v>
      </c>
      <c r="D3455" s="1">
        <f>IFERROR(__xludf.DUMMYFUNCTION("""COMPUTED_VALUE"""),2.92)</f>
        <v>2.92</v>
      </c>
      <c r="E3455" s="1">
        <f>IFERROR(__xludf.DUMMYFUNCTION("""COMPUTED_VALUE"""),2.92)</f>
        <v>2.92</v>
      </c>
      <c r="F3455" s="1">
        <f>IFERROR(__xludf.DUMMYFUNCTION("""COMPUTED_VALUE"""),311881.0)</f>
        <v>311881</v>
      </c>
    </row>
    <row r="3456">
      <c r="A3456" s="2">
        <f>IFERROR(__xludf.DUMMYFUNCTION("""COMPUTED_VALUE"""),44180.66666666667)</f>
        <v>44180.66667</v>
      </c>
      <c r="B3456" s="1">
        <f>IFERROR(__xludf.DUMMYFUNCTION("""COMPUTED_VALUE"""),2.97)</f>
        <v>2.97</v>
      </c>
      <c r="C3456" s="1">
        <f>IFERROR(__xludf.DUMMYFUNCTION("""COMPUTED_VALUE"""),3.0)</f>
        <v>3</v>
      </c>
      <c r="D3456" s="1">
        <f>IFERROR(__xludf.DUMMYFUNCTION("""COMPUTED_VALUE"""),2.91)</f>
        <v>2.91</v>
      </c>
      <c r="E3456" s="1">
        <f>IFERROR(__xludf.DUMMYFUNCTION("""COMPUTED_VALUE"""),2.99)</f>
        <v>2.99</v>
      </c>
      <c r="F3456" s="1">
        <f>IFERROR(__xludf.DUMMYFUNCTION("""COMPUTED_VALUE"""),544796.0)</f>
        <v>544796</v>
      </c>
    </row>
    <row r="3457">
      <c r="A3457" s="2">
        <f>IFERROR(__xludf.DUMMYFUNCTION("""COMPUTED_VALUE"""),44181.66666666667)</f>
        <v>44181.66667</v>
      </c>
      <c r="B3457" s="1">
        <f>IFERROR(__xludf.DUMMYFUNCTION("""COMPUTED_VALUE"""),3.01)</f>
        <v>3.01</v>
      </c>
      <c r="C3457" s="1">
        <f>IFERROR(__xludf.DUMMYFUNCTION("""COMPUTED_VALUE"""),3.01)</f>
        <v>3.01</v>
      </c>
      <c r="D3457" s="1">
        <f>IFERROR(__xludf.DUMMYFUNCTION("""COMPUTED_VALUE"""),2.99)</f>
        <v>2.99</v>
      </c>
      <c r="E3457" s="1">
        <f>IFERROR(__xludf.DUMMYFUNCTION("""COMPUTED_VALUE"""),2.99)</f>
        <v>2.99</v>
      </c>
      <c r="F3457" s="1">
        <f>IFERROR(__xludf.DUMMYFUNCTION("""COMPUTED_VALUE"""),378828.0)</f>
        <v>378828</v>
      </c>
    </row>
    <row r="3458">
      <c r="A3458" s="2">
        <f>IFERROR(__xludf.DUMMYFUNCTION("""COMPUTED_VALUE"""),44182.66666666667)</f>
        <v>44182.66667</v>
      </c>
      <c r="B3458" s="1">
        <f>IFERROR(__xludf.DUMMYFUNCTION("""COMPUTED_VALUE"""),3.0)</f>
        <v>3</v>
      </c>
      <c r="C3458" s="1">
        <f>IFERROR(__xludf.DUMMYFUNCTION("""COMPUTED_VALUE"""),3.02)</f>
        <v>3.02</v>
      </c>
      <c r="D3458" s="1">
        <f>IFERROR(__xludf.DUMMYFUNCTION("""COMPUTED_VALUE"""),2.97)</f>
        <v>2.97</v>
      </c>
      <c r="E3458" s="1">
        <f>IFERROR(__xludf.DUMMYFUNCTION("""COMPUTED_VALUE"""),3.0)</f>
        <v>3</v>
      </c>
      <c r="F3458" s="1">
        <f>IFERROR(__xludf.DUMMYFUNCTION("""COMPUTED_VALUE"""),340073.0)</f>
        <v>340073</v>
      </c>
    </row>
    <row r="3459">
      <c r="A3459" s="2">
        <f>IFERROR(__xludf.DUMMYFUNCTION("""COMPUTED_VALUE"""),44183.66666666667)</f>
        <v>44183.66667</v>
      </c>
      <c r="B3459" s="1">
        <f>IFERROR(__xludf.DUMMYFUNCTION("""COMPUTED_VALUE"""),3.0)</f>
        <v>3</v>
      </c>
      <c r="C3459" s="1">
        <f>IFERROR(__xludf.DUMMYFUNCTION("""COMPUTED_VALUE"""),3.09)</f>
        <v>3.09</v>
      </c>
      <c r="D3459" s="1">
        <f>IFERROR(__xludf.DUMMYFUNCTION("""COMPUTED_VALUE"""),2.96)</f>
        <v>2.96</v>
      </c>
      <c r="E3459" s="1">
        <f>IFERROR(__xludf.DUMMYFUNCTION("""COMPUTED_VALUE"""),3.05)</f>
        <v>3.05</v>
      </c>
      <c r="F3459" s="1">
        <f>IFERROR(__xludf.DUMMYFUNCTION("""COMPUTED_VALUE"""),695652.0)</f>
        <v>695652</v>
      </c>
    </row>
    <row r="3460">
      <c r="A3460" s="2">
        <f>IFERROR(__xludf.DUMMYFUNCTION("""COMPUTED_VALUE"""),44186.66666666667)</f>
        <v>44186.66667</v>
      </c>
      <c r="B3460" s="1">
        <f>IFERROR(__xludf.DUMMYFUNCTION("""COMPUTED_VALUE"""),2.98)</f>
        <v>2.98</v>
      </c>
      <c r="C3460" s="1">
        <f>IFERROR(__xludf.DUMMYFUNCTION("""COMPUTED_VALUE"""),3.02)</f>
        <v>3.02</v>
      </c>
      <c r="D3460" s="1">
        <f>IFERROR(__xludf.DUMMYFUNCTION("""COMPUTED_VALUE"""),2.94)</f>
        <v>2.94</v>
      </c>
      <c r="E3460" s="1">
        <f>IFERROR(__xludf.DUMMYFUNCTION("""COMPUTED_VALUE"""),3.0)</f>
        <v>3</v>
      </c>
      <c r="F3460" s="1">
        <f>IFERROR(__xludf.DUMMYFUNCTION("""COMPUTED_VALUE"""),263453.0)</f>
        <v>263453</v>
      </c>
    </row>
    <row r="3461">
      <c r="A3461" s="2">
        <f>IFERROR(__xludf.DUMMYFUNCTION("""COMPUTED_VALUE"""),44187.66666666667)</f>
        <v>44187.66667</v>
      </c>
      <c r="B3461" s="1">
        <f>IFERROR(__xludf.DUMMYFUNCTION("""COMPUTED_VALUE"""),3.0)</f>
        <v>3</v>
      </c>
      <c r="C3461" s="1">
        <f>IFERROR(__xludf.DUMMYFUNCTION("""COMPUTED_VALUE"""),3.03)</f>
        <v>3.03</v>
      </c>
      <c r="D3461" s="1">
        <f>IFERROR(__xludf.DUMMYFUNCTION("""COMPUTED_VALUE"""),2.96)</f>
        <v>2.96</v>
      </c>
      <c r="E3461" s="1">
        <f>IFERROR(__xludf.DUMMYFUNCTION("""COMPUTED_VALUE"""),2.98)</f>
        <v>2.98</v>
      </c>
      <c r="F3461" s="1">
        <f>IFERROR(__xludf.DUMMYFUNCTION("""COMPUTED_VALUE"""),192629.0)</f>
        <v>192629</v>
      </c>
    </row>
    <row r="3462">
      <c r="A3462" s="2">
        <f>IFERROR(__xludf.DUMMYFUNCTION("""COMPUTED_VALUE"""),44188.66666666667)</f>
        <v>44188.66667</v>
      </c>
      <c r="B3462" s="1">
        <f>IFERROR(__xludf.DUMMYFUNCTION("""COMPUTED_VALUE"""),3.0)</f>
        <v>3</v>
      </c>
      <c r="C3462" s="1">
        <f>IFERROR(__xludf.DUMMYFUNCTION("""COMPUTED_VALUE"""),3.06)</f>
        <v>3.06</v>
      </c>
      <c r="D3462" s="1">
        <f>IFERROR(__xludf.DUMMYFUNCTION("""COMPUTED_VALUE"""),2.95)</f>
        <v>2.95</v>
      </c>
      <c r="E3462" s="1">
        <f>IFERROR(__xludf.DUMMYFUNCTION("""COMPUTED_VALUE"""),3.02)</f>
        <v>3.02</v>
      </c>
      <c r="F3462" s="1">
        <f>IFERROR(__xludf.DUMMYFUNCTION("""COMPUTED_VALUE"""),307217.0)</f>
        <v>307217</v>
      </c>
    </row>
    <row r="3463">
      <c r="A3463" s="2">
        <f>IFERROR(__xludf.DUMMYFUNCTION("""COMPUTED_VALUE"""),44189.54166666667)</f>
        <v>44189.54167</v>
      </c>
      <c r="B3463" s="1">
        <f>IFERROR(__xludf.DUMMYFUNCTION("""COMPUTED_VALUE"""),3.05)</f>
        <v>3.05</v>
      </c>
      <c r="C3463" s="1">
        <f>IFERROR(__xludf.DUMMYFUNCTION("""COMPUTED_VALUE"""),3.06)</f>
        <v>3.06</v>
      </c>
      <c r="D3463" s="1">
        <f>IFERROR(__xludf.DUMMYFUNCTION("""COMPUTED_VALUE"""),3.02)</f>
        <v>3.02</v>
      </c>
      <c r="E3463" s="1">
        <f>IFERROR(__xludf.DUMMYFUNCTION("""COMPUTED_VALUE"""),3.05)</f>
        <v>3.05</v>
      </c>
      <c r="F3463" s="1">
        <f>IFERROR(__xludf.DUMMYFUNCTION("""COMPUTED_VALUE"""),115642.0)</f>
        <v>115642</v>
      </c>
    </row>
    <row r="3464">
      <c r="A3464" s="2">
        <f>IFERROR(__xludf.DUMMYFUNCTION("""COMPUTED_VALUE"""),44193.66666666667)</f>
        <v>44193.66667</v>
      </c>
      <c r="B3464" s="1">
        <f>IFERROR(__xludf.DUMMYFUNCTION("""COMPUTED_VALUE"""),3.08)</f>
        <v>3.08</v>
      </c>
      <c r="C3464" s="1">
        <f>IFERROR(__xludf.DUMMYFUNCTION("""COMPUTED_VALUE"""),3.1)</f>
        <v>3.1</v>
      </c>
      <c r="D3464" s="1">
        <f>IFERROR(__xludf.DUMMYFUNCTION("""COMPUTED_VALUE"""),3.05)</f>
        <v>3.05</v>
      </c>
      <c r="E3464" s="1">
        <f>IFERROR(__xludf.DUMMYFUNCTION("""COMPUTED_VALUE"""),3.05)</f>
        <v>3.05</v>
      </c>
      <c r="F3464" s="1">
        <f>IFERROR(__xludf.DUMMYFUNCTION("""COMPUTED_VALUE"""),198094.0)</f>
        <v>198094</v>
      </c>
    </row>
    <row r="3465">
      <c r="A3465" s="2">
        <f>IFERROR(__xludf.DUMMYFUNCTION("""COMPUTED_VALUE"""),44194.66666666667)</f>
        <v>44194.66667</v>
      </c>
      <c r="B3465" s="1">
        <f>IFERROR(__xludf.DUMMYFUNCTION("""COMPUTED_VALUE"""),3.05)</f>
        <v>3.05</v>
      </c>
      <c r="C3465" s="1">
        <f>IFERROR(__xludf.DUMMYFUNCTION("""COMPUTED_VALUE"""),3.07)</f>
        <v>3.07</v>
      </c>
      <c r="D3465" s="1">
        <f>IFERROR(__xludf.DUMMYFUNCTION("""COMPUTED_VALUE"""),3.02)</f>
        <v>3.02</v>
      </c>
      <c r="E3465" s="1">
        <f>IFERROR(__xludf.DUMMYFUNCTION("""COMPUTED_VALUE"""),3.05)</f>
        <v>3.05</v>
      </c>
      <c r="F3465" s="1">
        <f>IFERROR(__xludf.DUMMYFUNCTION("""COMPUTED_VALUE"""),294161.0)</f>
        <v>294161</v>
      </c>
    </row>
    <row r="3466">
      <c r="A3466" s="2">
        <f>IFERROR(__xludf.DUMMYFUNCTION("""COMPUTED_VALUE"""),44195.66666666667)</f>
        <v>44195.66667</v>
      </c>
      <c r="B3466" s="1">
        <f>IFERROR(__xludf.DUMMYFUNCTION("""COMPUTED_VALUE"""),3.05)</f>
        <v>3.05</v>
      </c>
      <c r="C3466" s="1">
        <f>IFERROR(__xludf.DUMMYFUNCTION("""COMPUTED_VALUE"""),3.09)</f>
        <v>3.09</v>
      </c>
      <c r="D3466" s="1">
        <f>IFERROR(__xludf.DUMMYFUNCTION("""COMPUTED_VALUE"""),3.03)</f>
        <v>3.03</v>
      </c>
      <c r="E3466" s="1">
        <f>IFERROR(__xludf.DUMMYFUNCTION("""COMPUTED_VALUE"""),3.05)</f>
        <v>3.05</v>
      </c>
      <c r="F3466" s="1">
        <f>IFERROR(__xludf.DUMMYFUNCTION("""COMPUTED_VALUE"""),319817.0)</f>
        <v>319817</v>
      </c>
    </row>
    <row r="3467">
      <c r="A3467" s="2">
        <f>IFERROR(__xludf.DUMMYFUNCTION("""COMPUTED_VALUE"""),44196.66666666667)</f>
        <v>44196.66667</v>
      </c>
      <c r="B3467" s="1">
        <f>IFERROR(__xludf.DUMMYFUNCTION("""COMPUTED_VALUE"""),3.05)</f>
        <v>3.05</v>
      </c>
      <c r="C3467" s="1">
        <f>IFERROR(__xludf.DUMMYFUNCTION("""COMPUTED_VALUE"""),3.18)</f>
        <v>3.18</v>
      </c>
      <c r="D3467" s="1">
        <f>IFERROR(__xludf.DUMMYFUNCTION("""COMPUTED_VALUE"""),3.03)</f>
        <v>3.03</v>
      </c>
      <c r="E3467" s="1">
        <f>IFERROR(__xludf.DUMMYFUNCTION("""COMPUTED_VALUE"""),3.17)</f>
        <v>3.17</v>
      </c>
      <c r="F3467" s="1">
        <f>IFERROR(__xludf.DUMMYFUNCTION("""COMPUTED_VALUE"""),390442.0)</f>
        <v>390442</v>
      </c>
    </row>
    <row r="3468">
      <c r="A3468" s="2">
        <f>IFERROR(__xludf.DUMMYFUNCTION("""COMPUTED_VALUE"""),44200.66666666667)</f>
        <v>44200.66667</v>
      </c>
      <c r="B3468" s="1">
        <f>IFERROR(__xludf.DUMMYFUNCTION("""COMPUTED_VALUE"""),3.18)</f>
        <v>3.18</v>
      </c>
      <c r="C3468" s="1">
        <f>IFERROR(__xludf.DUMMYFUNCTION("""COMPUTED_VALUE"""),3.21)</f>
        <v>3.21</v>
      </c>
      <c r="D3468" s="1">
        <f>IFERROR(__xludf.DUMMYFUNCTION("""COMPUTED_VALUE"""),3.08)</f>
        <v>3.08</v>
      </c>
      <c r="E3468" s="1">
        <f>IFERROR(__xludf.DUMMYFUNCTION("""COMPUTED_VALUE"""),3.11)</f>
        <v>3.11</v>
      </c>
      <c r="F3468" s="1">
        <f>IFERROR(__xludf.DUMMYFUNCTION("""COMPUTED_VALUE"""),242475.0)</f>
        <v>242475</v>
      </c>
    </row>
    <row r="3469">
      <c r="A3469" s="2">
        <f>IFERROR(__xludf.DUMMYFUNCTION("""COMPUTED_VALUE"""),44201.66666666667)</f>
        <v>44201.66667</v>
      </c>
      <c r="B3469" s="1">
        <f>IFERROR(__xludf.DUMMYFUNCTION("""COMPUTED_VALUE"""),3.1)</f>
        <v>3.1</v>
      </c>
      <c r="C3469" s="1">
        <f>IFERROR(__xludf.DUMMYFUNCTION("""COMPUTED_VALUE"""),3.16)</f>
        <v>3.16</v>
      </c>
      <c r="D3469" s="1">
        <f>IFERROR(__xludf.DUMMYFUNCTION("""COMPUTED_VALUE"""),3.09)</f>
        <v>3.09</v>
      </c>
      <c r="E3469" s="1">
        <f>IFERROR(__xludf.DUMMYFUNCTION("""COMPUTED_VALUE"""),3.12)</f>
        <v>3.12</v>
      </c>
      <c r="F3469" s="1">
        <f>IFERROR(__xludf.DUMMYFUNCTION("""COMPUTED_VALUE"""),215609.0)</f>
        <v>215609</v>
      </c>
    </row>
    <row r="3470">
      <c r="A3470" s="2">
        <f>IFERROR(__xludf.DUMMYFUNCTION("""COMPUTED_VALUE"""),44202.66666666667)</f>
        <v>44202.66667</v>
      </c>
      <c r="B3470" s="1">
        <f>IFERROR(__xludf.DUMMYFUNCTION("""COMPUTED_VALUE"""),3.12)</f>
        <v>3.12</v>
      </c>
      <c r="C3470" s="1">
        <f>IFERROR(__xludf.DUMMYFUNCTION("""COMPUTED_VALUE"""),3.24)</f>
        <v>3.24</v>
      </c>
      <c r="D3470" s="1">
        <f>IFERROR(__xludf.DUMMYFUNCTION("""COMPUTED_VALUE"""),3.12)</f>
        <v>3.12</v>
      </c>
      <c r="E3470" s="1">
        <f>IFERROR(__xludf.DUMMYFUNCTION("""COMPUTED_VALUE"""),3.19)</f>
        <v>3.19</v>
      </c>
      <c r="F3470" s="1">
        <f>IFERROR(__xludf.DUMMYFUNCTION("""COMPUTED_VALUE"""),334682.0)</f>
        <v>334682</v>
      </c>
    </row>
    <row r="3471">
      <c r="A3471" s="2">
        <f>IFERROR(__xludf.DUMMYFUNCTION("""COMPUTED_VALUE"""),44203.66666666667)</f>
        <v>44203.66667</v>
      </c>
      <c r="B3471" s="1">
        <f>IFERROR(__xludf.DUMMYFUNCTION("""COMPUTED_VALUE"""),3.25)</f>
        <v>3.25</v>
      </c>
      <c r="C3471" s="1">
        <f>IFERROR(__xludf.DUMMYFUNCTION("""COMPUTED_VALUE"""),3.33)</f>
        <v>3.33</v>
      </c>
      <c r="D3471" s="1">
        <f>IFERROR(__xludf.DUMMYFUNCTION("""COMPUTED_VALUE"""),3.2)</f>
        <v>3.2</v>
      </c>
      <c r="E3471" s="1">
        <f>IFERROR(__xludf.DUMMYFUNCTION("""COMPUTED_VALUE"""),3.22)</f>
        <v>3.22</v>
      </c>
      <c r="F3471" s="1">
        <f>IFERROR(__xludf.DUMMYFUNCTION("""COMPUTED_VALUE"""),620888.0)</f>
        <v>620888</v>
      </c>
    </row>
    <row r="3472">
      <c r="A3472" s="2">
        <f>IFERROR(__xludf.DUMMYFUNCTION("""COMPUTED_VALUE"""),44204.66666666667)</f>
        <v>44204.66667</v>
      </c>
      <c r="B3472" s="1">
        <f>IFERROR(__xludf.DUMMYFUNCTION("""COMPUTED_VALUE"""),3.25)</f>
        <v>3.25</v>
      </c>
      <c r="C3472" s="1">
        <f>IFERROR(__xludf.DUMMYFUNCTION("""COMPUTED_VALUE"""),3.3)</f>
        <v>3.3</v>
      </c>
      <c r="D3472" s="1">
        <f>IFERROR(__xludf.DUMMYFUNCTION("""COMPUTED_VALUE"""),3.15)</f>
        <v>3.15</v>
      </c>
      <c r="E3472" s="1">
        <f>IFERROR(__xludf.DUMMYFUNCTION("""COMPUTED_VALUE"""),3.19)</f>
        <v>3.19</v>
      </c>
      <c r="F3472" s="1">
        <f>IFERROR(__xludf.DUMMYFUNCTION("""COMPUTED_VALUE"""),261760.0)</f>
        <v>261760</v>
      </c>
    </row>
    <row r="3473">
      <c r="A3473" s="2">
        <f>IFERROR(__xludf.DUMMYFUNCTION("""COMPUTED_VALUE"""),44207.66666666667)</f>
        <v>44207.66667</v>
      </c>
      <c r="B3473" s="1">
        <f>IFERROR(__xludf.DUMMYFUNCTION("""COMPUTED_VALUE"""),3.15)</f>
        <v>3.15</v>
      </c>
      <c r="C3473" s="1">
        <f>IFERROR(__xludf.DUMMYFUNCTION("""COMPUTED_VALUE"""),3.24)</f>
        <v>3.24</v>
      </c>
      <c r="D3473" s="1">
        <f>IFERROR(__xludf.DUMMYFUNCTION("""COMPUTED_VALUE"""),3.14)</f>
        <v>3.14</v>
      </c>
      <c r="E3473" s="1">
        <f>IFERROR(__xludf.DUMMYFUNCTION("""COMPUTED_VALUE"""),3.21)</f>
        <v>3.21</v>
      </c>
      <c r="F3473" s="1">
        <f>IFERROR(__xludf.DUMMYFUNCTION("""COMPUTED_VALUE"""),185923.0)</f>
        <v>185923</v>
      </c>
    </row>
    <row r="3474">
      <c r="A3474" s="2">
        <f>IFERROR(__xludf.DUMMYFUNCTION("""COMPUTED_VALUE"""),44208.66666666667)</f>
        <v>44208.66667</v>
      </c>
      <c r="B3474" s="1">
        <f>IFERROR(__xludf.DUMMYFUNCTION("""COMPUTED_VALUE"""),3.23)</f>
        <v>3.23</v>
      </c>
      <c r="C3474" s="1">
        <f>IFERROR(__xludf.DUMMYFUNCTION("""COMPUTED_VALUE"""),3.27)</f>
        <v>3.27</v>
      </c>
      <c r="D3474" s="1">
        <f>IFERROR(__xludf.DUMMYFUNCTION("""COMPUTED_VALUE"""),3.18)</f>
        <v>3.18</v>
      </c>
      <c r="E3474" s="1">
        <f>IFERROR(__xludf.DUMMYFUNCTION("""COMPUTED_VALUE"""),3.24)</f>
        <v>3.24</v>
      </c>
      <c r="F3474" s="1">
        <f>IFERROR(__xludf.DUMMYFUNCTION("""COMPUTED_VALUE"""),270249.0)</f>
        <v>270249</v>
      </c>
    </row>
    <row r="3475">
      <c r="A3475" s="2">
        <f>IFERROR(__xludf.DUMMYFUNCTION("""COMPUTED_VALUE"""),44209.66666666667)</f>
        <v>44209.66667</v>
      </c>
      <c r="B3475" s="1">
        <f>IFERROR(__xludf.DUMMYFUNCTION("""COMPUTED_VALUE"""),3.23)</f>
        <v>3.23</v>
      </c>
      <c r="C3475" s="1">
        <f>IFERROR(__xludf.DUMMYFUNCTION("""COMPUTED_VALUE"""),3.29)</f>
        <v>3.29</v>
      </c>
      <c r="D3475" s="1">
        <f>IFERROR(__xludf.DUMMYFUNCTION("""COMPUTED_VALUE"""),3.23)</f>
        <v>3.23</v>
      </c>
      <c r="E3475" s="1">
        <f>IFERROR(__xludf.DUMMYFUNCTION("""COMPUTED_VALUE"""),3.25)</f>
        <v>3.25</v>
      </c>
      <c r="F3475" s="1">
        <f>IFERROR(__xludf.DUMMYFUNCTION("""COMPUTED_VALUE"""),268339.0)</f>
        <v>268339</v>
      </c>
    </row>
    <row r="3476">
      <c r="A3476" s="2">
        <f>IFERROR(__xludf.DUMMYFUNCTION("""COMPUTED_VALUE"""),44210.66666666667)</f>
        <v>44210.66667</v>
      </c>
      <c r="B3476" s="1">
        <f>IFERROR(__xludf.DUMMYFUNCTION("""COMPUTED_VALUE"""),3.28)</f>
        <v>3.28</v>
      </c>
      <c r="C3476" s="1">
        <f>IFERROR(__xludf.DUMMYFUNCTION("""COMPUTED_VALUE"""),3.3)</f>
        <v>3.3</v>
      </c>
      <c r="D3476" s="1">
        <f>IFERROR(__xludf.DUMMYFUNCTION("""COMPUTED_VALUE"""),3.25)</f>
        <v>3.25</v>
      </c>
      <c r="E3476" s="1">
        <f>IFERROR(__xludf.DUMMYFUNCTION("""COMPUTED_VALUE"""),3.27)</f>
        <v>3.27</v>
      </c>
      <c r="F3476" s="1">
        <f>IFERROR(__xludf.DUMMYFUNCTION("""COMPUTED_VALUE"""),184652.0)</f>
        <v>184652</v>
      </c>
    </row>
    <row r="3477">
      <c r="A3477" s="2">
        <f>IFERROR(__xludf.DUMMYFUNCTION("""COMPUTED_VALUE"""),44211.66666666667)</f>
        <v>44211.66667</v>
      </c>
      <c r="B3477" s="1">
        <f>IFERROR(__xludf.DUMMYFUNCTION("""COMPUTED_VALUE"""),3.25)</f>
        <v>3.25</v>
      </c>
      <c r="C3477" s="1">
        <f>IFERROR(__xludf.DUMMYFUNCTION("""COMPUTED_VALUE"""),3.31)</f>
        <v>3.31</v>
      </c>
      <c r="D3477" s="1">
        <f>IFERROR(__xludf.DUMMYFUNCTION("""COMPUTED_VALUE"""),3.23)</f>
        <v>3.23</v>
      </c>
      <c r="E3477" s="1">
        <f>IFERROR(__xludf.DUMMYFUNCTION("""COMPUTED_VALUE"""),3.24)</f>
        <v>3.24</v>
      </c>
      <c r="F3477" s="1">
        <f>IFERROR(__xludf.DUMMYFUNCTION("""COMPUTED_VALUE"""),249859.0)</f>
        <v>249859</v>
      </c>
    </row>
    <row r="3478">
      <c r="A3478" s="2">
        <f>IFERROR(__xludf.DUMMYFUNCTION("""COMPUTED_VALUE"""),44215.66666666667)</f>
        <v>44215.66667</v>
      </c>
      <c r="B3478" s="1">
        <f>IFERROR(__xludf.DUMMYFUNCTION("""COMPUTED_VALUE"""),3.28)</f>
        <v>3.28</v>
      </c>
      <c r="C3478" s="1">
        <f>IFERROR(__xludf.DUMMYFUNCTION("""COMPUTED_VALUE"""),3.28)</f>
        <v>3.28</v>
      </c>
      <c r="D3478" s="1">
        <f>IFERROR(__xludf.DUMMYFUNCTION("""COMPUTED_VALUE"""),3.21)</f>
        <v>3.21</v>
      </c>
      <c r="E3478" s="1">
        <f>IFERROR(__xludf.DUMMYFUNCTION("""COMPUTED_VALUE"""),3.25)</f>
        <v>3.25</v>
      </c>
      <c r="F3478" s="1">
        <f>IFERROR(__xludf.DUMMYFUNCTION("""COMPUTED_VALUE"""),177080.0)</f>
        <v>177080</v>
      </c>
    </row>
    <row r="3479">
      <c r="A3479" s="2">
        <f>IFERROR(__xludf.DUMMYFUNCTION("""COMPUTED_VALUE"""),44216.66666666667)</f>
        <v>44216.66667</v>
      </c>
      <c r="B3479" s="1">
        <f>IFERROR(__xludf.DUMMYFUNCTION("""COMPUTED_VALUE"""),3.27)</f>
        <v>3.27</v>
      </c>
      <c r="C3479" s="1">
        <f>IFERROR(__xludf.DUMMYFUNCTION("""COMPUTED_VALUE"""),3.39)</f>
        <v>3.39</v>
      </c>
      <c r="D3479" s="1">
        <f>IFERROR(__xludf.DUMMYFUNCTION("""COMPUTED_VALUE"""),3.27)</f>
        <v>3.27</v>
      </c>
      <c r="E3479" s="1">
        <f>IFERROR(__xludf.DUMMYFUNCTION("""COMPUTED_VALUE"""),3.37)</f>
        <v>3.37</v>
      </c>
      <c r="F3479" s="1">
        <f>IFERROR(__xludf.DUMMYFUNCTION("""COMPUTED_VALUE"""),307741.0)</f>
        <v>307741</v>
      </c>
    </row>
    <row r="3480">
      <c r="A3480" s="2">
        <f>IFERROR(__xludf.DUMMYFUNCTION("""COMPUTED_VALUE"""),44217.66666666667)</f>
        <v>44217.66667</v>
      </c>
      <c r="B3480" s="1">
        <f>IFERROR(__xludf.DUMMYFUNCTION("""COMPUTED_VALUE"""),3.37)</f>
        <v>3.37</v>
      </c>
      <c r="C3480" s="1">
        <f>IFERROR(__xludf.DUMMYFUNCTION("""COMPUTED_VALUE"""),3.43)</f>
        <v>3.43</v>
      </c>
      <c r="D3480" s="1">
        <f>IFERROR(__xludf.DUMMYFUNCTION("""COMPUTED_VALUE"""),3.34)</f>
        <v>3.34</v>
      </c>
      <c r="E3480" s="1">
        <f>IFERROR(__xludf.DUMMYFUNCTION("""COMPUTED_VALUE"""),3.38)</f>
        <v>3.38</v>
      </c>
      <c r="F3480" s="1">
        <f>IFERROR(__xludf.DUMMYFUNCTION("""COMPUTED_VALUE"""),262794.0)</f>
        <v>262794</v>
      </c>
    </row>
    <row r="3481">
      <c r="A3481" s="2">
        <f>IFERROR(__xludf.DUMMYFUNCTION("""COMPUTED_VALUE"""),44218.66666666667)</f>
        <v>44218.66667</v>
      </c>
      <c r="B3481" s="1">
        <f>IFERROR(__xludf.DUMMYFUNCTION("""COMPUTED_VALUE"""),3.33)</f>
        <v>3.33</v>
      </c>
      <c r="C3481" s="1">
        <f>IFERROR(__xludf.DUMMYFUNCTION("""COMPUTED_VALUE"""),3.43)</f>
        <v>3.43</v>
      </c>
      <c r="D3481" s="1">
        <f>IFERROR(__xludf.DUMMYFUNCTION("""COMPUTED_VALUE"""),3.31)</f>
        <v>3.31</v>
      </c>
      <c r="E3481" s="1">
        <f>IFERROR(__xludf.DUMMYFUNCTION("""COMPUTED_VALUE"""),3.42)</f>
        <v>3.42</v>
      </c>
      <c r="F3481" s="1">
        <f>IFERROR(__xludf.DUMMYFUNCTION("""COMPUTED_VALUE"""),345584.0)</f>
        <v>345584</v>
      </c>
    </row>
    <row r="3482">
      <c r="A3482" s="2">
        <f>IFERROR(__xludf.DUMMYFUNCTION("""COMPUTED_VALUE"""),44221.66666666667)</f>
        <v>44221.66667</v>
      </c>
      <c r="B3482" s="1">
        <f>IFERROR(__xludf.DUMMYFUNCTION("""COMPUTED_VALUE"""),3.43)</f>
        <v>3.43</v>
      </c>
      <c r="C3482" s="1">
        <f>IFERROR(__xludf.DUMMYFUNCTION("""COMPUTED_VALUE"""),3.51)</f>
        <v>3.51</v>
      </c>
      <c r="D3482" s="1">
        <f>IFERROR(__xludf.DUMMYFUNCTION("""COMPUTED_VALUE"""),3.41)</f>
        <v>3.41</v>
      </c>
      <c r="E3482" s="1">
        <f>IFERROR(__xludf.DUMMYFUNCTION("""COMPUTED_VALUE"""),3.47)</f>
        <v>3.47</v>
      </c>
      <c r="F3482" s="1">
        <f>IFERROR(__xludf.DUMMYFUNCTION("""COMPUTED_VALUE"""),304358.0)</f>
        <v>304358</v>
      </c>
    </row>
    <row r="3483">
      <c r="A3483" s="2">
        <f>IFERROR(__xludf.DUMMYFUNCTION("""COMPUTED_VALUE"""),44222.66666666667)</f>
        <v>44222.66667</v>
      </c>
      <c r="B3483" s="1">
        <f>IFERROR(__xludf.DUMMYFUNCTION("""COMPUTED_VALUE"""),3.47)</f>
        <v>3.47</v>
      </c>
      <c r="C3483" s="1">
        <f>IFERROR(__xludf.DUMMYFUNCTION("""COMPUTED_VALUE"""),3.48)</f>
        <v>3.48</v>
      </c>
      <c r="D3483" s="1">
        <f>IFERROR(__xludf.DUMMYFUNCTION("""COMPUTED_VALUE"""),3.36)</f>
        <v>3.36</v>
      </c>
      <c r="E3483" s="1">
        <f>IFERROR(__xludf.DUMMYFUNCTION("""COMPUTED_VALUE"""),3.38)</f>
        <v>3.38</v>
      </c>
      <c r="F3483" s="1">
        <f>IFERROR(__xludf.DUMMYFUNCTION("""COMPUTED_VALUE"""),203654.0)</f>
        <v>203654</v>
      </c>
    </row>
    <row r="3484">
      <c r="A3484" s="2">
        <f>IFERROR(__xludf.DUMMYFUNCTION("""COMPUTED_VALUE"""),44223.66666666667)</f>
        <v>44223.66667</v>
      </c>
      <c r="B3484" s="1">
        <f>IFERROR(__xludf.DUMMYFUNCTION("""COMPUTED_VALUE"""),3.31)</f>
        <v>3.31</v>
      </c>
      <c r="C3484" s="1">
        <f>IFERROR(__xludf.DUMMYFUNCTION("""COMPUTED_VALUE"""),3.31)</f>
        <v>3.31</v>
      </c>
      <c r="D3484" s="1">
        <f>IFERROR(__xludf.DUMMYFUNCTION("""COMPUTED_VALUE"""),3.21)</f>
        <v>3.21</v>
      </c>
      <c r="E3484" s="1">
        <f>IFERROR(__xludf.DUMMYFUNCTION("""COMPUTED_VALUE"""),3.22)</f>
        <v>3.22</v>
      </c>
      <c r="F3484" s="1">
        <f>IFERROR(__xludf.DUMMYFUNCTION("""COMPUTED_VALUE"""),237529.0)</f>
        <v>237529</v>
      </c>
    </row>
    <row r="3485">
      <c r="A3485" s="2">
        <f>IFERROR(__xludf.DUMMYFUNCTION("""COMPUTED_VALUE"""),44224.66666666667)</f>
        <v>44224.66667</v>
      </c>
      <c r="B3485" s="1">
        <f>IFERROR(__xludf.DUMMYFUNCTION("""COMPUTED_VALUE"""),3.24)</f>
        <v>3.24</v>
      </c>
      <c r="C3485" s="1">
        <f>IFERROR(__xludf.DUMMYFUNCTION("""COMPUTED_VALUE"""),3.24)</f>
        <v>3.24</v>
      </c>
      <c r="D3485" s="1">
        <f>IFERROR(__xludf.DUMMYFUNCTION("""COMPUTED_VALUE"""),3.12)</f>
        <v>3.12</v>
      </c>
      <c r="E3485" s="1">
        <f>IFERROR(__xludf.DUMMYFUNCTION("""COMPUTED_VALUE"""),3.18)</f>
        <v>3.18</v>
      </c>
      <c r="F3485" s="1">
        <f>IFERROR(__xludf.DUMMYFUNCTION("""COMPUTED_VALUE"""),179569.0)</f>
        <v>179569</v>
      </c>
    </row>
    <row r="3486">
      <c r="A3486" s="2">
        <f>IFERROR(__xludf.DUMMYFUNCTION("""COMPUTED_VALUE"""),44225.66666666667)</f>
        <v>44225.66667</v>
      </c>
      <c r="B3486" s="1">
        <f>IFERROR(__xludf.DUMMYFUNCTION("""COMPUTED_VALUE"""),3.17)</f>
        <v>3.17</v>
      </c>
      <c r="C3486" s="1">
        <f>IFERROR(__xludf.DUMMYFUNCTION("""COMPUTED_VALUE"""),3.19)</f>
        <v>3.19</v>
      </c>
      <c r="D3486" s="1">
        <f>IFERROR(__xludf.DUMMYFUNCTION("""COMPUTED_VALUE"""),3.05)</f>
        <v>3.05</v>
      </c>
      <c r="E3486" s="1">
        <f>IFERROR(__xludf.DUMMYFUNCTION("""COMPUTED_VALUE"""),3.1)</f>
        <v>3.1</v>
      </c>
      <c r="F3486" s="1">
        <f>IFERROR(__xludf.DUMMYFUNCTION("""COMPUTED_VALUE"""),309593.0)</f>
        <v>309593</v>
      </c>
    </row>
    <row r="3487">
      <c r="A3487" s="2">
        <f>IFERROR(__xludf.DUMMYFUNCTION("""COMPUTED_VALUE"""),44228.66666666667)</f>
        <v>44228.66667</v>
      </c>
      <c r="B3487" s="1">
        <f>IFERROR(__xludf.DUMMYFUNCTION("""COMPUTED_VALUE"""),3.13)</f>
        <v>3.13</v>
      </c>
      <c r="C3487" s="1">
        <f>IFERROR(__xludf.DUMMYFUNCTION("""COMPUTED_VALUE"""),3.2)</f>
        <v>3.2</v>
      </c>
      <c r="D3487" s="1">
        <f>IFERROR(__xludf.DUMMYFUNCTION("""COMPUTED_VALUE"""),3.1)</f>
        <v>3.1</v>
      </c>
      <c r="E3487" s="1">
        <f>IFERROR(__xludf.DUMMYFUNCTION("""COMPUTED_VALUE"""),3.15)</f>
        <v>3.15</v>
      </c>
      <c r="F3487" s="1">
        <f>IFERROR(__xludf.DUMMYFUNCTION("""COMPUTED_VALUE"""),227924.0)</f>
        <v>227924</v>
      </c>
    </row>
    <row r="3488">
      <c r="A3488" s="2">
        <f>IFERROR(__xludf.DUMMYFUNCTION("""COMPUTED_VALUE"""),44229.66666666667)</f>
        <v>44229.66667</v>
      </c>
      <c r="B3488" s="1">
        <f>IFERROR(__xludf.DUMMYFUNCTION("""COMPUTED_VALUE"""),3.18)</f>
        <v>3.18</v>
      </c>
      <c r="C3488" s="1">
        <f>IFERROR(__xludf.DUMMYFUNCTION("""COMPUTED_VALUE"""),3.21)</f>
        <v>3.21</v>
      </c>
      <c r="D3488" s="1">
        <f>IFERROR(__xludf.DUMMYFUNCTION("""COMPUTED_VALUE"""),3.14)</f>
        <v>3.14</v>
      </c>
      <c r="E3488" s="1">
        <f>IFERROR(__xludf.DUMMYFUNCTION("""COMPUTED_VALUE"""),3.18)</f>
        <v>3.18</v>
      </c>
      <c r="F3488" s="1">
        <f>IFERROR(__xludf.DUMMYFUNCTION("""COMPUTED_VALUE"""),309701.0)</f>
        <v>309701</v>
      </c>
    </row>
    <row r="3489">
      <c r="A3489" s="2">
        <f>IFERROR(__xludf.DUMMYFUNCTION("""COMPUTED_VALUE"""),44230.66666666667)</f>
        <v>44230.66667</v>
      </c>
      <c r="B3489" s="1">
        <f>IFERROR(__xludf.DUMMYFUNCTION("""COMPUTED_VALUE"""),3.25)</f>
        <v>3.25</v>
      </c>
      <c r="C3489" s="1">
        <f>IFERROR(__xludf.DUMMYFUNCTION("""COMPUTED_VALUE"""),3.47)</f>
        <v>3.47</v>
      </c>
      <c r="D3489" s="1">
        <f>IFERROR(__xludf.DUMMYFUNCTION("""COMPUTED_VALUE"""),3.25)</f>
        <v>3.25</v>
      </c>
      <c r="E3489" s="1">
        <f>IFERROR(__xludf.DUMMYFUNCTION("""COMPUTED_VALUE"""),3.3)</f>
        <v>3.3</v>
      </c>
      <c r="F3489" s="1">
        <f>IFERROR(__xludf.DUMMYFUNCTION("""COMPUTED_VALUE"""),455394.0)</f>
        <v>455394</v>
      </c>
    </row>
    <row r="3490">
      <c r="A3490" s="2">
        <f>IFERROR(__xludf.DUMMYFUNCTION("""COMPUTED_VALUE"""),44231.66666666667)</f>
        <v>44231.66667</v>
      </c>
      <c r="B3490" s="1">
        <f>IFERROR(__xludf.DUMMYFUNCTION("""COMPUTED_VALUE"""),3.33)</f>
        <v>3.33</v>
      </c>
      <c r="C3490" s="1">
        <f>IFERROR(__xludf.DUMMYFUNCTION("""COMPUTED_VALUE"""),3.36)</f>
        <v>3.36</v>
      </c>
      <c r="D3490" s="1">
        <f>IFERROR(__xludf.DUMMYFUNCTION("""COMPUTED_VALUE"""),3.24)</f>
        <v>3.24</v>
      </c>
      <c r="E3490" s="1">
        <f>IFERROR(__xludf.DUMMYFUNCTION("""COMPUTED_VALUE"""),3.29)</f>
        <v>3.29</v>
      </c>
      <c r="F3490" s="1">
        <f>IFERROR(__xludf.DUMMYFUNCTION("""COMPUTED_VALUE"""),209551.0)</f>
        <v>209551</v>
      </c>
    </row>
    <row r="3491">
      <c r="A3491" s="2">
        <f>IFERROR(__xludf.DUMMYFUNCTION("""COMPUTED_VALUE"""),44232.66666666667)</f>
        <v>44232.66667</v>
      </c>
      <c r="B3491" s="1">
        <f>IFERROR(__xludf.DUMMYFUNCTION("""COMPUTED_VALUE"""),3.27)</f>
        <v>3.27</v>
      </c>
      <c r="C3491" s="1">
        <f>IFERROR(__xludf.DUMMYFUNCTION("""COMPUTED_VALUE"""),3.27)</f>
        <v>3.27</v>
      </c>
      <c r="D3491" s="1">
        <f>IFERROR(__xludf.DUMMYFUNCTION("""COMPUTED_VALUE"""),3.1)</f>
        <v>3.1</v>
      </c>
      <c r="E3491" s="1">
        <f>IFERROR(__xludf.DUMMYFUNCTION("""COMPUTED_VALUE"""),3.2)</f>
        <v>3.2</v>
      </c>
      <c r="F3491" s="1">
        <f>IFERROR(__xludf.DUMMYFUNCTION("""COMPUTED_VALUE"""),364810.0)</f>
        <v>364810</v>
      </c>
    </row>
    <row r="3492">
      <c r="A3492" s="2">
        <f>IFERROR(__xludf.DUMMYFUNCTION("""COMPUTED_VALUE"""),44235.66666666667)</f>
        <v>44235.66667</v>
      </c>
      <c r="B3492" s="1">
        <f>IFERROR(__xludf.DUMMYFUNCTION("""COMPUTED_VALUE"""),3.2)</f>
        <v>3.2</v>
      </c>
      <c r="C3492" s="1">
        <f>IFERROR(__xludf.DUMMYFUNCTION("""COMPUTED_VALUE"""),3.39)</f>
        <v>3.39</v>
      </c>
      <c r="D3492" s="1">
        <f>IFERROR(__xludf.DUMMYFUNCTION("""COMPUTED_VALUE"""),3.2)</f>
        <v>3.2</v>
      </c>
      <c r="E3492" s="1">
        <f>IFERROR(__xludf.DUMMYFUNCTION("""COMPUTED_VALUE"""),3.38)</f>
        <v>3.38</v>
      </c>
      <c r="F3492" s="1">
        <f>IFERROR(__xludf.DUMMYFUNCTION("""COMPUTED_VALUE"""),420763.0)</f>
        <v>420763</v>
      </c>
    </row>
    <row r="3493">
      <c r="A3493" s="2">
        <f>IFERROR(__xludf.DUMMYFUNCTION("""COMPUTED_VALUE"""),44236.66666666667)</f>
        <v>44236.66667</v>
      </c>
      <c r="B3493" s="1">
        <f>IFERROR(__xludf.DUMMYFUNCTION("""COMPUTED_VALUE"""),3.38)</f>
        <v>3.38</v>
      </c>
      <c r="C3493" s="1">
        <f>IFERROR(__xludf.DUMMYFUNCTION("""COMPUTED_VALUE"""),3.41)</f>
        <v>3.41</v>
      </c>
      <c r="D3493" s="1">
        <f>IFERROR(__xludf.DUMMYFUNCTION("""COMPUTED_VALUE"""),3.33)</f>
        <v>3.33</v>
      </c>
      <c r="E3493" s="1">
        <f>IFERROR(__xludf.DUMMYFUNCTION("""COMPUTED_VALUE"""),3.39)</f>
        <v>3.39</v>
      </c>
      <c r="F3493" s="1">
        <f>IFERROR(__xludf.DUMMYFUNCTION("""COMPUTED_VALUE"""),192884.0)</f>
        <v>192884</v>
      </c>
    </row>
    <row r="3494">
      <c r="A3494" s="2">
        <f>IFERROR(__xludf.DUMMYFUNCTION("""COMPUTED_VALUE"""),44237.66666666667)</f>
        <v>44237.66667</v>
      </c>
      <c r="B3494" s="1">
        <f>IFERROR(__xludf.DUMMYFUNCTION("""COMPUTED_VALUE"""),3.41)</f>
        <v>3.41</v>
      </c>
      <c r="C3494" s="1">
        <f>IFERROR(__xludf.DUMMYFUNCTION("""COMPUTED_VALUE"""),3.42)</f>
        <v>3.42</v>
      </c>
      <c r="D3494" s="1">
        <f>IFERROR(__xludf.DUMMYFUNCTION("""COMPUTED_VALUE"""),3.35)</f>
        <v>3.35</v>
      </c>
      <c r="E3494" s="1">
        <f>IFERROR(__xludf.DUMMYFUNCTION("""COMPUTED_VALUE"""),3.37)</f>
        <v>3.37</v>
      </c>
      <c r="F3494" s="1">
        <f>IFERROR(__xludf.DUMMYFUNCTION("""COMPUTED_VALUE"""),159173.0)</f>
        <v>159173</v>
      </c>
    </row>
    <row r="3495">
      <c r="A3495" s="2">
        <f>IFERROR(__xludf.DUMMYFUNCTION("""COMPUTED_VALUE"""),44238.66666666667)</f>
        <v>44238.66667</v>
      </c>
      <c r="B3495" s="1">
        <f>IFERROR(__xludf.DUMMYFUNCTION("""COMPUTED_VALUE"""),3.36)</f>
        <v>3.36</v>
      </c>
      <c r="C3495" s="1">
        <f>IFERROR(__xludf.DUMMYFUNCTION("""COMPUTED_VALUE"""),3.46)</f>
        <v>3.46</v>
      </c>
      <c r="D3495" s="1">
        <f>IFERROR(__xludf.DUMMYFUNCTION("""COMPUTED_VALUE"""),3.36)</f>
        <v>3.36</v>
      </c>
      <c r="E3495" s="1">
        <f>IFERROR(__xludf.DUMMYFUNCTION("""COMPUTED_VALUE"""),3.42)</f>
        <v>3.42</v>
      </c>
      <c r="F3495" s="1">
        <f>IFERROR(__xludf.DUMMYFUNCTION("""COMPUTED_VALUE"""),220329.0)</f>
        <v>220329</v>
      </c>
    </row>
    <row r="3496">
      <c r="A3496" s="2">
        <f>IFERROR(__xludf.DUMMYFUNCTION("""COMPUTED_VALUE"""),44239.66666666667)</f>
        <v>44239.66667</v>
      </c>
      <c r="B3496" s="1">
        <f>IFERROR(__xludf.DUMMYFUNCTION("""COMPUTED_VALUE"""),3.25)</f>
        <v>3.25</v>
      </c>
      <c r="C3496" s="1">
        <f>IFERROR(__xludf.DUMMYFUNCTION("""COMPUTED_VALUE"""),3.35)</f>
        <v>3.35</v>
      </c>
      <c r="D3496" s="1">
        <f>IFERROR(__xludf.DUMMYFUNCTION("""COMPUTED_VALUE"""),3.15)</f>
        <v>3.15</v>
      </c>
      <c r="E3496" s="1">
        <f>IFERROR(__xludf.DUMMYFUNCTION("""COMPUTED_VALUE"""),3.2)</f>
        <v>3.2</v>
      </c>
      <c r="F3496" s="1">
        <f>IFERROR(__xludf.DUMMYFUNCTION("""COMPUTED_VALUE"""),650854.0)</f>
        <v>650854</v>
      </c>
    </row>
    <row r="3497">
      <c r="A3497" s="2">
        <f>IFERROR(__xludf.DUMMYFUNCTION("""COMPUTED_VALUE"""),44243.66666666667)</f>
        <v>44243.66667</v>
      </c>
      <c r="B3497" s="1">
        <f>IFERROR(__xludf.DUMMYFUNCTION("""COMPUTED_VALUE"""),3.24)</f>
        <v>3.24</v>
      </c>
      <c r="C3497" s="1">
        <f>IFERROR(__xludf.DUMMYFUNCTION("""COMPUTED_VALUE"""),3.29)</f>
        <v>3.29</v>
      </c>
      <c r="D3497" s="1">
        <f>IFERROR(__xludf.DUMMYFUNCTION("""COMPUTED_VALUE"""),3.18)</f>
        <v>3.18</v>
      </c>
      <c r="E3497" s="1">
        <f>IFERROR(__xludf.DUMMYFUNCTION("""COMPUTED_VALUE"""),3.19)</f>
        <v>3.19</v>
      </c>
      <c r="F3497" s="1">
        <f>IFERROR(__xludf.DUMMYFUNCTION("""COMPUTED_VALUE"""),284691.0)</f>
        <v>284691</v>
      </c>
    </row>
    <row r="3498">
      <c r="A3498" s="2">
        <f>IFERROR(__xludf.DUMMYFUNCTION("""COMPUTED_VALUE"""),44244.66666666667)</f>
        <v>44244.66667</v>
      </c>
      <c r="B3498" s="1">
        <f>IFERROR(__xludf.DUMMYFUNCTION("""COMPUTED_VALUE"""),3.14)</f>
        <v>3.14</v>
      </c>
      <c r="C3498" s="1">
        <f>IFERROR(__xludf.DUMMYFUNCTION("""COMPUTED_VALUE"""),3.21)</f>
        <v>3.21</v>
      </c>
      <c r="D3498" s="1">
        <f>IFERROR(__xludf.DUMMYFUNCTION("""COMPUTED_VALUE"""),3.1)</f>
        <v>3.1</v>
      </c>
      <c r="E3498" s="1">
        <f>IFERROR(__xludf.DUMMYFUNCTION("""COMPUTED_VALUE"""),3.15)</f>
        <v>3.15</v>
      </c>
      <c r="F3498" s="1">
        <f>IFERROR(__xludf.DUMMYFUNCTION("""COMPUTED_VALUE"""),179639.0)</f>
        <v>179639</v>
      </c>
    </row>
    <row r="3499">
      <c r="A3499" s="2">
        <f>IFERROR(__xludf.DUMMYFUNCTION("""COMPUTED_VALUE"""),44245.66666666667)</f>
        <v>44245.66667</v>
      </c>
      <c r="B3499" s="1">
        <f>IFERROR(__xludf.DUMMYFUNCTION("""COMPUTED_VALUE"""),3.14)</f>
        <v>3.14</v>
      </c>
      <c r="C3499" s="1">
        <f>IFERROR(__xludf.DUMMYFUNCTION("""COMPUTED_VALUE"""),3.19)</f>
        <v>3.19</v>
      </c>
      <c r="D3499" s="1">
        <f>IFERROR(__xludf.DUMMYFUNCTION("""COMPUTED_VALUE"""),3.13)</f>
        <v>3.13</v>
      </c>
      <c r="E3499" s="1">
        <f>IFERROR(__xludf.DUMMYFUNCTION("""COMPUTED_VALUE"""),3.16)</f>
        <v>3.16</v>
      </c>
      <c r="F3499" s="1">
        <f>IFERROR(__xludf.DUMMYFUNCTION("""COMPUTED_VALUE"""),188557.0)</f>
        <v>188557</v>
      </c>
    </row>
    <row r="3500">
      <c r="A3500" s="2">
        <f>IFERROR(__xludf.DUMMYFUNCTION("""COMPUTED_VALUE"""),44246.66666666667)</f>
        <v>44246.66667</v>
      </c>
      <c r="B3500" s="1">
        <f>IFERROR(__xludf.DUMMYFUNCTION("""COMPUTED_VALUE"""),3.17)</f>
        <v>3.17</v>
      </c>
      <c r="C3500" s="1">
        <f>IFERROR(__xludf.DUMMYFUNCTION("""COMPUTED_VALUE"""),3.21)</f>
        <v>3.21</v>
      </c>
      <c r="D3500" s="1">
        <f>IFERROR(__xludf.DUMMYFUNCTION("""COMPUTED_VALUE"""),3.13)</f>
        <v>3.13</v>
      </c>
      <c r="E3500" s="1">
        <f>IFERROR(__xludf.DUMMYFUNCTION("""COMPUTED_VALUE"""),3.17)</f>
        <v>3.17</v>
      </c>
      <c r="F3500" s="1">
        <f>IFERROR(__xludf.DUMMYFUNCTION("""COMPUTED_VALUE"""),210249.0)</f>
        <v>210249</v>
      </c>
    </row>
    <row r="3501">
      <c r="A3501" s="2">
        <f>IFERROR(__xludf.DUMMYFUNCTION("""COMPUTED_VALUE"""),44249.66666666667)</f>
        <v>44249.66667</v>
      </c>
      <c r="B3501" s="1">
        <f>IFERROR(__xludf.DUMMYFUNCTION("""COMPUTED_VALUE"""),3.13)</f>
        <v>3.13</v>
      </c>
      <c r="C3501" s="1">
        <f>IFERROR(__xludf.DUMMYFUNCTION("""COMPUTED_VALUE"""),3.22)</f>
        <v>3.22</v>
      </c>
      <c r="D3501" s="1">
        <f>IFERROR(__xludf.DUMMYFUNCTION("""COMPUTED_VALUE"""),3.12)</f>
        <v>3.12</v>
      </c>
      <c r="E3501" s="1">
        <f>IFERROR(__xludf.DUMMYFUNCTION("""COMPUTED_VALUE"""),3.18)</f>
        <v>3.18</v>
      </c>
      <c r="F3501" s="1">
        <f>IFERROR(__xludf.DUMMYFUNCTION("""COMPUTED_VALUE"""),273025.0)</f>
        <v>273025</v>
      </c>
    </row>
    <row r="3502">
      <c r="A3502" s="2">
        <f>IFERROR(__xludf.DUMMYFUNCTION("""COMPUTED_VALUE"""),44250.66666666667)</f>
        <v>44250.66667</v>
      </c>
      <c r="B3502" s="1">
        <f>IFERROR(__xludf.DUMMYFUNCTION("""COMPUTED_VALUE"""),3.15)</f>
        <v>3.15</v>
      </c>
      <c r="C3502" s="1">
        <f>IFERROR(__xludf.DUMMYFUNCTION("""COMPUTED_VALUE"""),3.29)</f>
        <v>3.29</v>
      </c>
      <c r="D3502" s="1">
        <f>IFERROR(__xludf.DUMMYFUNCTION("""COMPUTED_VALUE"""),3.06)</f>
        <v>3.06</v>
      </c>
      <c r="E3502" s="1">
        <f>IFERROR(__xludf.DUMMYFUNCTION("""COMPUTED_VALUE"""),3.26)</f>
        <v>3.26</v>
      </c>
      <c r="F3502" s="1">
        <f>IFERROR(__xludf.DUMMYFUNCTION("""COMPUTED_VALUE"""),673549.0)</f>
        <v>673549</v>
      </c>
    </row>
    <row r="3503">
      <c r="A3503" s="2">
        <f>IFERROR(__xludf.DUMMYFUNCTION("""COMPUTED_VALUE"""),44251.66666666667)</f>
        <v>44251.66667</v>
      </c>
      <c r="B3503" s="1">
        <f>IFERROR(__xludf.DUMMYFUNCTION("""COMPUTED_VALUE"""),3.24)</f>
        <v>3.24</v>
      </c>
      <c r="C3503" s="1">
        <f>IFERROR(__xludf.DUMMYFUNCTION("""COMPUTED_VALUE"""),3.4)</f>
        <v>3.4</v>
      </c>
      <c r="D3503" s="1">
        <f>IFERROR(__xludf.DUMMYFUNCTION("""COMPUTED_VALUE"""),3.24)</f>
        <v>3.24</v>
      </c>
      <c r="E3503" s="1">
        <f>IFERROR(__xludf.DUMMYFUNCTION("""COMPUTED_VALUE"""),3.37)</f>
        <v>3.37</v>
      </c>
      <c r="F3503" s="1">
        <f>IFERROR(__xludf.DUMMYFUNCTION("""COMPUTED_VALUE"""),312561.0)</f>
        <v>312561</v>
      </c>
    </row>
    <row r="3504">
      <c r="A3504" s="2">
        <f>IFERROR(__xludf.DUMMYFUNCTION("""COMPUTED_VALUE"""),44252.66666666667)</f>
        <v>44252.66667</v>
      </c>
      <c r="B3504" s="1">
        <f>IFERROR(__xludf.DUMMYFUNCTION("""COMPUTED_VALUE"""),3.33)</f>
        <v>3.33</v>
      </c>
      <c r="C3504" s="1">
        <f>IFERROR(__xludf.DUMMYFUNCTION("""COMPUTED_VALUE"""),3.37)</f>
        <v>3.37</v>
      </c>
      <c r="D3504" s="1">
        <f>IFERROR(__xludf.DUMMYFUNCTION("""COMPUTED_VALUE"""),3.25)</f>
        <v>3.25</v>
      </c>
      <c r="E3504" s="1">
        <f>IFERROR(__xludf.DUMMYFUNCTION("""COMPUTED_VALUE"""),3.25)</f>
        <v>3.25</v>
      </c>
      <c r="F3504" s="1">
        <f>IFERROR(__xludf.DUMMYFUNCTION("""COMPUTED_VALUE"""),280659.0)</f>
        <v>280659</v>
      </c>
    </row>
    <row r="3505">
      <c r="A3505" s="2">
        <f>IFERROR(__xludf.DUMMYFUNCTION("""COMPUTED_VALUE"""),44253.66666666667)</f>
        <v>44253.66667</v>
      </c>
      <c r="B3505" s="1">
        <f>IFERROR(__xludf.DUMMYFUNCTION("""COMPUTED_VALUE"""),3.23)</f>
        <v>3.23</v>
      </c>
      <c r="C3505" s="1">
        <f>IFERROR(__xludf.DUMMYFUNCTION("""COMPUTED_VALUE"""),3.32)</f>
        <v>3.32</v>
      </c>
      <c r="D3505" s="1">
        <f>IFERROR(__xludf.DUMMYFUNCTION("""COMPUTED_VALUE"""),3.21)</f>
        <v>3.21</v>
      </c>
      <c r="E3505" s="1">
        <f>IFERROR(__xludf.DUMMYFUNCTION("""COMPUTED_VALUE"""),3.26)</f>
        <v>3.26</v>
      </c>
      <c r="F3505" s="1">
        <f>IFERROR(__xludf.DUMMYFUNCTION("""COMPUTED_VALUE"""),353311.0)</f>
        <v>353311</v>
      </c>
    </row>
    <row r="3506">
      <c r="A3506" s="2">
        <f>IFERROR(__xludf.DUMMYFUNCTION("""COMPUTED_VALUE"""),44256.66666666667)</f>
        <v>44256.66667</v>
      </c>
      <c r="B3506" s="1">
        <f>IFERROR(__xludf.DUMMYFUNCTION("""COMPUTED_VALUE"""),3.35)</f>
        <v>3.35</v>
      </c>
      <c r="C3506" s="1">
        <f>IFERROR(__xludf.DUMMYFUNCTION("""COMPUTED_VALUE"""),3.44)</f>
        <v>3.44</v>
      </c>
      <c r="D3506" s="1">
        <f>IFERROR(__xludf.DUMMYFUNCTION("""COMPUTED_VALUE"""),3.29)</f>
        <v>3.29</v>
      </c>
      <c r="E3506" s="1">
        <f>IFERROR(__xludf.DUMMYFUNCTION("""COMPUTED_VALUE"""),3.43)</f>
        <v>3.43</v>
      </c>
      <c r="F3506" s="1">
        <f>IFERROR(__xludf.DUMMYFUNCTION("""COMPUTED_VALUE"""),221827.0)</f>
        <v>221827</v>
      </c>
    </row>
    <row r="3507">
      <c r="A3507" s="2">
        <f>IFERROR(__xludf.DUMMYFUNCTION("""COMPUTED_VALUE"""),44257.66666666667)</f>
        <v>44257.66667</v>
      </c>
      <c r="B3507" s="1">
        <f>IFERROR(__xludf.DUMMYFUNCTION("""COMPUTED_VALUE"""),3.45)</f>
        <v>3.45</v>
      </c>
      <c r="C3507" s="1">
        <f>IFERROR(__xludf.DUMMYFUNCTION("""COMPUTED_VALUE"""),3.46)</f>
        <v>3.46</v>
      </c>
      <c r="D3507" s="1">
        <f>IFERROR(__xludf.DUMMYFUNCTION("""COMPUTED_VALUE"""),3.38)</f>
        <v>3.38</v>
      </c>
      <c r="E3507" s="1">
        <f>IFERROR(__xludf.DUMMYFUNCTION("""COMPUTED_VALUE"""),3.41)</f>
        <v>3.41</v>
      </c>
      <c r="F3507" s="1">
        <f>IFERROR(__xludf.DUMMYFUNCTION("""COMPUTED_VALUE"""),253129.0)</f>
        <v>253129</v>
      </c>
    </row>
    <row r="3508">
      <c r="A3508" s="2">
        <f>IFERROR(__xludf.DUMMYFUNCTION("""COMPUTED_VALUE"""),44258.66666666667)</f>
        <v>44258.66667</v>
      </c>
      <c r="B3508" s="1">
        <f>IFERROR(__xludf.DUMMYFUNCTION("""COMPUTED_VALUE"""),3.43)</f>
        <v>3.43</v>
      </c>
      <c r="C3508" s="1">
        <f>IFERROR(__xludf.DUMMYFUNCTION("""COMPUTED_VALUE"""),3.47)</f>
        <v>3.47</v>
      </c>
      <c r="D3508" s="1">
        <f>IFERROR(__xludf.DUMMYFUNCTION("""COMPUTED_VALUE"""),3.36)</f>
        <v>3.36</v>
      </c>
      <c r="E3508" s="1">
        <f>IFERROR(__xludf.DUMMYFUNCTION("""COMPUTED_VALUE"""),3.36)</f>
        <v>3.36</v>
      </c>
      <c r="F3508" s="1">
        <f>IFERROR(__xludf.DUMMYFUNCTION("""COMPUTED_VALUE"""),291619.0)</f>
        <v>291619</v>
      </c>
    </row>
    <row r="3509">
      <c r="A3509" s="2">
        <f>IFERROR(__xludf.DUMMYFUNCTION("""COMPUTED_VALUE"""),44259.66666666667)</f>
        <v>44259.66667</v>
      </c>
      <c r="B3509" s="1">
        <f>IFERROR(__xludf.DUMMYFUNCTION("""COMPUTED_VALUE"""),3.38)</f>
        <v>3.38</v>
      </c>
      <c r="C3509" s="1">
        <f>IFERROR(__xludf.DUMMYFUNCTION("""COMPUTED_VALUE"""),3.39)</f>
        <v>3.39</v>
      </c>
      <c r="D3509" s="1">
        <f>IFERROR(__xludf.DUMMYFUNCTION("""COMPUTED_VALUE"""),3.23)</f>
        <v>3.23</v>
      </c>
      <c r="E3509" s="1">
        <f>IFERROR(__xludf.DUMMYFUNCTION("""COMPUTED_VALUE"""),3.26)</f>
        <v>3.26</v>
      </c>
      <c r="F3509" s="1">
        <f>IFERROR(__xludf.DUMMYFUNCTION("""COMPUTED_VALUE"""),286021.0)</f>
        <v>286021</v>
      </c>
    </row>
    <row r="3510">
      <c r="A3510" s="2">
        <f>IFERROR(__xludf.DUMMYFUNCTION("""COMPUTED_VALUE"""),44260.66666666667)</f>
        <v>44260.66667</v>
      </c>
      <c r="B3510" s="1">
        <f>IFERROR(__xludf.DUMMYFUNCTION("""COMPUTED_VALUE"""),3.31)</f>
        <v>3.31</v>
      </c>
      <c r="C3510" s="1">
        <f>IFERROR(__xludf.DUMMYFUNCTION("""COMPUTED_VALUE"""),3.41)</f>
        <v>3.41</v>
      </c>
      <c r="D3510" s="1">
        <f>IFERROR(__xludf.DUMMYFUNCTION("""COMPUTED_VALUE"""),3.23)</f>
        <v>3.23</v>
      </c>
      <c r="E3510" s="1">
        <f>IFERROR(__xludf.DUMMYFUNCTION("""COMPUTED_VALUE"""),3.39)</f>
        <v>3.39</v>
      </c>
      <c r="F3510" s="1">
        <f>IFERROR(__xludf.DUMMYFUNCTION("""COMPUTED_VALUE"""),330865.0)</f>
        <v>330865</v>
      </c>
    </row>
    <row r="3511">
      <c r="A3511" s="2">
        <f>IFERROR(__xludf.DUMMYFUNCTION("""COMPUTED_VALUE"""),44263.66666666667)</f>
        <v>44263.66667</v>
      </c>
      <c r="B3511" s="1">
        <f>IFERROR(__xludf.DUMMYFUNCTION("""COMPUTED_VALUE"""),3.45)</f>
        <v>3.45</v>
      </c>
      <c r="C3511" s="1">
        <f>IFERROR(__xludf.DUMMYFUNCTION("""COMPUTED_VALUE"""),3.53)</f>
        <v>3.53</v>
      </c>
      <c r="D3511" s="1">
        <f>IFERROR(__xludf.DUMMYFUNCTION("""COMPUTED_VALUE"""),3.4)</f>
        <v>3.4</v>
      </c>
      <c r="E3511" s="1">
        <f>IFERROR(__xludf.DUMMYFUNCTION("""COMPUTED_VALUE"""),3.46)</f>
        <v>3.46</v>
      </c>
      <c r="F3511" s="1">
        <f>IFERROR(__xludf.DUMMYFUNCTION("""COMPUTED_VALUE"""),337135.0)</f>
        <v>337135</v>
      </c>
    </row>
    <row r="3512">
      <c r="A3512" s="2">
        <f>IFERROR(__xludf.DUMMYFUNCTION("""COMPUTED_VALUE"""),44264.66666666667)</f>
        <v>44264.66667</v>
      </c>
      <c r="B3512" s="1">
        <f>IFERROR(__xludf.DUMMYFUNCTION("""COMPUTED_VALUE"""),3.5)</f>
        <v>3.5</v>
      </c>
      <c r="C3512" s="1">
        <f>IFERROR(__xludf.DUMMYFUNCTION("""COMPUTED_VALUE"""),3.53)</f>
        <v>3.53</v>
      </c>
      <c r="D3512" s="1">
        <f>IFERROR(__xludf.DUMMYFUNCTION("""COMPUTED_VALUE"""),3.42)</f>
        <v>3.42</v>
      </c>
      <c r="E3512" s="1">
        <f>IFERROR(__xludf.DUMMYFUNCTION("""COMPUTED_VALUE"""),3.43)</f>
        <v>3.43</v>
      </c>
      <c r="F3512" s="1">
        <f>IFERROR(__xludf.DUMMYFUNCTION("""COMPUTED_VALUE"""),313290.0)</f>
        <v>313290</v>
      </c>
    </row>
    <row r="3513">
      <c r="A3513" s="2">
        <f>IFERROR(__xludf.DUMMYFUNCTION("""COMPUTED_VALUE"""),44265.66666666667)</f>
        <v>44265.66667</v>
      </c>
      <c r="B3513" s="1">
        <f>IFERROR(__xludf.DUMMYFUNCTION("""COMPUTED_VALUE"""),3.46)</f>
        <v>3.46</v>
      </c>
      <c r="C3513" s="1">
        <f>IFERROR(__xludf.DUMMYFUNCTION("""COMPUTED_VALUE"""),3.59)</f>
        <v>3.59</v>
      </c>
      <c r="D3513" s="1">
        <f>IFERROR(__xludf.DUMMYFUNCTION("""COMPUTED_VALUE"""),3.43)</f>
        <v>3.43</v>
      </c>
      <c r="E3513" s="1">
        <f>IFERROR(__xludf.DUMMYFUNCTION("""COMPUTED_VALUE"""),3.57)</f>
        <v>3.57</v>
      </c>
      <c r="F3513" s="1">
        <f>IFERROR(__xludf.DUMMYFUNCTION("""COMPUTED_VALUE"""),279434.0)</f>
        <v>279434</v>
      </c>
    </row>
    <row r="3514">
      <c r="A3514" s="2">
        <f>IFERROR(__xludf.DUMMYFUNCTION("""COMPUTED_VALUE"""),44266.66666666667)</f>
        <v>44266.66667</v>
      </c>
      <c r="B3514" s="1">
        <f>IFERROR(__xludf.DUMMYFUNCTION("""COMPUTED_VALUE"""),3.57)</f>
        <v>3.57</v>
      </c>
      <c r="C3514" s="1">
        <f>IFERROR(__xludf.DUMMYFUNCTION("""COMPUTED_VALUE"""),3.65)</f>
        <v>3.65</v>
      </c>
      <c r="D3514" s="1">
        <f>IFERROR(__xludf.DUMMYFUNCTION("""COMPUTED_VALUE"""),3.57)</f>
        <v>3.57</v>
      </c>
      <c r="E3514" s="1">
        <f>IFERROR(__xludf.DUMMYFUNCTION("""COMPUTED_VALUE"""),3.58)</f>
        <v>3.58</v>
      </c>
      <c r="F3514" s="1">
        <f>IFERROR(__xludf.DUMMYFUNCTION("""COMPUTED_VALUE"""),268364.0)</f>
        <v>268364</v>
      </c>
    </row>
    <row r="3515">
      <c r="A3515" s="2">
        <f>IFERROR(__xludf.DUMMYFUNCTION("""COMPUTED_VALUE"""),44267.66666666667)</f>
        <v>44267.66667</v>
      </c>
      <c r="B3515" s="1">
        <f>IFERROR(__xludf.DUMMYFUNCTION("""COMPUTED_VALUE"""),3.57)</f>
        <v>3.57</v>
      </c>
      <c r="C3515" s="1">
        <f>IFERROR(__xludf.DUMMYFUNCTION("""COMPUTED_VALUE"""),3.66)</f>
        <v>3.66</v>
      </c>
      <c r="D3515" s="1">
        <f>IFERROR(__xludf.DUMMYFUNCTION("""COMPUTED_VALUE"""),3.5)</f>
        <v>3.5</v>
      </c>
      <c r="E3515" s="1">
        <f>IFERROR(__xludf.DUMMYFUNCTION("""COMPUTED_VALUE"""),3.65)</f>
        <v>3.65</v>
      </c>
      <c r="F3515" s="1">
        <f>IFERROR(__xludf.DUMMYFUNCTION("""COMPUTED_VALUE"""),237638.0)</f>
        <v>237638</v>
      </c>
    </row>
    <row r="3516">
      <c r="A3516" s="2">
        <f>IFERROR(__xludf.DUMMYFUNCTION("""COMPUTED_VALUE"""),44270.66666666667)</f>
        <v>44270.66667</v>
      </c>
      <c r="B3516" s="1">
        <f>IFERROR(__xludf.DUMMYFUNCTION("""COMPUTED_VALUE"""),3.67)</f>
        <v>3.67</v>
      </c>
      <c r="C3516" s="1">
        <f>IFERROR(__xludf.DUMMYFUNCTION("""COMPUTED_VALUE"""),3.72)</f>
        <v>3.72</v>
      </c>
      <c r="D3516" s="1">
        <f>IFERROR(__xludf.DUMMYFUNCTION("""COMPUTED_VALUE"""),3.61)</f>
        <v>3.61</v>
      </c>
      <c r="E3516" s="1">
        <f>IFERROR(__xludf.DUMMYFUNCTION("""COMPUTED_VALUE"""),3.71)</f>
        <v>3.71</v>
      </c>
      <c r="F3516" s="1">
        <f>IFERROR(__xludf.DUMMYFUNCTION("""COMPUTED_VALUE"""),270583.0)</f>
        <v>270583</v>
      </c>
    </row>
    <row r="3517">
      <c r="A3517" s="2">
        <f>IFERROR(__xludf.DUMMYFUNCTION("""COMPUTED_VALUE"""),44271.66666666667)</f>
        <v>44271.66667</v>
      </c>
      <c r="B3517" s="1">
        <f>IFERROR(__xludf.DUMMYFUNCTION("""COMPUTED_VALUE"""),3.74)</f>
        <v>3.74</v>
      </c>
      <c r="C3517" s="1">
        <f>IFERROR(__xludf.DUMMYFUNCTION("""COMPUTED_VALUE"""),3.75)</f>
        <v>3.75</v>
      </c>
      <c r="D3517" s="1">
        <f>IFERROR(__xludf.DUMMYFUNCTION("""COMPUTED_VALUE"""),3.68)</f>
        <v>3.68</v>
      </c>
      <c r="E3517" s="1">
        <f>IFERROR(__xludf.DUMMYFUNCTION("""COMPUTED_VALUE"""),3.71)</f>
        <v>3.71</v>
      </c>
      <c r="F3517" s="1">
        <f>IFERROR(__xludf.DUMMYFUNCTION("""COMPUTED_VALUE"""),251984.0)</f>
        <v>251984</v>
      </c>
    </row>
    <row r="3518">
      <c r="A3518" s="2">
        <f>IFERROR(__xludf.DUMMYFUNCTION("""COMPUTED_VALUE"""),44272.66666666667)</f>
        <v>44272.66667</v>
      </c>
      <c r="B3518" s="1">
        <f>IFERROR(__xludf.DUMMYFUNCTION("""COMPUTED_VALUE"""),3.69)</f>
        <v>3.69</v>
      </c>
      <c r="C3518" s="1">
        <f>IFERROR(__xludf.DUMMYFUNCTION("""COMPUTED_VALUE"""),3.83)</f>
        <v>3.83</v>
      </c>
      <c r="D3518" s="1">
        <f>IFERROR(__xludf.DUMMYFUNCTION("""COMPUTED_VALUE"""),3.66)</f>
        <v>3.66</v>
      </c>
      <c r="E3518" s="1">
        <f>IFERROR(__xludf.DUMMYFUNCTION("""COMPUTED_VALUE"""),3.83)</f>
        <v>3.83</v>
      </c>
      <c r="F3518" s="1">
        <f>IFERROR(__xludf.DUMMYFUNCTION("""COMPUTED_VALUE"""),381118.0)</f>
        <v>381118</v>
      </c>
    </row>
    <row r="3519">
      <c r="A3519" s="2">
        <f>IFERROR(__xludf.DUMMYFUNCTION("""COMPUTED_VALUE"""),44273.66666666667)</f>
        <v>44273.66667</v>
      </c>
      <c r="B3519" s="1">
        <f>IFERROR(__xludf.DUMMYFUNCTION("""COMPUTED_VALUE"""),3.82)</f>
        <v>3.82</v>
      </c>
      <c r="C3519" s="1">
        <f>IFERROR(__xludf.DUMMYFUNCTION("""COMPUTED_VALUE"""),3.88)</f>
        <v>3.88</v>
      </c>
      <c r="D3519" s="1">
        <f>IFERROR(__xludf.DUMMYFUNCTION("""COMPUTED_VALUE"""),3.79)</f>
        <v>3.79</v>
      </c>
      <c r="E3519" s="1">
        <f>IFERROR(__xludf.DUMMYFUNCTION("""COMPUTED_VALUE"""),3.82)</f>
        <v>3.82</v>
      </c>
      <c r="F3519" s="1">
        <f>IFERROR(__xludf.DUMMYFUNCTION("""COMPUTED_VALUE"""),422479.0)</f>
        <v>422479</v>
      </c>
    </row>
    <row r="3520">
      <c r="A3520" s="2">
        <f>IFERROR(__xludf.DUMMYFUNCTION("""COMPUTED_VALUE"""),44274.66666666667)</f>
        <v>44274.66667</v>
      </c>
      <c r="B3520" s="1">
        <f>IFERROR(__xludf.DUMMYFUNCTION("""COMPUTED_VALUE"""),3.76)</f>
        <v>3.76</v>
      </c>
      <c r="C3520" s="1">
        <f>IFERROR(__xludf.DUMMYFUNCTION("""COMPUTED_VALUE"""),3.88)</f>
        <v>3.88</v>
      </c>
      <c r="D3520" s="1">
        <f>IFERROR(__xludf.DUMMYFUNCTION("""COMPUTED_VALUE"""),3.74)</f>
        <v>3.74</v>
      </c>
      <c r="E3520" s="1">
        <f>IFERROR(__xludf.DUMMYFUNCTION("""COMPUTED_VALUE"""),3.86)</f>
        <v>3.86</v>
      </c>
      <c r="F3520" s="1">
        <f>IFERROR(__xludf.DUMMYFUNCTION("""COMPUTED_VALUE"""),1135084.0)</f>
        <v>1135084</v>
      </c>
    </row>
    <row r="3521">
      <c r="A3521" s="2">
        <f>IFERROR(__xludf.DUMMYFUNCTION("""COMPUTED_VALUE"""),44277.66666666667)</f>
        <v>44277.66667</v>
      </c>
      <c r="B3521" s="1">
        <f>IFERROR(__xludf.DUMMYFUNCTION("""COMPUTED_VALUE"""),3.87)</f>
        <v>3.87</v>
      </c>
      <c r="C3521" s="1">
        <f>IFERROR(__xludf.DUMMYFUNCTION("""COMPUTED_VALUE"""),3.94)</f>
        <v>3.94</v>
      </c>
      <c r="D3521" s="1">
        <f>IFERROR(__xludf.DUMMYFUNCTION("""COMPUTED_VALUE"""),3.79)</f>
        <v>3.79</v>
      </c>
      <c r="E3521" s="1">
        <f>IFERROR(__xludf.DUMMYFUNCTION("""COMPUTED_VALUE"""),3.89)</f>
        <v>3.89</v>
      </c>
      <c r="F3521" s="1">
        <f>IFERROR(__xludf.DUMMYFUNCTION("""COMPUTED_VALUE"""),383441.0)</f>
        <v>383441</v>
      </c>
    </row>
    <row r="3522">
      <c r="A3522" s="2">
        <f>IFERROR(__xludf.DUMMYFUNCTION("""COMPUTED_VALUE"""),44278.66666666667)</f>
        <v>44278.66667</v>
      </c>
      <c r="B3522" s="1">
        <f>IFERROR(__xludf.DUMMYFUNCTION("""COMPUTED_VALUE"""),3.87)</f>
        <v>3.87</v>
      </c>
      <c r="C3522" s="1">
        <f>IFERROR(__xludf.DUMMYFUNCTION("""COMPUTED_VALUE"""),3.87)</f>
        <v>3.87</v>
      </c>
      <c r="D3522" s="1">
        <f>IFERROR(__xludf.DUMMYFUNCTION("""COMPUTED_VALUE"""),3.75)</f>
        <v>3.75</v>
      </c>
      <c r="E3522" s="1">
        <f>IFERROR(__xludf.DUMMYFUNCTION("""COMPUTED_VALUE"""),3.77)</f>
        <v>3.77</v>
      </c>
      <c r="F3522" s="1">
        <f>IFERROR(__xludf.DUMMYFUNCTION("""COMPUTED_VALUE"""),415485.0)</f>
        <v>415485</v>
      </c>
    </row>
    <row r="3523">
      <c r="A3523" s="2">
        <f>IFERROR(__xludf.DUMMYFUNCTION("""COMPUTED_VALUE"""),44279.66666666667)</f>
        <v>44279.66667</v>
      </c>
      <c r="B3523" s="1">
        <f>IFERROR(__xludf.DUMMYFUNCTION("""COMPUTED_VALUE"""),3.77)</f>
        <v>3.77</v>
      </c>
      <c r="C3523" s="1">
        <f>IFERROR(__xludf.DUMMYFUNCTION("""COMPUTED_VALUE"""),3.87)</f>
        <v>3.87</v>
      </c>
      <c r="D3523" s="1">
        <f>IFERROR(__xludf.DUMMYFUNCTION("""COMPUTED_VALUE"""),3.73)</f>
        <v>3.73</v>
      </c>
      <c r="E3523" s="1">
        <f>IFERROR(__xludf.DUMMYFUNCTION("""COMPUTED_VALUE"""),3.74)</f>
        <v>3.74</v>
      </c>
      <c r="F3523" s="1">
        <f>IFERROR(__xludf.DUMMYFUNCTION("""COMPUTED_VALUE"""),309784.0)</f>
        <v>309784</v>
      </c>
    </row>
    <row r="3524">
      <c r="A3524" s="2">
        <f>IFERROR(__xludf.DUMMYFUNCTION("""COMPUTED_VALUE"""),44280.66666666667)</f>
        <v>44280.66667</v>
      </c>
      <c r="B3524" s="1">
        <f>IFERROR(__xludf.DUMMYFUNCTION("""COMPUTED_VALUE"""),3.73)</f>
        <v>3.73</v>
      </c>
      <c r="C3524" s="1">
        <f>IFERROR(__xludf.DUMMYFUNCTION("""COMPUTED_VALUE"""),3.77)</f>
        <v>3.77</v>
      </c>
      <c r="D3524" s="1">
        <f>IFERROR(__xludf.DUMMYFUNCTION("""COMPUTED_VALUE"""),3.67)</f>
        <v>3.67</v>
      </c>
      <c r="E3524" s="1">
        <f>IFERROR(__xludf.DUMMYFUNCTION("""COMPUTED_VALUE"""),3.71)</f>
        <v>3.71</v>
      </c>
      <c r="F3524" s="1">
        <f>IFERROR(__xludf.DUMMYFUNCTION("""COMPUTED_VALUE"""),325377.0)</f>
        <v>325377</v>
      </c>
    </row>
    <row r="3525">
      <c r="A3525" s="2">
        <f>IFERROR(__xludf.DUMMYFUNCTION("""COMPUTED_VALUE"""),44281.66666666667)</f>
        <v>44281.66667</v>
      </c>
      <c r="B3525" s="1">
        <f>IFERROR(__xludf.DUMMYFUNCTION("""COMPUTED_VALUE"""),3.72)</f>
        <v>3.72</v>
      </c>
      <c r="C3525" s="1">
        <f>IFERROR(__xludf.DUMMYFUNCTION("""COMPUTED_VALUE"""),3.83)</f>
        <v>3.83</v>
      </c>
      <c r="D3525" s="1">
        <f>IFERROR(__xludf.DUMMYFUNCTION("""COMPUTED_VALUE"""),3.72)</f>
        <v>3.72</v>
      </c>
      <c r="E3525" s="1">
        <f>IFERROR(__xludf.DUMMYFUNCTION("""COMPUTED_VALUE"""),3.82)</f>
        <v>3.82</v>
      </c>
      <c r="F3525" s="1">
        <f>IFERROR(__xludf.DUMMYFUNCTION("""COMPUTED_VALUE"""),340336.0)</f>
        <v>340336</v>
      </c>
    </row>
    <row r="3526">
      <c r="A3526" s="2">
        <f>IFERROR(__xludf.DUMMYFUNCTION("""COMPUTED_VALUE"""),44284.66666666667)</f>
        <v>44284.66667</v>
      </c>
      <c r="B3526" s="1">
        <f>IFERROR(__xludf.DUMMYFUNCTION("""COMPUTED_VALUE"""),3.77)</f>
        <v>3.77</v>
      </c>
      <c r="C3526" s="1">
        <f>IFERROR(__xludf.DUMMYFUNCTION("""COMPUTED_VALUE"""),3.84)</f>
        <v>3.84</v>
      </c>
      <c r="D3526" s="1">
        <f>IFERROR(__xludf.DUMMYFUNCTION("""COMPUTED_VALUE"""),3.73)</f>
        <v>3.73</v>
      </c>
      <c r="E3526" s="1">
        <f>IFERROR(__xludf.DUMMYFUNCTION("""COMPUTED_VALUE"""),3.75)</f>
        <v>3.75</v>
      </c>
      <c r="F3526" s="1">
        <f>IFERROR(__xludf.DUMMYFUNCTION("""COMPUTED_VALUE"""),490104.0)</f>
        <v>490104</v>
      </c>
    </row>
    <row r="3527">
      <c r="A3527" s="2">
        <f>IFERROR(__xludf.DUMMYFUNCTION("""COMPUTED_VALUE"""),44285.66666666667)</f>
        <v>44285.66667</v>
      </c>
      <c r="B3527" s="1">
        <f>IFERROR(__xludf.DUMMYFUNCTION("""COMPUTED_VALUE"""),3.71)</f>
        <v>3.71</v>
      </c>
      <c r="C3527" s="1">
        <f>IFERROR(__xludf.DUMMYFUNCTION("""COMPUTED_VALUE"""),3.82)</f>
        <v>3.82</v>
      </c>
      <c r="D3527" s="1">
        <f>IFERROR(__xludf.DUMMYFUNCTION("""COMPUTED_VALUE"""),3.69)</f>
        <v>3.69</v>
      </c>
      <c r="E3527" s="1">
        <f>IFERROR(__xludf.DUMMYFUNCTION("""COMPUTED_VALUE"""),3.79)</f>
        <v>3.79</v>
      </c>
      <c r="F3527" s="1">
        <f>IFERROR(__xludf.DUMMYFUNCTION("""COMPUTED_VALUE"""),291175.0)</f>
        <v>291175</v>
      </c>
    </row>
    <row r="3528">
      <c r="A3528" s="2">
        <f>IFERROR(__xludf.DUMMYFUNCTION("""COMPUTED_VALUE"""),44286.66666666667)</f>
        <v>44286.66667</v>
      </c>
      <c r="B3528" s="1">
        <f>IFERROR(__xludf.DUMMYFUNCTION("""COMPUTED_VALUE"""),3.8)</f>
        <v>3.8</v>
      </c>
      <c r="C3528" s="1">
        <f>IFERROR(__xludf.DUMMYFUNCTION("""COMPUTED_VALUE"""),3.93)</f>
        <v>3.93</v>
      </c>
      <c r="D3528" s="1">
        <f>IFERROR(__xludf.DUMMYFUNCTION("""COMPUTED_VALUE"""),3.8)</f>
        <v>3.8</v>
      </c>
      <c r="E3528" s="1">
        <f>IFERROR(__xludf.DUMMYFUNCTION("""COMPUTED_VALUE"""),3.91)</f>
        <v>3.91</v>
      </c>
      <c r="F3528" s="1">
        <f>IFERROR(__xludf.DUMMYFUNCTION("""COMPUTED_VALUE"""),313135.0)</f>
        <v>313135</v>
      </c>
    </row>
    <row r="3529">
      <c r="A3529" s="2">
        <f>IFERROR(__xludf.DUMMYFUNCTION("""COMPUTED_VALUE"""),44287.66666666667)</f>
        <v>44287.66667</v>
      </c>
      <c r="B3529" s="1">
        <f>IFERROR(__xludf.DUMMYFUNCTION("""COMPUTED_VALUE"""),3.93)</f>
        <v>3.93</v>
      </c>
      <c r="C3529" s="1">
        <f>IFERROR(__xludf.DUMMYFUNCTION("""COMPUTED_VALUE"""),3.96)</f>
        <v>3.96</v>
      </c>
      <c r="D3529" s="1">
        <f>IFERROR(__xludf.DUMMYFUNCTION("""COMPUTED_VALUE"""),3.88)</f>
        <v>3.88</v>
      </c>
      <c r="E3529" s="1">
        <f>IFERROR(__xludf.DUMMYFUNCTION("""COMPUTED_VALUE"""),3.96)</f>
        <v>3.96</v>
      </c>
      <c r="F3529" s="1">
        <f>IFERROR(__xludf.DUMMYFUNCTION("""COMPUTED_VALUE"""),289346.0)</f>
        <v>289346</v>
      </c>
    </row>
    <row r="3530">
      <c r="A3530" s="2">
        <f>IFERROR(__xludf.DUMMYFUNCTION("""COMPUTED_VALUE"""),44291.66666666667)</f>
        <v>44291.66667</v>
      </c>
      <c r="B3530" s="1">
        <f>IFERROR(__xludf.DUMMYFUNCTION("""COMPUTED_VALUE"""),3.96)</f>
        <v>3.96</v>
      </c>
      <c r="C3530" s="1">
        <f>IFERROR(__xludf.DUMMYFUNCTION("""COMPUTED_VALUE"""),4.03)</f>
        <v>4.03</v>
      </c>
      <c r="D3530" s="1">
        <f>IFERROR(__xludf.DUMMYFUNCTION("""COMPUTED_VALUE"""),3.96)</f>
        <v>3.96</v>
      </c>
      <c r="E3530" s="1">
        <f>IFERROR(__xludf.DUMMYFUNCTION("""COMPUTED_VALUE"""),4.0)</f>
        <v>4</v>
      </c>
      <c r="F3530" s="1">
        <f>IFERROR(__xludf.DUMMYFUNCTION("""COMPUTED_VALUE"""),352220.0)</f>
        <v>352220</v>
      </c>
    </row>
    <row r="3531">
      <c r="A3531" s="2">
        <f>IFERROR(__xludf.DUMMYFUNCTION("""COMPUTED_VALUE"""),44292.66666666667)</f>
        <v>44292.66667</v>
      </c>
      <c r="B3531" s="1">
        <f>IFERROR(__xludf.DUMMYFUNCTION("""COMPUTED_VALUE"""),3.98)</f>
        <v>3.98</v>
      </c>
      <c r="C3531" s="1">
        <f>IFERROR(__xludf.DUMMYFUNCTION("""COMPUTED_VALUE"""),4.03)</f>
        <v>4.03</v>
      </c>
      <c r="D3531" s="1">
        <f>IFERROR(__xludf.DUMMYFUNCTION("""COMPUTED_VALUE"""),3.92)</f>
        <v>3.92</v>
      </c>
      <c r="E3531" s="1">
        <f>IFERROR(__xludf.DUMMYFUNCTION("""COMPUTED_VALUE"""),3.94)</f>
        <v>3.94</v>
      </c>
      <c r="F3531" s="1">
        <f>IFERROR(__xludf.DUMMYFUNCTION("""COMPUTED_VALUE"""),177599.0)</f>
        <v>177599</v>
      </c>
    </row>
    <row r="3532">
      <c r="A3532" s="2">
        <f>IFERROR(__xludf.DUMMYFUNCTION("""COMPUTED_VALUE"""),44293.66666666667)</f>
        <v>44293.66667</v>
      </c>
      <c r="B3532" s="1">
        <f>IFERROR(__xludf.DUMMYFUNCTION("""COMPUTED_VALUE"""),3.94)</f>
        <v>3.94</v>
      </c>
      <c r="C3532" s="1">
        <f>IFERROR(__xludf.DUMMYFUNCTION("""COMPUTED_VALUE"""),3.96)</f>
        <v>3.96</v>
      </c>
      <c r="D3532" s="1">
        <f>IFERROR(__xludf.DUMMYFUNCTION("""COMPUTED_VALUE"""),3.92)</f>
        <v>3.92</v>
      </c>
      <c r="E3532" s="1">
        <f>IFERROR(__xludf.DUMMYFUNCTION("""COMPUTED_VALUE"""),3.93)</f>
        <v>3.93</v>
      </c>
      <c r="F3532" s="1">
        <f>IFERROR(__xludf.DUMMYFUNCTION("""COMPUTED_VALUE"""),201948.0)</f>
        <v>201948</v>
      </c>
    </row>
    <row r="3533">
      <c r="A3533" s="2">
        <f>IFERROR(__xludf.DUMMYFUNCTION("""COMPUTED_VALUE"""),44294.66666666667)</f>
        <v>44294.66667</v>
      </c>
      <c r="B3533" s="1">
        <f>IFERROR(__xludf.DUMMYFUNCTION("""COMPUTED_VALUE"""),3.98)</f>
        <v>3.98</v>
      </c>
      <c r="C3533" s="1">
        <f>IFERROR(__xludf.DUMMYFUNCTION("""COMPUTED_VALUE"""),3.98)</f>
        <v>3.98</v>
      </c>
      <c r="D3533" s="1">
        <f>IFERROR(__xludf.DUMMYFUNCTION("""COMPUTED_VALUE"""),3.92)</f>
        <v>3.92</v>
      </c>
      <c r="E3533" s="1">
        <f>IFERROR(__xludf.DUMMYFUNCTION("""COMPUTED_VALUE"""),3.96)</f>
        <v>3.96</v>
      </c>
      <c r="F3533" s="1">
        <f>IFERROR(__xludf.DUMMYFUNCTION("""COMPUTED_VALUE"""),488311.0)</f>
        <v>488311</v>
      </c>
    </row>
    <row r="3534">
      <c r="A3534" s="2">
        <f>IFERROR(__xludf.DUMMYFUNCTION("""COMPUTED_VALUE"""),44295.66666666667)</f>
        <v>44295.66667</v>
      </c>
      <c r="B3534" s="1">
        <f>IFERROR(__xludf.DUMMYFUNCTION("""COMPUTED_VALUE"""),3.94)</f>
        <v>3.94</v>
      </c>
      <c r="C3534" s="1">
        <f>IFERROR(__xludf.DUMMYFUNCTION("""COMPUTED_VALUE"""),3.98)</f>
        <v>3.98</v>
      </c>
      <c r="D3534" s="1">
        <f>IFERROR(__xludf.DUMMYFUNCTION("""COMPUTED_VALUE"""),3.91)</f>
        <v>3.91</v>
      </c>
      <c r="E3534" s="1">
        <f>IFERROR(__xludf.DUMMYFUNCTION("""COMPUTED_VALUE"""),3.97)</f>
        <v>3.97</v>
      </c>
      <c r="F3534" s="1">
        <f>IFERROR(__xludf.DUMMYFUNCTION("""COMPUTED_VALUE"""),275900.0)</f>
        <v>275900</v>
      </c>
    </row>
    <row r="3535">
      <c r="A3535" s="2">
        <f>IFERROR(__xludf.DUMMYFUNCTION("""COMPUTED_VALUE"""),44298.66666666667)</f>
        <v>44298.66667</v>
      </c>
      <c r="B3535" s="1">
        <f>IFERROR(__xludf.DUMMYFUNCTION("""COMPUTED_VALUE"""),3.97)</f>
        <v>3.97</v>
      </c>
      <c r="C3535" s="1">
        <f>IFERROR(__xludf.DUMMYFUNCTION("""COMPUTED_VALUE"""),4.07)</f>
        <v>4.07</v>
      </c>
      <c r="D3535" s="1">
        <f>IFERROR(__xludf.DUMMYFUNCTION("""COMPUTED_VALUE"""),3.92)</f>
        <v>3.92</v>
      </c>
      <c r="E3535" s="1">
        <f>IFERROR(__xludf.DUMMYFUNCTION("""COMPUTED_VALUE"""),4.0)</f>
        <v>4</v>
      </c>
      <c r="F3535" s="1">
        <f>IFERROR(__xludf.DUMMYFUNCTION("""COMPUTED_VALUE"""),811068.0)</f>
        <v>811068</v>
      </c>
    </row>
    <row r="3536">
      <c r="A3536" s="2">
        <f>IFERROR(__xludf.DUMMYFUNCTION("""COMPUTED_VALUE"""),44299.66666666667)</f>
        <v>44299.66667</v>
      </c>
      <c r="B3536" s="1">
        <f>IFERROR(__xludf.DUMMYFUNCTION("""COMPUTED_VALUE"""),4.01)</f>
        <v>4.01</v>
      </c>
      <c r="C3536" s="1">
        <f>IFERROR(__xludf.DUMMYFUNCTION("""COMPUTED_VALUE"""),4.03)</f>
        <v>4.03</v>
      </c>
      <c r="D3536" s="1">
        <f>IFERROR(__xludf.DUMMYFUNCTION("""COMPUTED_VALUE"""),3.93)</f>
        <v>3.93</v>
      </c>
      <c r="E3536" s="1">
        <f>IFERROR(__xludf.DUMMYFUNCTION("""COMPUTED_VALUE"""),3.95)</f>
        <v>3.95</v>
      </c>
      <c r="F3536" s="1">
        <f>IFERROR(__xludf.DUMMYFUNCTION("""COMPUTED_VALUE"""),148346.0)</f>
        <v>148346</v>
      </c>
    </row>
    <row r="3537">
      <c r="A3537" s="2">
        <f>IFERROR(__xludf.DUMMYFUNCTION("""COMPUTED_VALUE"""),44300.66666666667)</f>
        <v>44300.66667</v>
      </c>
      <c r="B3537" s="1">
        <f>IFERROR(__xludf.DUMMYFUNCTION("""COMPUTED_VALUE"""),3.98)</f>
        <v>3.98</v>
      </c>
      <c r="C3537" s="1">
        <f>IFERROR(__xludf.DUMMYFUNCTION("""COMPUTED_VALUE"""),3.99)</f>
        <v>3.99</v>
      </c>
      <c r="D3537" s="1">
        <f>IFERROR(__xludf.DUMMYFUNCTION("""COMPUTED_VALUE"""),3.92)</f>
        <v>3.92</v>
      </c>
      <c r="E3537" s="1">
        <f>IFERROR(__xludf.DUMMYFUNCTION("""COMPUTED_VALUE"""),3.93)</f>
        <v>3.93</v>
      </c>
      <c r="F3537" s="1">
        <f>IFERROR(__xludf.DUMMYFUNCTION("""COMPUTED_VALUE"""),163537.0)</f>
        <v>163537</v>
      </c>
    </row>
    <row r="3538">
      <c r="A3538" s="2">
        <f>IFERROR(__xludf.DUMMYFUNCTION("""COMPUTED_VALUE"""),44301.66666666667)</f>
        <v>44301.66667</v>
      </c>
      <c r="B3538" s="1">
        <f>IFERROR(__xludf.DUMMYFUNCTION("""COMPUTED_VALUE"""),3.95)</f>
        <v>3.95</v>
      </c>
      <c r="C3538" s="1">
        <f>IFERROR(__xludf.DUMMYFUNCTION("""COMPUTED_VALUE"""),3.97)</f>
        <v>3.97</v>
      </c>
      <c r="D3538" s="1">
        <f>IFERROR(__xludf.DUMMYFUNCTION("""COMPUTED_VALUE"""),3.92)</f>
        <v>3.92</v>
      </c>
      <c r="E3538" s="1">
        <f>IFERROR(__xludf.DUMMYFUNCTION("""COMPUTED_VALUE"""),3.93)</f>
        <v>3.93</v>
      </c>
      <c r="F3538" s="1">
        <f>IFERROR(__xludf.DUMMYFUNCTION("""COMPUTED_VALUE"""),184123.0)</f>
        <v>184123</v>
      </c>
    </row>
    <row r="3539">
      <c r="A3539" s="2">
        <f>IFERROR(__xludf.DUMMYFUNCTION("""COMPUTED_VALUE"""),44302.66666666667)</f>
        <v>44302.66667</v>
      </c>
      <c r="B3539" s="1">
        <f>IFERROR(__xludf.DUMMYFUNCTION("""COMPUTED_VALUE"""),3.97)</f>
        <v>3.97</v>
      </c>
      <c r="C3539" s="1">
        <f>IFERROR(__xludf.DUMMYFUNCTION("""COMPUTED_VALUE"""),3.98)</f>
        <v>3.98</v>
      </c>
      <c r="D3539" s="1">
        <f>IFERROR(__xludf.DUMMYFUNCTION("""COMPUTED_VALUE"""),3.91)</f>
        <v>3.91</v>
      </c>
      <c r="E3539" s="1">
        <f>IFERROR(__xludf.DUMMYFUNCTION("""COMPUTED_VALUE"""),3.92)</f>
        <v>3.92</v>
      </c>
      <c r="F3539" s="1">
        <f>IFERROR(__xludf.DUMMYFUNCTION("""COMPUTED_VALUE"""),156966.0)</f>
        <v>156966</v>
      </c>
    </row>
    <row r="3540">
      <c r="A3540" s="2">
        <f>IFERROR(__xludf.DUMMYFUNCTION("""COMPUTED_VALUE"""),44305.66666666667)</f>
        <v>44305.66667</v>
      </c>
      <c r="B3540" s="1">
        <f>IFERROR(__xludf.DUMMYFUNCTION("""COMPUTED_VALUE"""),3.9)</f>
        <v>3.9</v>
      </c>
      <c r="C3540" s="1">
        <f>IFERROR(__xludf.DUMMYFUNCTION("""COMPUTED_VALUE"""),3.93)</f>
        <v>3.93</v>
      </c>
      <c r="D3540" s="1">
        <f>IFERROR(__xludf.DUMMYFUNCTION("""COMPUTED_VALUE"""),3.83)</f>
        <v>3.83</v>
      </c>
      <c r="E3540" s="1">
        <f>IFERROR(__xludf.DUMMYFUNCTION("""COMPUTED_VALUE"""),3.86)</f>
        <v>3.86</v>
      </c>
      <c r="F3540" s="1">
        <f>IFERROR(__xludf.DUMMYFUNCTION("""COMPUTED_VALUE"""),217174.0)</f>
        <v>217174</v>
      </c>
    </row>
    <row r="3541">
      <c r="A3541" s="2">
        <f>IFERROR(__xludf.DUMMYFUNCTION("""COMPUTED_VALUE"""),44306.66666666667)</f>
        <v>44306.66667</v>
      </c>
      <c r="B3541" s="1">
        <f>IFERROR(__xludf.DUMMYFUNCTION("""COMPUTED_VALUE"""),3.85)</f>
        <v>3.85</v>
      </c>
      <c r="C3541" s="1">
        <f>IFERROR(__xludf.DUMMYFUNCTION("""COMPUTED_VALUE"""),3.89)</f>
        <v>3.89</v>
      </c>
      <c r="D3541" s="1">
        <f>IFERROR(__xludf.DUMMYFUNCTION("""COMPUTED_VALUE"""),3.75)</f>
        <v>3.75</v>
      </c>
      <c r="E3541" s="1">
        <f>IFERROR(__xludf.DUMMYFUNCTION("""COMPUTED_VALUE"""),3.78)</f>
        <v>3.78</v>
      </c>
      <c r="F3541" s="1">
        <f>IFERROR(__xludf.DUMMYFUNCTION("""COMPUTED_VALUE"""),231692.0)</f>
        <v>231692</v>
      </c>
    </row>
    <row r="3542">
      <c r="A3542" s="2">
        <f>IFERROR(__xludf.DUMMYFUNCTION("""COMPUTED_VALUE"""),44307.66666666667)</f>
        <v>44307.66667</v>
      </c>
      <c r="B3542" s="1">
        <f>IFERROR(__xludf.DUMMYFUNCTION("""COMPUTED_VALUE"""),3.78)</f>
        <v>3.78</v>
      </c>
      <c r="C3542" s="1">
        <f>IFERROR(__xludf.DUMMYFUNCTION("""COMPUTED_VALUE"""),3.86)</f>
        <v>3.86</v>
      </c>
      <c r="D3542" s="1">
        <f>IFERROR(__xludf.DUMMYFUNCTION("""COMPUTED_VALUE"""),3.75)</f>
        <v>3.75</v>
      </c>
      <c r="E3542" s="1">
        <f>IFERROR(__xludf.DUMMYFUNCTION("""COMPUTED_VALUE"""),3.85)</f>
        <v>3.85</v>
      </c>
      <c r="F3542" s="1">
        <f>IFERROR(__xludf.DUMMYFUNCTION("""COMPUTED_VALUE"""),164226.0)</f>
        <v>164226</v>
      </c>
    </row>
    <row r="3543">
      <c r="A3543" s="2">
        <f>IFERROR(__xludf.DUMMYFUNCTION("""COMPUTED_VALUE"""),44308.66666666667)</f>
        <v>44308.66667</v>
      </c>
      <c r="B3543" s="1">
        <f>IFERROR(__xludf.DUMMYFUNCTION("""COMPUTED_VALUE"""),3.79)</f>
        <v>3.79</v>
      </c>
      <c r="C3543" s="1">
        <f>IFERROR(__xludf.DUMMYFUNCTION("""COMPUTED_VALUE"""),3.84)</f>
        <v>3.84</v>
      </c>
      <c r="D3543" s="1">
        <f>IFERROR(__xludf.DUMMYFUNCTION("""COMPUTED_VALUE"""),3.76)</f>
        <v>3.76</v>
      </c>
      <c r="E3543" s="1">
        <f>IFERROR(__xludf.DUMMYFUNCTION("""COMPUTED_VALUE"""),3.78)</f>
        <v>3.78</v>
      </c>
      <c r="F3543" s="1">
        <f>IFERROR(__xludf.DUMMYFUNCTION("""COMPUTED_VALUE"""),239949.0)</f>
        <v>239949</v>
      </c>
    </row>
    <row r="3544">
      <c r="A3544" s="2">
        <f>IFERROR(__xludf.DUMMYFUNCTION("""COMPUTED_VALUE"""),44309.66666666667)</f>
        <v>44309.66667</v>
      </c>
      <c r="B3544" s="1">
        <f>IFERROR(__xludf.DUMMYFUNCTION("""COMPUTED_VALUE"""),3.8)</f>
        <v>3.8</v>
      </c>
      <c r="C3544" s="1">
        <f>IFERROR(__xludf.DUMMYFUNCTION("""COMPUTED_VALUE"""),3.86)</f>
        <v>3.86</v>
      </c>
      <c r="D3544" s="1">
        <f>IFERROR(__xludf.DUMMYFUNCTION("""COMPUTED_VALUE"""),3.78)</f>
        <v>3.78</v>
      </c>
      <c r="E3544" s="1">
        <f>IFERROR(__xludf.DUMMYFUNCTION("""COMPUTED_VALUE"""),3.83)</f>
        <v>3.83</v>
      </c>
      <c r="F3544" s="1">
        <f>IFERROR(__xludf.DUMMYFUNCTION("""COMPUTED_VALUE"""),211838.0)</f>
        <v>211838</v>
      </c>
    </row>
    <row r="3545">
      <c r="A3545" s="2">
        <f>IFERROR(__xludf.DUMMYFUNCTION("""COMPUTED_VALUE"""),44312.66666666667)</f>
        <v>44312.66667</v>
      </c>
      <c r="B3545" s="1">
        <f>IFERROR(__xludf.DUMMYFUNCTION("""COMPUTED_VALUE"""),3.82)</f>
        <v>3.82</v>
      </c>
      <c r="C3545" s="1">
        <f>IFERROR(__xludf.DUMMYFUNCTION("""COMPUTED_VALUE"""),3.9)</f>
        <v>3.9</v>
      </c>
      <c r="D3545" s="1">
        <f>IFERROR(__xludf.DUMMYFUNCTION("""COMPUTED_VALUE"""),3.8)</f>
        <v>3.8</v>
      </c>
      <c r="E3545" s="1">
        <f>IFERROR(__xludf.DUMMYFUNCTION("""COMPUTED_VALUE"""),3.87)</f>
        <v>3.87</v>
      </c>
      <c r="F3545" s="1">
        <f>IFERROR(__xludf.DUMMYFUNCTION("""COMPUTED_VALUE"""),180443.0)</f>
        <v>180443</v>
      </c>
    </row>
    <row r="3546">
      <c r="A3546" s="2">
        <f>IFERROR(__xludf.DUMMYFUNCTION("""COMPUTED_VALUE"""),44313.66666666667)</f>
        <v>44313.66667</v>
      </c>
      <c r="B3546" s="1">
        <f>IFERROR(__xludf.DUMMYFUNCTION("""COMPUTED_VALUE"""),3.86)</f>
        <v>3.86</v>
      </c>
      <c r="C3546" s="1">
        <f>IFERROR(__xludf.DUMMYFUNCTION("""COMPUTED_VALUE"""),3.89)</f>
        <v>3.89</v>
      </c>
      <c r="D3546" s="1">
        <f>IFERROR(__xludf.DUMMYFUNCTION("""COMPUTED_VALUE"""),3.83)</f>
        <v>3.83</v>
      </c>
      <c r="E3546" s="1">
        <f>IFERROR(__xludf.DUMMYFUNCTION("""COMPUTED_VALUE"""),3.85)</f>
        <v>3.85</v>
      </c>
      <c r="F3546" s="1">
        <f>IFERROR(__xludf.DUMMYFUNCTION("""COMPUTED_VALUE"""),153878.0)</f>
        <v>153878</v>
      </c>
    </row>
    <row r="3547">
      <c r="A3547" s="2">
        <f>IFERROR(__xludf.DUMMYFUNCTION("""COMPUTED_VALUE"""),44314.66666666667)</f>
        <v>44314.66667</v>
      </c>
      <c r="B3547" s="1">
        <f>IFERROR(__xludf.DUMMYFUNCTION("""COMPUTED_VALUE"""),3.82)</f>
        <v>3.82</v>
      </c>
      <c r="C3547" s="1">
        <f>IFERROR(__xludf.DUMMYFUNCTION("""COMPUTED_VALUE"""),3.85)</f>
        <v>3.85</v>
      </c>
      <c r="D3547" s="1">
        <f>IFERROR(__xludf.DUMMYFUNCTION("""COMPUTED_VALUE"""),3.79)</f>
        <v>3.79</v>
      </c>
      <c r="E3547" s="1">
        <f>IFERROR(__xludf.DUMMYFUNCTION("""COMPUTED_VALUE"""),3.81)</f>
        <v>3.81</v>
      </c>
      <c r="F3547" s="1">
        <f>IFERROR(__xludf.DUMMYFUNCTION("""COMPUTED_VALUE"""),137864.0)</f>
        <v>137864</v>
      </c>
    </row>
    <row r="3548">
      <c r="A3548" s="2">
        <f>IFERROR(__xludf.DUMMYFUNCTION("""COMPUTED_VALUE"""),44315.66666666667)</f>
        <v>44315.66667</v>
      </c>
      <c r="B3548" s="1">
        <f>IFERROR(__xludf.DUMMYFUNCTION("""COMPUTED_VALUE"""),3.86)</f>
        <v>3.86</v>
      </c>
      <c r="C3548" s="1">
        <f>IFERROR(__xludf.DUMMYFUNCTION("""COMPUTED_VALUE"""),3.87)</f>
        <v>3.87</v>
      </c>
      <c r="D3548" s="1">
        <f>IFERROR(__xludf.DUMMYFUNCTION("""COMPUTED_VALUE"""),3.79)</f>
        <v>3.79</v>
      </c>
      <c r="E3548" s="1">
        <f>IFERROR(__xludf.DUMMYFUNCTION("""COMPUTED_VALUE"""),3.81)</f>
        <v>3.81</v>
      </c>
      <c r="F3548" s="1">
        <f>IFERROR(__xludf.DUMMYFUNCTION("""COMPUTED_VALUE"""),106339.0)</f>
        <v>106339</v>
      </c>
    </row>
    <row r="3549">
      <c r="A3549" s="2">
        <f>IFERROR(__xludf.DUMMYFUNCTION("""COMPUTED_VALUE"""),44316.66666666667)</f>
        <v>44316.66667</v>
      </c>
      <c r="B3549" s="1">
        <f>IFERROR(__xludf.DUMMYFUNCTION("""COMPUTED_VALUE"""),3.81)</f>
        <v>3.81</v>
      </c>
      <c r="C3549" s="1">
        <f>IFERROR(__xludf.DUMMYFUNCTION("""COMPUTED_VALUE"""),3.82)</f>
        <v>3.82</v>
      </c>
      <c r="D3549" s="1">
        <f>IFERROR(__xludf.DUMMYFUNCTION("""COMPUTED_VALUE"""),3.69)</f>
        <v>3.69</v>
      </c>
      <c r="E3549" s="1">
        <f>IFERROR(__xludf.DUMMYFUNCTION("""COMPUTED_VALUE"""),3.7)</f>
        <v>3.7</v>
      </c>
      <c r="F3549" s="1">
        <f>IFERROR(__xludf.DUMMYFUNCTION("""COMPUTED_VALUE"""),239815.0)</f>
        <v>239815</v>
      </c>
    </row>
    <row r="3550">
      <c r="A3550" s="2">
        <f>IFERROR(__xludf.DUMMYFUNCTION("""COMPUTED_VALUE"""),44319.66666666667)</f>
        <v>44319.66667</v>
      </c>
      <c r="B3550" s="1">
        <f>IFERROR(__xludf.DUMMYFUNCTION("""COMPUTED_VALUE"""),3.74)</f>
        <v>3.74</v>
      </c>
      <c r="C3550" s="1">
        <f>IFERROR(__xludf.DUMMYFUNCTION("""COMPUTED_VALUE"""),3.76)</f>
        <v>3.76</v>
      </c>
      <c r="D3550" s="1">
        <f>IFERROR(__xludf.DUMMYFUNCTION("""COMPUTED_VALUE"""),3.7)</f>
        <v>3.7</v>
      </c>
      <c r="E3550" s="1">
        <f>IFERROR(__xludf.DUMMYFUNCTION("""COMPUTED_VALUE"""),3.73)</f>
        <v>3.73</v>
      </c>
      <c r="F3550" s="1">
        <f>IFERROR(__xludf.DUMMYFUNCTION("""COMPUTED_VALUE"""),191891.0)</f>
        <v>191891</v>
      </c>
    </row>
    <row r="3551">
      <c r="A3551" s="2">
        <f>IFERROR(__xludf.DUMMYFUNCTION("""COMPUTED_VALUE"""),44320.66666666667)</f>
        <v>44320.66667</v>
      </c>
      <c r="B3551" s="1">
        <f>IFERROR(__xludf.DUMMYFUNCTION("""COMPUTED_VALUE"""),3.7)</f>
        <v>3.7</v>
      </c>
      <c r="C3551" s="1">
        <f>IFERROR(__xludf.DUMMYFUNCTION("""COMPUTED_VALUE"""),3.73)</f>
        <v>3.73</v>
      </c>
      <c r="D3551" s="1">
        <f>IFERROR(__xludf.DUMMYFUNCTION("""COMPUTED_VALUE"""),3.64)</f>
        <v>3.64</v>
      </c>
      <c r="E3551" s="1">
        <f>IFERROR(__xludf.DUMMYFUNCTION("""COMPUTED_VALUE"""),3.66)</f>
        <v>3.66</v>
      </c>
      <c r="F3551" s="1">
        <f>IFERROR(__xludf.DUMMYFUNCTION("""COMPUTED_VALUE"""),246632.0)</f>
        <v>246632</v>
      </c>
    </row>
    <row r="3552">
      <c r="A3552" s="2">
        <f>IFERROR(__xludf.DUMMYFUNCTION("""COMPUTED_VALUE"""),44321.66666666667)</f>
        <v>44321.66667</v>
      </c>
      <c r="B3552" s="1">
        <f>IFERROR(__xludf.DUMMYFUNCTION("""COMPUTED_VALUE"""),3.56)</f>
        <v>3.56</v>
      </c>
      <c r="C3552" s="1">
        <f>IFERROR(__xludf.DUMMYFUNCTION("""COMPUTED_VALUE"""),3.7)</f>
        <v>3.7</v>
      </c>
      <c r="D3552" s="1">
        <f>IFERROR(__xludf.DUMMYFUNCTION("""COMPUTED_VALUE"""),3.52)</f>
        <v>3.52</v>
      </c>
      <c r="E3552" s="1">
        <f>IFERROR(__xludf.DUMMYFUNCTION("""COMPUTED_VALUE"""),3.63)</f>
        <v>3.63</v>
      </c>
      <c r="F3552" s="1">
        <f>IFERROR(__xludf.DUMMYFUNCTION("""COMPUTED_VALUE"""),272757.0)</f>
        <v>272757</v>
      </c>
    </row>
    <row r="3553">
      <c r="A3553" s="2">
        <f>IFERROR(__xludf.DUMMYFUNCTION("""COMPUTED_VALUE"""),44322.66666666667)</f>
        <v>44322.66667</v>
      </c>
      <c r="B3553" s="1">
        <f>IFERROR(__xludf.DUMMYFUNCTION("""COMPUTED_VALUE"""),3.63)</f>
        <v>3.63</v>
      </c>
      <c r="C3553" s="1">
        <f>IFERROR(__xludf.DUMMYFUNCTION("""COMPUTED_VALUE"""),3.66)</f>
        <v>3.66</v>
      </c>
      <c r="D3553" s="1">
        <f>IFERROR(__xludf.DUMMYFUNCTION("""COMPUTED_VALUE"""),3.51)</f>
        <v>3.51</v>
      </c>
      <c r="E3553" s="1">
        <f>IFERROR(__xludf.DUMMYFUNCTION("""COMPUTED_VALUE"""),3.62)</f>
        <v>3.62</v>
      </c>
      <c r="F3553" s="1">
        <f>IFERROR(__xludf.DUMMYFUNCTION("""COMPUTED_VALUE"""),227908.0)</f>
        <v>227908</v>
      </c>
    </row>
    <row r="3554">
      <c r="A3554" s="2">
        <f>IFERROR(__xludf.DUMMYFUNCTION("""COMPUTED_VALUE"""),44323.66666666667)</f>
        <v>44323.66667</v>
      </c>
      <c r="B3554" s="1">
        <f>IFERROR(__xludf.DUMMYFUNCTION("""COMPUTED_VALUE"""),3.6)</f>
        <v>3.6</v>
      </c>
      <c r="C3554" s="1">
        <f>IFERROR(__xludf.DUMMYFUNCTION("""COMPUTED_VALUE"""),3.69)</f>
        <v>3.69</v>
      </c>
      <c r="D3554" s="1">
        <f>IFERROR(__xludf.DUMMYFUNCTION("""COMPUTED_VALUE"""),3.56)</f>
        <v>3.56</v>
      </c>
      <c r="E3554" s="1">
        <f>IFERROR(__xludf.DUMMYFUNCTION("""COMPUTED_VALUE"""),3.64)</f>
        <v>3.64</v>
      </c>
      <c r="F3554" s="1">
        <f>IFERROR(__xludf.DUMMYFUNCTION("""COMPUTED_VALUE"""),163946.0)</f>
        <v>163946</v>
      </c>
    </row>
    <row r="3555">
      <c r="A3555" s="2">
        <f>IFERROR(__xludf.DUMMYFUNCTION("""COMPUTED_VALUE"""),44326.66666666667)</f>
        <v>44326.66667</v>
      </c>
      <c r="B3555" s="1">
        <f>IFERROR(__xludf.DUMMYFUNCTION("""COMPUTED_VALUE"""),3.65)</f>
        <v>3.65</v>
      </c>
      <c r="C3555" s="1">
        <f>IFERROR(__xludf.DUMMYFUNCTION("""COMPUTED_VALUE"""),3.65)</f>
        <v>3.65</v>
      </c>
      <c r="D3555" s="1">
        <f>IFERROR(__xludf.DUMMYFUNCTION("""COMPUTED_VALUE"""),3.51)</f>
        <v>3.51</v>
      </c>
      <c r="E3555" s="1">
        <f>IFERROR(__xludf.DUMMYFUNCTION("""COMPUTED_VALUE"""),3.52)</f>
        <v>3.52</v>
      </c>
      <c r="F3555" s="1">
        <f>IFERROR(__xludf.DUMMYFUNCTION("""COMPUTED_VALUE"""),205727.0)</f>
        <v>205727</v>
      </c>
    </row>
    <row r="3556">
      <c r="A3556" s="2">
        <f>IFERROR(__xludf.DUMMYFUNCTION("""COMPUTED_VALUE"""),44327.66666666667)</f>
        <v>44327.66667</v>
      </c>
      <c r="B3556" s="1">
        <f>IFERROR(__xludf.DUMMYFUNCTION("""COMPUTED_VALUE"""),3.46)</f>
        <v>3.46</v>
      </c>
      <c r="C3556" s="1">
        <f>IFERROR(__xludf.DUMMYFUNCTION("""COMPUTED_VALUE"""),3.47)</f>
        <v>3.47</v>
      </c>
      <c r="D3556" s="1">
        <f>IFERROR(__xludf.DUMMYFUNCTION("""COMPUTED_VALUE"""),3.39)</f>
        <v>3.39</v>
      </c>
      <c r="E3556" s="1">
        <f>IFERROR(__xludf.DUMMYFUNCTION("""COMPUTED_VALUE"""),3.42)</f>
        <v>3.42</v>
      </c>
      <c r="F3556" s="1">
        <f>IFERROR(__xludf.DUMMYFUNCTION("""COMPUTED_VALUE"""),167908.0)</f>
        <v>167908</v>
      </c>
    </row>
    <row r="3557">
      <c r="A3557" s="2">
        <f>IFERROR(__xludf.DUMMYFUNCTION("""COMPUTED_VALUE"""),44328.66666666667)</f>
        <v>44328.66667</v>
      </c>
      <c r="B3557" s="1">
        <f>IFERROR(__xludf.DUMMYFUNCTION("""COMPUTED_VALUE"""),3.37)</f>
        <v>3.37</v>
      </c>
      <c r="C3557" s="1">
        <f>IFERROR(__xludf.DUMMYFUNCTION("""COMPUTED_VALUE"""),3.43)</f>
        <v>3.43</v>
      </c>
      <c r="D3557" s="1">
        <f>IFERROR(__xludf.DUMMYFUNCTION("""COMPUTED_VALUE"""),3.35)</f>
        <v>3.35</v>
      </c>
      <c r="E3557" s="1">
        <f>IFERROR(__xludf.DUMMYFUNCTION("""COMPUTED_VALUE"""),3.37)</f>
        <v>3.37</v>
      </c>
      <c r="F3557" s="1">
        <f>IFERROR(__xludf.DUMMYFUNCTION("""COMPUTED_VALUE"""),194143.0)</f>
        <v>194143</v>
      </c>
    </row>
    <row r="3558">
      <c r="A3558" s="2">
        <f>IFERROR(__xludf.DUMMYFUNCTION("""COMPUTED_VALUE"""),44329.66666666667)</f>
        <v>44329.66667</v>
      </c>
      <c r="B3558" s="1">
        <f>IFERROR(__xludf.DUMMYFUNCTION("""COMPUTED_VALUE"""),3.38)</f>
        <v>3.38</v>
      </c>
      <c r="C3558" s="1">
        <f>IFERROR(__xludf.DUMMYFUNCTION("""COMPUTED_VALUE"""),3.48)</f>
        <v>3.48</v>
      </c>
      <c r="D3558" s="1">
        <f>IFERROR(__xludf.DUMMYFUNCTION("""COMPUTED_VALUE"""),3.35)</f>
        <v>3.35</v>
      </c>
      <c r="E3558" s="1">
        <f>IFERROR(__xludf.DUMMYFUNCTION("""COMPUTED_VALUE"""),3.46)</f>
        <v>3.46</v>
      </c>
      <c r="F3558" s="1">
        <f>IFERROR(__xludf.DUMMYFUNCTION("""COMPUTED_VALUE"""),206440.0)</f>
        <v>206440</v>
      </c>
    </row>
    <row r="3559">
      <c r="A3559" s="2">
        <f>IFERROR(__xludf.DUMMYFUNCTION("""COMPUTED_VALUE"""),44330.66666666667)</f>
        <v>44330.66667</v>
      </c>
      <c r="B3559" s="1">
        <f>IFERROR(__xludf.DUMMYFUNCTION("""COMPUTED_VALUE"""),3.48)</f>
        <v>3.48</v>
      </c>
      <c r="C3559" s="1">
        <f>IFERROR(__xludf.DUMMYFUNCTION("""COMPUTED_VALUE"""),3.66)</f>
        <v>3.66</v>
      </c>
      <c r="D3559" s="1">
        <f>IFERROR(__xludf.DUMMYFUNCTION("""COMPUTED_VALUE"""),3.48)</f>
        <v>3.48</v>
      </c>
      <c r="E3559" s="1">
        <f>IFERROR(__xludf.DUMMYFUNCTION("""COMPUTED_VALUE"""),3.63)</f>
        <v>3.63</v>
      </c>
      <c r="F3559" s="1">
        <f>IFERROR(__xludf.DUMMYFUNCTION("""COMPUTED_VALUE"""),222633.0)</f>
        <v>222633</v>
      </c>
    </row>
    <row r="3560">
      <c r="A3560" s="2">
        <f>IFERROR(__xludf.DUMMYFUNCTION("""COMPUTED_VALUE"""),44333.66666666667)</f>
        <v>44333.66667</v>
      </c>
      <c r="B3560" s="1">
        <f>IFERROR(__xludf.DUMMYFUNCTION("""COMPUTED_VALUE"""),3.59)</f>
        <v>3.59</v>
      </c>
      <c r="C3560" s="1">
        <f>IFERROR(__xludf.DUMMYFUNCTION("""COMPUTED_VALUE"""),3.63)</f>
        <v>3.63</v>
      </c>
      <c r="D3560" s="1">
        <f>IFERROR(__xludf.DUMMYFUNCTION("""COMPUTED_VALUE"""),3.57)</f>
        <v>3.57</v>
      </c>
      <c r="E3560" s="1">
        <f>IFERROR(__xludf.DUMMYFUNCTION("""COMPUTED_VALUE"""),3.61)</f>
        <v>3.61</v>
      </c>
      <c r="F3560" s="1">
        <f>IFERROR(__xludf.DUMMYFUNCTION("""COMPUTED_VALUE"""),109248.0)</f>
        <v>109248</v>
      </c>
    </row>
    <row r="3561">
      <c r="A3561" s="2">
        <f>IFERROR(__xludf.DUMMYFUNCTION("""COMPUTED_VALUE"""),44334.66666666667)</f>
        <v>44334.66667</v>
      </c>
      <c r="B3561" s="1">
        <f>IFERROR(__xludf.DUMMYFUNCTION("""COMPUTED_VALUE"""),3.57)</f>
        <v>3.57</v>
      </c>
      <c r="C3561" s="1">
        <f>IFERROR(__xludf.DUMMYFUNCTION("""COMPUTED_VALUE"""),3.65)</f>
        <v>3.65</v>
      </c>
      <c r="D3561" s="1">
        <f>IFERROR(__xludf.DUMMYFUNCTION("""COMPUTED_VALUE"""),3.57)</f>
        <v>3.57</v>
      </c>
      <c r="E3561" s="1">
        <f>IFERROR(__xludf.DUMMYFUNCTION("""COMPUTED_VALUE"""),3.6)</f>
        <v>3.6</v>
      </c>
      <c r="F3561" s="1">
        <f>IFERROR(__xludf.DUMMYFUNCTION("""COMPUTED_VALUE"""),181220.0)</f>
        <v>181220</v>
      </c>
    </row>
    <row r="3562">
      <c r="A3562" s="2">
        <f>IFERROR(__xludf.DUMMYFUNCTION("""COMPUTED_VALUE"""),44335.66666666667)</f>
        <v>44335.66667</v>
      </c>
      <c r="B3562" s="1">
        <f>IFERROR(__xludf.DUMMYFUNCTION("""COMPUTED_VALUE"""),3.55)</f>
        <v>3.55</v>
      </c>
      <c r="C3562" s="1">
        <f>IFERROR(__xludf.DUMMYFUNCTION("""COMPUTED_VALUE"""),3.6)</f>
        <v>3.6</v>
      </c>
      <c r="D3562" s="1">
        <f>IFERROR(__xludf.DUMMYFUNCTION("""COMPUTED_VALUE"""),3.52)</f>
        <v>3.52</v>
      </c>
      <c r="E3562" s="1">
        <f>IFERROR(__xludf.DUMMYFUNCTION("""COMPUTED_VALUE"""),3.58)</f>
        <v>3.58</v>
      </c>
      <c r="F3562" s="1">
        <f>IFERROR(__xludf.DUMMYFUNCTION("""COMPUTED_VALUE"""),158869.0)</f>
        <v>158869</v>
      </c>
    </row>
    <row r="3563">
      <c r="A3563" s="2">
        <f>IFERROR(__xludf.DUMMYFUNCTION("""COMPUTED_VALUE"""),44336.66666666667)</f>
        <v>44336.66667</v>
      </c>
      <c r="B3563" s="1">
        <f>IFERROR(__xludf.DUMMYFUNCTION("""COMPUTED_VALUE"""),3.57)</f>
        <v>3.57</v>
      </c>
      <c r="C3563" s="1">
        <f>IFERROR(__xludf.DUMMYFUNCTION("""COMPUTED_VALUE"""),3.59)</f>
        <v>3.59</v>
      </c>
      <c r="D3563" s="1">
        <f>IFERROR(__xludf.DUMMYFUNCTION("""COMPUTED_VALUE"""),3.54)</f>
        <v>3.54</v>
      </c>
      <c r="E3563" s="1">
        <f>IFERROR(__xludf.DUMMYFUNCTION("""COMPUTED_VALUE"""),3.59)</f>
        <v>3.59</v>
      </c>
      <c r="F3563" s="1">
        <f>IFERROR(__xludf.DUMMYFUNCTION("""COMPUTED_VALUE"""),123647.0)</f>
        <v>123647</v>
      </c>
    </row>
    <row r="3564">
      <c r="A3564" s="2">
        <f>IFERROR(__xludf.DUMMYFUNCTION("""COMPUTED_VALUE"""),44337.66666666667)</f>
        <v>44337.66667</v>
      </c>
      <c r="B3564" s="1">
        <f>IFERROR(__xludf.DUMMYFUNCTION("""COMPUTED_VALUE"""),3.6)</f>
        <v>3.6</v>
      </c>
      <c r="C3564" s="1">
        <f>IFERROR(__xludf.DUMMYFUNCTION("""COMPUTED_VALUE"""),3.64)</f>
        <v>3.64</v>
      </c>
      <c r="D3564" s="1">
        <f>IFERROR(__xludf.DUMMYFUNCTION("""COMPUTED_VALUE"""),3.56)</f>
        <v>3.56</v>
      </c>
      <c r="E3564" s="1">
        <f>IFERROR(__xludf.DUMMYFUNCTION("""COMPUTED_VALUE"""),3.57)</f>
        <v>3.57</v>
      </c>
      <c r="F3564" s="1">
        <f>IFERROR(__xludf.DUMMYFUNCTION("""COMPUTED_VALUE"""),169925.0)</f>
        <v>169925</v>
      </c>
    </row>
    <row r="3565">
      <c r="A3565" s="2">
        <f>IFERROR(__xludf.DUMMYFUNCTION("""COMPUTED_VALUE"""),44340.66666666667)</f>
        <v>44340.66667</v>
      </c>
      <c r="B3565" s="1">
        <f>IFERROR(__xludf.DUMMYFUNCTION("""COMPUTED_VALUE"""),3.57)</f>
        <v>3.57</v>
      </c>
      <c r="C3565" s="1">
        <f>IFERROR(__xludf.DUMMYFUNCTION("""COMPUTED_VALUE"""),3.6)</f>
        <v>3.6</v>
      </c>
      <c r="D3565" s="1">
        <f>IFERROR(__xludf.DUMMYFUNCTION("""COMPUTED_VALUE"""),3.55)</f>
        <v>3.55</v>
      </c>
      <c r="E3565" s="1">
        <f>IFERROR(__xludf.DUMMYFUNCTION("""COMPUTED_VALUE"""),3.59)</f>
        <v>3.59</v>
      </c>
      <c r="F3565" s="1">
        <f>IFERROR(__xludf.DUMMYFUNCTION("""COMPUTED_VALUE"""),148395.0)</f>
        <v>148395</v>
      </c>
    </row>
    <row r="3566">
      <c r="A3566" s="2">
        <f>IFERROR(__xludf.DUMMYFUNCTION("""COMPUTED_VALUE"""),44341.66666666667)</f>
        <v>44341.66667</v>
      </c>
      <c r="B3566" s="1">
        <f>IFERROR(__xludf.DUMMYFUNCTION("""COMPUTED_VALUE"""),3.59)</f>
        <v>3.59</v>
      </c>
      <c r="C3566" s="1">
        <f>IFERROR(__xludf.DUMMYFUNCTION("""COMPUTED_VALUE"""),3.61)</f>
        <v>3.61</v>
      </c>
      <c r="D3566" s="1">
        <f>IFERROR(__xludf.DUMMYFUNCTION("""COMPUTED_VALUE"""),3.55)</f>
        <v>3.55</v>
      </c>
      <c r="E3566" s="1">
        <f>IFERROR(__xludf.DUMMYFUNCTION("""COMPUTED_VALUE"""),3.55)</f>
        <v>3.55</v>
      </c>
      <c r="F3566" s="1">
        <f>IFERROR(__xludf.DUMMYFUNCTION("""COMPUTED_VALUE"""),194177.0)</f>
        <v>194177</v>
      </c>
    </row>
    <row r="3567">
      <c r="A3567" s="2">
        <f>IFERROR(__xludf.DUMMYFUNCTION("""COMPUTED_VALUE"""),44342.66666666667)</f>
        <v>44342.66667</v>
      </c>
      <c r="B3567" s="1">
        <f>IFERROR(__xludf.DUMMYFUNCTION("""COMPUTED_VALUE"""),3.55)</f>
        <v>3.55</v>
      </c>
      <c r="C3567" s="1">
        <f>IFERROR(__xludf.DUMMYFUNCTION("""COMPUTED_VALUE"""),3.59)</f>
        <v>3.59</v>
      </c>
      <c r="D3567" s="1">
        <f>IFERROR(__xludf.DUMMYFUNCTION("""COMPUTED_VALUE"""),3.54)</f>
        <v>3.54</v>
      </c>
      <c r="E3567" s="1">
        <f>IFERROR(__xludf.DUMMYFUNCTION("""COMPUTED_VALUE"""),3.57)</f>
        <v>3.57</v>
      </c>
      <c r="F3567" s="1">
        <f>IFERROR(__xludf.DUMMYFUNCTION("""COMPUTED_VALUE"""),122933.0)</f>
        <v>122933</v>
      </c>
    </row>
    <row r="3568">
      <c r="A3568" s="2">
        <f>IFERROR(__xludf.DUMMYFUNCTION("""COMPUTED_VALUE"""),44343.66666666667)</f>
        <v>44343.66667</v>
      </c>
      <c r="B3568" s="1">
        <f>IFERROR(__xludf.DUMMYFUNCTION("""COMPUTED_VALUE"""),3.55)</f>
        <v>3.55</v>
      </c>
      <c r="C3568" s="1">
        <f>IFERROR(__xludf.DUMMYFUNCTION("""COMPUTED_VALUE"""),3.64)</f>
        <v>3.64</v>
      </c>
      <c r="D3568" s="1">
        <f>IFERROR(__xludf.DUMMYFUNCTION("""COMPUTED_VALUE"""),3.55)</f>
        <v>3.55</v>
      </c>
      <c r="E3568" s="1">
        <f>IFERROR(__xludf.DUMMYFUNCTION("""COMPUTED_VALUE"""),3.6)</f>
        <v>3.6</v>
      </c>
      <c r="F3568" s="1">
        <f>IFERROR(__xludf.DUMMYFUNCTION("""COMPUTED_VALUE"""),371784.0)</f>
        <v>371784</v>
      </c>
    </row>
    <row r="3569">
      <c r="A3569" s="2">
        <f>IFERROR(__xludf.DUMMYFUNCTION("""COMPUTED_VALUE"""),44344.66666666667)</f>
        <v>44344.66667</v>
      </c>
      <c r="B3569" s="1">
        <f>IFERROR(__xludf.DUMMYFUNCTION("""COMPUTED_VALUE"""),3.56)</f>
        <v>3.56</v>
      </c>
      <c r="C3569" s="1">
        <f>IFERROR(__xludf.DUMMYFUNCTION("""COMPUTED_VALUE"""),3.56)</f>
        <v>3.56</v>
      </c>
      <c r="D3569" s="1">
        <f>IFERROR(__xludf.DUMMYFUNCTION("""COMPUTED_VALUE"""),3.47)</f>
        <v>3.47</v>
      </c>
      <c r="E3569" s="1">
        <f>IFERROR(__xludf.DUMMYFUNCTION("""COMPUTED_VALUE"""),3.47)</f>
        <v>3.47</v>
      </c>
      <c r="F3569" s="1">
        <f>IFERROR(__xludf.DUMMYFUNCTION("""COMPUTED_VALUE"""),174501.0)</f>
        <v>174501</v>
      </c>
    </row>
    <row r="3570">
      <c r="A3570" s="2">
        <f>IFERROR(__xludf.DUMMYFUNCTION("""COMPUTED_VALUE"""),44348.66666666667)</f>
        <v>44348.66667</v>
      </c>
      <c r="B3570" s="1">
        <f>IFERROR(__xludf.DUMMYFUNCTION("""COMPUTED_VALUE"""),3.51)</f>
        <v>3.51</v>
      </c>
      <c r="C3570" s="1">
        <f>IFERROR(__xludf.DUMMYFUNCTION("""COMPUTED_VALUE"""),3.55)</f>
        <v>3.55</v>
      </c>
      <c r="D3570" s="1">
        <f>IFERROR(__xludf.DUMMYFUNCTION("""COMPUTED_VALUE"""),3.47)</f>
        <v>3.47</v>
      </c>
      <c r="E3570" s="1">
        <f>IFERROR(__xludf.DUMMYFUNCTION("""COMPUTED_VALUE"""),3.52)</f>
        <v>3.52</v>
      </c>
      <c r="F3570" s="1">
        <f>IFERROR(__xludf.DUMMYFUNCTION("""COMPUTED_VALUE"""),195160.0)</f>
        <v>195160</v>
      </c>
    </row>
    <row r="3571">
      <c r="A3571" s="2">
        <f>IFERROR(__xludf.DUMMYFUNCTION("""COMPUTED_VALUE"""),44349.66666666667)</f>
        <v>44349.66667</v>
      </c>
      <c r="B3571" s="1">
        <f>IFERROR(__xludf.DUMMYFUNCTION("""COMPUTED_VALUE"""),3.54)</f>
        <v>3.54</v>
      </c>
      <c r="C3571" s="1">
        <f>IFERROR(__xludf.DUMMYFUNCTION("""COMPUTED_VALUE"""),3.64)</f>
        <v>3.64</v>
      </c>
      <c r="D3571" s="1">
        <f>IFERROR(__xludf.DUMMYFUNCTION("""COMPUTED_VALUE"""),3.48)</f>
        <v>3.48</v>
      </c>
      <c r="E3571" s="1">
        <f>IFERROR(__xludf.DUMMYFUNCTION("""COMPUTED_VALUE"""),3.63)</f>
        <v>3.63</v>
      </c>
      <c r="F3571" s="1">
        <f>IFERROR(__xludf.DUMMYFUNCTION("""COMPUTED_VALUE"""),456429.0)</f>
        <v>456429</v>
      </c>
    </row>
    <row r="3572">
      <c r="A3572" s="2">
        <f>IFERROR(__xludf.DUMMYFUNCTION("""COMPUTED_VALUE"""),44350.66666666667)</f>
        <v>44350.66667</v>
      </c>
      <c r="B3572" s="1">
        <f>IFERROR(__xludf.DUMMYFUNCTION("""COMPUTED_VALUE"""),3.62)</f>
        <v>3.62</v>
      </c>
      <c r="C3572" s="1">
        <f>IFERROR(__xludf.DUMMYFUNCTION("""COMPUTED_VALUE"""),3.65)</f>
        <v>3.65</v>
      </c>
      <c r="D3572" s="1">
        <f>IFERROR(__xludf.DUMMYFUNCTION("""COMPUTED_VALUE"""),3.58)</f>
        <v>3.58</v>
      </c>
      <c r="E3572" s="1">
        <f>IFERROR(__xludf.DUMMYFUNCTION("""COMPUTED_VALUE"""),3.64)</f>
        <v>3.64</v>
      </c>
      <c r="F3572" s="1">
        <f>IFERROR(__xludf.DUMMYFUNCTION("""COMPUTED_VALUE"""),108030.0)</f>
        <v>108030</v>
      </c>
    </row>
    <row r="3573">
      <c r="A3573" s="2">
        <f>IFERROR(__xludf.DUMMYFUNCTION("""COMPUTED_VALUE"""),44351.66666666667)</f>
        <v>44351.66667</v>
      </c>
      <c r="B3573" s="1">
        <f>IFERROR(__xludf.DUMMYFUNCTION("""COMPUTED_VALUE"""),3.64)</f>
        <v>3.64</v>
      </c>
      <c r="C3573" s="1">
        <f>IFERROR(__xludf.DUMMYFUNCTION("""COMPUTED_VALUE"""),3.68)</f>
        <v>3.68</v>
      </c>
      <c r="D3573" s="1">
        <f>IFERROR(__xludf.DUMMYFUNCTION("""COMPUTED_VALUE"""),3.62)</f>
        <v>3.62</v>
      </c>
      <c r="E3573" s="1">
        <f>IFERROR(__xludf.DUMMYFUNCTION("""COMPUTED_VALUE"""),3.67)</f>
        <v>3.67</v>
      </c>
      <c r="F3573" s="1">
        <f>IFERROR(__xludf.DUMMYFUNCTION("""COMPUTED_VALUE"""),97318.0)</f>
        <v>97318</v>
      </c>
    </row>
    <row r="3574">
      <c r="A3574" s="2">
        <f>IFERROR(__xludf.DUMMYFUNCTION("""COMPUTED_VALUE"""),44354.66666666667)</f>
        <v>44354.66667</v>
      </c>
      <c r="B3574" s="1">
        <f>IFERROR(__xludf.DUMMYFUNCTION("""COMPUTED_VALUE"""),3.68)</f>
        <v>3.68</v>
      </c>
      <c r="C3574" s="1">
        <f>IFERROR(__xludf.DUMMYFUNCTION("""COMPUTED_VALUE"""),3.72)</f>
        <v>3.72</v>
      </c>
      <c r="D3574" s="1">
        <f>IFERROR(__xludf.DUMMYFUNCTION("""COMPUTED_VALUE"""),3.65)</f>
        <v>3.65</v>
      </c>
      <c r="E3574" s="1">
        <f>IFERROR(__xludf.DUMMYFUNCTION("""COMPUTED_VALUE"""),3.7)</f>
        <v>3.7</v>
      </c>
      <c r="F3574" s="1">
        <f>IFERROR(__xludf.DUMMYFUNCTION("""COMPUTED_VALUE"""),167135.0)</f>
        <v>167135</v>
      </c>
    </row>
    <row r="3575">
      <c r="A3575" s="2">
        <f>IFERROR(__xludf.DUMMYFUNCTION("""COMPUTED_VALUE"""),44355.66666666667)</f>
        <v>44355.66667</v>
      </c>
      <c r="B3575" s="1">
        <f>IFERROR(__xludf.DUMMYFUNCTION("""COMPUTED_VALUE"""),3.72)</f>
        <v>3.72</v>
      </c>
      <c r="C3575" s="1">
        <f>IFERROR(__xludf.DUMMYFUNCTION("""COMPUTED_VALUE"""),3.74)</f>
        <v>3.74</v>
      </c>
      <c r="D3575" s="1">
        <f>IFERROR(__xludf.DUMMYFUNCTION("""COMPUTED_VALUE"""),3.68)</f>
        <v>3.68</v>
      </c>
      <c r="E3575" s="1">
        <f>IFERROR(__xludf.DUMMYFUNCTION("""COMPUTED_VALUE"""),3.69)</f>
        <v>3.69</v>
      </c>
      <c r="F3575" s="1">
        <f>IFERROR(__xludf.DUMMYFUNCTION("""COMPUTED_VALUE"""),129871.0)</f>
        <v>129871</v>
      </c>
    </row>
    <row r="3576">
      <c r="A3576" s="2">
        <f>IFERROR(__xludf.DUMMYFUNCTION("""COMPUTED_VALUE"""),44356.66666666667)</f>
        <v>44356.66667</v>
      </c>
      <c r="B3576" s="1">
        <f>IFERROR(__xludf.DUMMYFUNCTION("""COMPUTED_VALUE"""),3.69)</f>
        <v>3.69</v>
      </c>
      <c r="C3576" s="1">
        <f>IFERROR(__xludf.DUMMYFUNCTION("""COMPUTED_VALUE"""),3.7)</f>
        <v>3.7</v>
      </c>
      <c r="D3576" s="1">
        <f>IFERROR(__xludf.DUMMYFUNCTION("""COMPUTED_VALUE"""),3.63)</f>
        <v>3.63</v>
      </c>
      <c r="E3576" s="1">
        <f>IFERROR(__xludf.DUMMYFUNCTION("""COMPUTED_VALUE"""),3.63)</f>
        <v>3.63</v>
      </c>
      <c r="F3576" s="1">
        <f>IFERROR(__xludf.DUMMYFUNCTION("""COMPUTED_VALUE"""),157147.0)</f>
        <v>157147</v>
      </c>
    </row>
    <row r="3577">
      <c r="A3577" s="2">
        <f>IFERROR(__xludf.DUMMYFUNCTION("""COMPUTED_VALUE"""),44357.66666666667)</f>
        <v>44357.66667</v>
      </c>
      <c r="B3577" s="1">
        <f>IFERROR(__xludf.DUMMYFUNCTION("""COMPUTED_VALUE"""),3.64)</f>
        <v>3.64</v>
      </c>
      <c r="C3577" s="1">
        <f>IFERROR(__xludf.DUMMYFUNCTION("""COMPUTED_VALUE"""),3.7)</f>
        <v>3.7</v>
      </c>
      <c r="D3577" s="1">
        <f>IFERROR(__xludf.DUMMYFUNCTION("""COMPUTED_VALUE"""),3.62)</f>
        <v>3.62</v>
      </c>
      <c r="E3577" s="1">
        <f>IFERROR(__xludf.DUMMYFUNCTION("""COMPUTED_VALUE"""),3.64)</f>
        <v>3.64</v>
      </c>
      <c r="F3577" s="1">
        <f>IFERROR(__xludf.DUMMYFUNCTION("""COMPUTED_VALUE"""),90527.0)</f>
        <v>90527</v>
      </c>
    </row>
    <row r="3578">
      <c r="A3578" s="2">
        <f>IFERROR(__xludf.DUMMYFUNCTION("""COMPUTED_VALUE"""),44358.66666666667)</f>
        <v>44358.66667</v>
      </c>
      <c r="B3578" s="1">
        <f>IFERROR(__xludf.DUMMYFUNCTION("""COMPUTED_VALUE"""),3.66)</f>
        <v>3.66</v>
      </c>
      <c r="C3578" s="1">
        <f>IFERROR(__xludf.DUMMYFUNCTION("""COMPUTED_VALUE"""),3.67)</f>
        <v>3.67</v>
      </c>
      <c r="D3578" s="1">
        <f>IFERROR(__xludf.DUMMYFUNCTION("""COMPUTED_VALUE"""),3.63)</f>
        <v>3.63</v>
      </c>
      <c r="E3578" s="1">
        <f>IFERROR(__xludf.DUMMYFUNCTION("""COMPUTED_VALUE"""),3.67)</f>
        <v>3.67</v>
      </c>
      <c r="F3578" s="1">
        <f>IFERROR(__xludf.DUMMYFUNCTION("""COMPUTED_VALUE"""),83069.0)</f>
        <v>83069</v>
      </c>
    </row>
    <row r="3579">
      <c r="A3579" s="2">
        <f>IFERROR(__xludf.DUMMYFUNCTION("""COMPUTED_VALUE"""),44361.66666666667)</f>
        <v>44361.66667</v>
      </c>
      <c r="B3579" s="1">
        <f>IFERROR(__xludf.DUMMYFUNCTION("""COMPUTED_VALUE"""),3.67)</f>
        <v>3.67</v>
      </c>
      <c r="C3579" s="1">
        <f>IFERROR(__xludf.DUMMYFUNCTION("""COMPUTED_VALUE"""),3.69)</f>
        <v>3.69</v>
      </c>
      <c r="D3579" s="1">
        <f>IFERROR(__xludf.DUMMYFUNCTION("""COMPUTED_VALUE"""),3.61)</f>
        <v>3.61</v>
      </c>
      <c r="E3579" s="1">
        <f>IFERROR(__xludf.DUMMYFUNCTION("""COMPUTED_VALUE"""),3.62)</f>
        <v>3.62</v>
      </c>
      <c r="F3579" s="1">
        <f>IFERROR(__xludf.DUMMYFUNCTION("""COMPUTED_VALUE"""),126242.0)</f>
        <v>126242</v>
      </c>
    </row>
    <row r="3580">
      <c r="A3580" s="2">
        <f>IFERROR(__xludf.DUMMYFUNCTION("""COMPUTED_VALUE"""),44362.66666666667)</f>
        <v>44362.66667</v>
      </c>
      <c r="B3580" s="1">
        <f>IFERROR(__xludf.DUMMYFUNCTION("""COMPUTED_VALUE"""),3.62)</f>
        <v>3.62</v>
      </c>
      <c r="C3580" s="1">
        <f>IFERROR(__xludf.DUMMYFUNCTION("""COMPUTED_VALUE"""),3.65)</f>
        <v>3.65</v>
      </c>
      <c r="D3580" s="1">
        <f>IFERROR(__xludf.DUMMYFUNCTION("""COMPUTED_VALUE"""),3.6)</f>
        <v>3.6</v>
      </c>
      <c r="E3580" s="1">
        <f>IFERROR(__xludf.DUMMYFUNCTION("""COMPUTED_VALUE"""),3.62)</f>
        <v>3.62</v>
      </c>
      <c r="F3580" s="1">
        <f>IFERROR(__xludf.DUMMYFUNCTION("""COMPUTED_VALUE"""),196171.0)</f>
        <v>196171</v>
      </c>
    </row>
    <row r="3581">
      <c r="A3581" s="2">
        <f>IFERROR(__xludf.DUMMYFUNCTION("""COMPUTED_VALUE"""),44363.66666666667)</f>
        <v>44363.66667</v>
      </c>
      <c r="B3581" s="1">
        <f>IFERROR(__xludf.DUMMYFUNCTION("""COMPUTED_VALUE"""),3.62)</f>
        <v>3.62</v>
      </c>
      <c r="C3581" s="1">
        <f>IFERROR(__xludf.DUMMYFUNCTION("""COMPUTED_VALUE"""),3.62)</f>
        <v>3.62</v>
      </c>
      <c r="D3581" s="1">
        <f>IFERROR(__xludf.DUMMYFUNCTION("""COMPUTED_VALUE"""),3.55)</f>
        <v>3.55</v>
      </c>
      <c r="E3581" s="1">
        <f>IFERROR(__xludf.DUMMYFUNCTION("""COMPUTED_VALUE"""),3.58)</f>
        <v>3.58</v>
      </c>
      <c r="F3581" s="1">
        <f>IFERROR(__xludf.DUMMYFUNCTION("""COMPUTED_VALUE"""),126076.0)</f>
        <v>126076</v>
      </c>
    </row>
    <row r="3582">
      <c r="A3582" s="2">
        <f>IFERROR(__xludf.DUMMYFUNCTION("""COMPUTED_VALUE"""),44364.66666666667)</f>
        <v>44364.66667</v>
      </c>
      <c r="B3582" s="1">
        <f>IFERROR(__xludf.DUMMYFUNCTION("""COMPUTED_VALUE"""),3.55)</f>
        <v>3.55</v>
      </c>
      <c r="C3582" s="1">
        <f>IFERROR(__xludf.DUMMYFUNCTION("""COMPUTED_VALUE"""),3.59)</f>
        <v>3.59</v>
      </c>
      <c r="D3582" s="1">
        <f>IFERROR(__xludf.DUMMYFUNCTION("""COMPUTED_VALUE"""),3.51)</f>
        <v>3.51</v>
      </c>
      <c r="E3582" s="1">
        <f>IFERROR(__xludf.DUMMYFUNCTION("""COMPUTED_VALUE"""),3.54)</f>
        <v>3.54</v>
      </c>
      <c r="F3582" s="1">
        <f>IFERROR(__xludf.DUMMYFUNCTION("""COMPUTED_VALUE"""),174633.0)</f>
        <v>174633</v>
      </c>
    </row>
    <row r="3583">
      <c r="A3583" s="2">
        <f>IFERROR(__xludf.DUMMYFUNCTION("""COMPUTED_VALUE"""),44365.66666666667)</f>
        <v>44365.66667</v>
      </c>
      <c r="B3583" s="1">
        <f>IFERROR(__xludf.DUMMYFUNCTION("""COMPUTED_VALUE"""),3.5)</f>
        <v>3.5</v>
      </c>
      <c r="C3583" s="1">
        <f>IFERROR(__xludf.DUMMYFUNCTION("""COMPUTED_VALUE"""),3.52)</f>
        <v>3.52</v>
      </c>
      <c r="D3583" s="1">
        <f>IFERROR(__xludf.DUMMYFUNCTION("""COMPUTED_VALUE"""),3.39)</f>
        <v>3.39</v>
      </c>
      <c r="E3583" s="1">
        <f>IFERROR(__xludf.DUMMYFUNCTION("""COMPUTED_VALUE"""),3.43)</f>
        <v>3.43</v>
      </c>
      <c r="F3583" s="1">
        <f>IFERROR(__xludf.DUMMYFUNCTION("""COMPUTED_VALUE"""),322209.0)</f>
        <v>322209</v>
      </c>
    </row>
    <row r="3584">
      <c r="A3584" s="2">
        <f>IFERROR(__xludf.DUMMYFUNCTION("""COMPUTED_VALUE"""),44368.66666666667)</f>
        <v>44368.66667</v>
      </c>
      <c r="B3584" s="1">
        <f>IFERROR(__xludf.DUMMYFUNCTION("""COMPUTED_VALUE"""),3.45)</f>
        <v>3.45</v>
      </c>
      <c r="C3584" s="1">
        <f>IFERROR(__xludf.DUMMYFUNCTION("""COMPUTED_VALUE"""),3.56)</f>
        <v>3.56</v>
      </c>
      <c r="D3584" s="1">
        <f>IFERROR(__xludf.DUMMYFUNCTION("""COMPUTED_VALUE"""),3.44)</f>
        <v>3.44</v>
      </c>
      <c r="E3584" s="1">
        <f>IFERROR(__xludf.DUMMYFUNCTION("""COMPUTED_VALUE"""),3.49)</f>
        <v>3.49</v>
      </c>
      <c r="F3584" s="1">
        <f>IFERROR(__xludf.DUMMYFUNCTION("""COMPUTED_VALUE"""),222768.0)</f>
        <v>222768</v>
      </c>
    </row>
    <row r="3585">
      <c r="A3585" s="2">
        <f>IFERROR(__xludf.DUMMYFUNCTION("""COMPUTED_VALUE"""),44369.66666666667)</f>
        <v>44369.66667</v>
      </c>
      <c r="B3585" s="1">
        <f>IFERROR(__xludf.DUMMYFUNCTION("""COMPUTED_VALUE"""),3.48)</f>
        <v>3.48</v>
      </c>
      <c r="C3585" s="1">
        <f>IFERROR(__xludf.DUMMYFUNCTION("""COMPUTED_VALUE"""),3.51)</f>
        <v>3.51</v>
      </c>
      <c r="D3585" s="1">
        <f>IFERROR(__xludf.DUMMYFUNCTION("""COMPUTED_VALUE"""),3.38)</f>
        <v>3.38</v>
      </c>
      <c r="E3585" s="1">
        <f>IFERROR(__xludf.DUMMYFUNCTION("""COMPUTED_VALUE"""),3.4)</f>
        <v>3.4</v>
      </c>
      <c r="F3585" s="1">
        <f>IFERROR(__xludf.DUMMYFUNCTION("""COMPUTED_VALUE"""),196987.0)</f>
        <v>196987</v>
      </c>
    </row>
    <row r="3586">
      <c r="A3586" s="2">
        <f>IFERROR(__xludf.DUMMYFUNCTION("""COMPUTED_VALUE"""),44370.66666666667)</f>
        <v>44370.66667</v>
      </c>
      <c r="B3586" s="1">
        <f>IFERROR(__xludf.DUMMYFUNCTION("""COMPUTED_VALUE"""),3.4)</f>
        <v>3.4</v>
      </c>
      <c r="C3586" s="1">
        <f>IFERROR(__xludf.DUMMYFUNCTION("""COMPUTED_VALUE"""),3.47)</f>
        <v>3.47</v>
      </c>
      <c r="D3586" s="1">
        <f>IFERROR(__xludf.DUMMYFUNCTION("""COMPUTED_VALUE"""),3.39)</f>
        <v>3.39</v>
      </c>
      <c r="E3586" s="1">
        <f>IFERROR(__xludf.DUMMYFUNCTION("""COMPUTED_VALUE"""),3.43)</f>
        <v>3.43</v>
      </c>
      <c r="F3586" s="1">
        <f>IFERROR(__xludf.DUMMYFUNCTION("""COMPUTED_VALUE"""),178610.0)</f>
        <v>178610</v>
      </c>
    </row>
    <row r="3587">
      <c r="A3587" s="2">
        <f>IFERROR(__xludf.DUMMYFUNCTION("""COMPUTED_VALUE"""),44371.66666666667)</f>
        <v>44371.66667</v>
      </c>
      <c r="B3587" s="1">
        <f>IFERROR(__xludf.DUMMYFUNCTION("""COMPUTED_VALUE"""),3.47)</f>
        <v>3.47</v>
      </c>
      <c r="C3587" s="1">
        <f>IFERROR(__xludf.DUMMYFUNCTION("""COMPUTED_VALUE"""),3.54)</f>
        <v>3.54</v>
      </c>
      <c r="D3587" s="1">
        <f>IFERROR(__xludf.DUMMYFUNCTION("""COMPUTED_VALUE"""),3.45)</f>
        <v>3.45</v>
      </c>
      <c r="E3587" s="1">
        <f>IFERROR(__xludf.DUMMYFUNCTION("""COMPUTED_VALUE"""),3.54)</f>
        <v>3.54</v>
      </c>
      <c r="F3587" s="1">
        <f>IFERROR(__xludf.DUMMYFUNCTION("""COMPUTED_VALUE"""),126803.0)</f>
        <v>126803</v>
      </c>
    </row>
    <row r="3588">
      <c r="A3588" s="2">
        <f>IFERROR(__xludf.DUMMYFUNCTION("""COMPUTED_VALUE"""),44372.66666666667)</f>
        <v>44372.66667</v>
      </c>
      <c r="B3588" s="1">
        <f>IFERROR(__xludf.DUMMYFUNCTION("""COMPUTED_VALUE"""),3.54)</f>
        <v>3.54</v>
      </c>
      <c r="C3588" s="1">
        <f>IFERROR(__xludf.DUMMYFUNCTION("""COMPUTED_VALUE"""),3.61)</f>
        <v>3.61</v>
      </c>
      <c r="D3588" s="1">
        <f>IFERROR(__xludf.DUMMYFUNCTION("""COMPUTED_VALUE"""),3.52)</f>
        <v>3.52</v>
      </c>
      <c r="E3588" s="1">
        <f>IFERROR(__xludf.DUMMYFUNCTION("""COMPUTED_VALUE"""),3.6)</f>
        <v>3.6</v>
      </c>
      <c r="F3588" s="1">
        <f>IFERROR(__xludf.DUMMYFUNCTION("""COMPUTED_VALUE"""),781966.0)</f>
        <v>781966</v>
      </c>
    </row>
    <row r="3589">
      <c r="A3589" s="2">
        <f>IFERROR(__xludf.DUMMYFUNCTION("""COMPUTED_VALUE"""),44375.66666666667)</f>
        <v>44375.66667</v>
      </c>
      <c r="B3589" s="1">
        <f>IFERROR(__xludf.DUMMYFUNCTION("""COMPUTED_VALUE"""),3.59)</f>
        <v>3.59</v>
      </c>
      <c r="C3589" s="1">
        <f>IFERROR(__xludf.DUMMYFUNCTION("""COMPUTED_VALUE"""),3.61)</f>
        <v>3.61</v>
      </c>
      <c r="D3589" s="1">
        <f>IFERROR(__xludf.DUMMYFUNCTION("""COMPUTED_VALUE"""),3.5)</f>
        <v>3.5</v>
      </c>
      <c r="E3589" s="1">
        <f>IFERROR(__xludf.DUMMYFUNCTION("""COMPUTED_VALUE"""),3.55)</f>
        <v>3.55</v>
      </c>
      <c r="F3589" s="1">
        <f>IFERROR(__xludf.DUMMYFUNCTION("""COMPUTED_VALUE"""),118787.0)</f>
        <v>118787</v>
      </c>
    </row>
    <row r="3590">
      <c r="A3590" s="2">
        <f>IFERROR(__xludf.DUMMYFUNCTION("""COMPUTED_VALUE"""),44376.66666666667)</f>
        <v>44376.66667</v>
      </c>
      <c r="B3590" s="1">
        <f>IFERROR(__xludf.DUMMYFUNCTION("""COMPUTED_VALUE"""),3.56)</f>
        <v>3.56</v>
      </c>
      <c r="C3590" s="1">
        <f>IFERROR(__xludf.DUMMYFUNCTION("""COMPUTED_VALUE"""),3.57)</f>
        <v>3.57</v>
      </c>
      <c r="D3590" s="1">
        <f>IFERROR(__xludf.DUMMYFUNCTION("""COMPUTED_VALUE"""),3.51)</f>
        <v>3.51</v>
      </c>
      <c r="E3590" s="1">
        <f>IFERROR(__xludf.DUMMYFUNCTION("""COMPUTED_VALUE"""),3.54)</f>
        <v>3.54</v>
      </c>
      <c r="F3590" s="1">
        <f>IFERROR(__xludf.DUMMYFUNCTION("""COMPUTED_VALUE"""),93705.0)</f>
        <v>93705</v>
      </c>
    </row>
    <row r="3591">
      <c r="A3591" s="2">
        <f>IFERROR(__xludf.DUMMYFUNCTION("""COMPUTED_VALUE"""),44377.66666666667)</f>
        <v>44377.66667</v>
      </c>
      <c r="B3591" s="1">
        <f>IFERROR(__xludf.DUMMYFUNCTION("""COMPUTED_VALUE"""),3.52)</f>
        <v>3.52</v>
      </c>
      <c r="C3591" s="1">
        <f>IFERROR(__xludf.DUMMYFUNCTION("""COMPUTED_VALUE"""),3.55)</f>
        <v>3.55</v>
      </c>
      <c r="D3591" s="1">
        <f>IFERROR(__xludf.DUMMYFUNCTION("""COMPUTED_VALUE"""),3.48)</f>
        <v>3.48</v>
      </c>
      <c r="E3591" s="1">
        <f>IFERROR(__xludf.DUMMYFUNCTION("""COMPUTED_VALUE"""),3.52)</f>
        <v>3.52</v>
      </c>
      <c r="F3591" s="1">
        <f>IFERROR(__xludf.DUMMYFUNCTION("""COMPUTED_VALUE"""),218144.0)</f>
        <v>218144</v>
      </c>
    </row>
    <row r="3592">
      <c r="A3592" s="2">
        <f>IFERROR(__xludf.DUMMYFUNCTION("""COMPUTED_VALUE"""),44378.66666666667)</f>
        <v>44378.66667</v>
      </c>
      <c r="B3592" s="1">
        <f>IFERROR(__xludf.DUMMYFUNCTION("""COMPUTED_VALUE"""),3.54)</f>
        <v>3.54</v>
      </c>
      <c r="C3592" s="1">
        <f>IFERROR(__xludf.DUMMYFUNCTION("""COMPUTED_VALUE"""),3.59)</f>
        <v>3.59</v>
      </c>
      <c r="D3592" s="1">
        <f>IFERROR(__xludf.DUMMYFUNCTION("""COMPUTED_VALUE"""),3.5)</f>
        <v>3.5</v>
      </c>
      <c r="E3592" s="1">
        <f>IFERROR(__xludf.DUMMYFUNCTION("""COMPUTED_VALUE"""),3.55)</f>
        <v>3.55</v>
      </c>
      <c r="F3592" s="1">
        <f>IFERROR(__xludf.DUMMYFUNCTION("""COMPUTED_VALUE"""),122920.0)</f>
        <v>122920</v>
      </c>
    </row>
    <row r="3593">
      <c r="A3593" s="2">
        <f>IFERROR(__xludf.DUMMYFUNCTION("""COMPUTED_VALUE"""),44379.66666666667)</f>
        <v>44379.66667</v>
      </c>
      <c r="B3593" s="1">
        <f>IFERROR(__xludf.DUMMYFUNCTION("""COMPUTED_VALUE"""),3.56)</f>
        <v>3.56</v>
      </c>
      <c r="C3593" s="1">
        <f>IFERROR(__xludf.DUMMYFUNCTION("""COMPUTED_VALUE"""),3.59)</f>
        <v>3.59</v>
      </c>
      <c r="D3593" s="1">
        <f>IFERROR(__xludf.DUMMYFUNCTION("""COMPUTED_VALUE"""),3.5)</f>
        <v>3.5</v>
      </c>
      <c r="E3593" s="1">
        <f>IFERROR(__xludf.DUMMYFUNCTION("""COMPUTED_VALUE"""),3.54)</f>
        <v>3.54</v>
      </c>
      <c r="F3593" s="1">
        <f>IFERROR(__xludf.DUMMYFUNCTION("""COMPUTED_VALUE"""),143894.0)</f>
        <v>143894</v>
      </c>
    </row>
    <row r="3594">
      <c r="A3594" s="2">
        <f>IFERROR(__xludf.DUMMYFUNCTION("""COMPUTED_VALUE"""),44383.66666666667)</f>
        <v>44383.66667</v>
      </c>
      <c r="B3594" s="1">
        <f>IFERROR(__xludf.DUMMYFUNCTION("""COMPUTED_VALUE"""),3.54)</f>
        <v>3.54</v>
      </c>
      <c r="C3594" s="1">
        <f>IFERROR(__xludf.DUMMYFUNCTION("""COMPUTED_VALUE"""),3.54)</f>
        <v>3.54</v>
      </c>
      <c r="D3594" s="1">
        <f>IFERROR(__xludf.DUMMYFUNCTION("""COMPUTED_VALUE"""),3.46)</f>
        <v>3.46</v>
      </c>
      <c r="E3594" s="1">
        <f>IFERROR(__xludf.DUMMYFUNCTION("""COMPUTED_VALUE"""),3.46)</f>
        <v>3.46</v>
      </c>
      <c r="F3594" s="1">
        <f>IFERROR(__xludf.DUMMYFUNCTION("""COMPUTED_VALUE"""),142169.0)</f>
        <v>142169</v>
      </c>
    </row>
    <row r="3595">
      <c r="A3595" s="2">
        <f>IFERROR(__xludf.DUMMYFUNCTION("""COMPUTED_VALUE"""),44384.66666666667)</f>
        <v>44384.66667</v>
      </c>
      <c r="B3595" s="1">
        <f>IFERROR(__xludf.DUMMYFUNCTION("""COMPUTED_VALUE"""),3.46)</f>
        <v>3.46</v>
      </c>
      <c r="C3595" s="1">
        <f>IFERROR(__xludf.DUMMYFUNCTION("""COMPUTED_VALUE"""),3.51)</f>
        <v>3.51</v>
      </c>
      <c r="D3595" s="1">
        <f>IFERROR(__xludf.DUMMYFUNCTION("""COMPUTED_VALUE"""),3.4)</f>
        <v>3.4</v>
      </c>
      <c r="E3595" s="1">
        <f>IFERROR(__xludf.DUMMYFUNCTION("""COMPUTED_VALUE"""),3.43)</f>
        <v>3.43</v>
      </c>
      <c r="F3595" s="1">
        <f>IFERROR(__xludf.DUMMYFUNCTION("""COMPUTED_VALUE"""),146635.0)</f>
        <v>146635</v>
      </c>
    </row>
    <row r="3596">
      <c r="A3596" s="2">
        <f>IFERROR(__xludf.DUMMYFUNCTION("""COMPUTED_VALUE"""),44385.66666666667)</f>
        <v>44385.66667</v>
      </c>
      <c r="B3596" s="1">
        <f>IFERROR(__xludf.DUMMYFUNCTION("""COMPUTED_VALUE"""),3.4)</f>
        <v>3.4</v>
      </c>
      <c r="C3596" s="1">
        <f>IFERROR(__xludf.DUMMYFUNCTION("""COMPUTED_VALUE"""),3.45)</f>
        <v>3.45</v>
      </c>
      <c r="D3596" s="1">
        <f>IFERROR(__xludf.DUMMYFUNCTION("""COMPUTED_VALUE"""),3.33)</f>
        <v>3.33</v>
      </c>
      <c r="E3596" s="1">
        <f>IFERROR(__xludf.DUMMYFUNCTION("""COMPUTED_VALUE"""),3.38)</f>
        <v>3.38</v>
      </c>
      <c r="F3596" s="1">
        <f>IFERROR(__xludf.DUMMYFUNCTION("""COMPUTED_VALUE"""),140618.0)</f>
        <v>140618</v>
      </c>
    </row>
    <row r="3597">
      <c r="A3597" s="2">
        <f>IFERROR(__xludf.DUMMYFUNCTION("""COMPUTED_VALUE"""),44386.66666666667)</f>
        <v>44386.66667</v>
      </c>
      <c r="B3597" s="1">
        <f>IFERROR(__xludf.DUMMYFUNCTION("""COMPUTED_VALUE"""),3.43)</f>
        <v>3.43</v>
      </c>
      <c r="C3597" s="1">
        <f>IFERROR(__xludf.DUMMYFUNCTION("""COMPUTED_VALUE"""),3.49)</f>
        <v>3.49</v>
      </c>
      <c r="D3597" s="1">
        <f>IFERROR(__xludf.DUMMYFUNCTION("""COMPUTED_VALUE"""),3.41)</f>
        <v>3.41</v>
      </c>
      <c r="E3597" s="1">
        <f>IFERROR(__xludf.DUMMYFUNCTION("""COMPUTED_VALUE"""),3.46)</f>
        <v>3.46</v>
      </c>
      <c r="F3597" s="1">
        <f>IFERROR(__xludf.DUMMYFUNCTION("""COMPUTED_VALUE"""),384922.0)</f>
        <v>384922</v>
      </c>
    </row>
    <row r="3598">
      <c r="A3598" s="2">
        <f>IFERROR(__xludf.DUMMYFUNCTION("""COMPUTED_VALUE"""),44389.66666666667)</f>
        <v>44389.66667</v>
      </c>
      <c r="B3598" s="1">
        <f>IFERROR(__xludf.DUMMYFUNCTION("""COMPUTED_VALUE"""),3.48)</f>
        <v>3.48</v>
      </c>
      <c r="C3598" s="1">
        <f>IFERROR(__xludf.DUMMYFUNCTION("""COMPUTED_VALUE"""),3.48)</f>
        <v>3.48</v>
      </c>
      <c r="D3598" s="1">
        <f>IFERROR(__xludf.DUMMYFUNCTION("""COMPUTED_VALUE"""),3.35)</f>
        <v>3.35</v>
      </c>
      <c r="E3598" s="1">
        <f>IFERROR(__xludf.DUMMYFUNCTION("""COMPUTED_VALUE"""),3.36)</f>
        <v>3.36</v>
      </c>
      <c r="F3598" s="1">
        <f>IFERROR(__xludf.DUMMYFUNCTION("""COMPUTED_VALUE"""),165802.0)</f>
        <v>165802</v>
      </c>
    </row>
    <row r="3599">
      <c r="A3599" s="2">
        <f>IFERROR(__xludf.DUMMYFUNCTION("""COMPUTED_VALUE"""),44390.66666666667)</f>
        <v>44390.66667</v>
      </c>
      <c r="B3599" s="1">
        <f>IFERROR(__xludf.DUMMYFUNCTION("""COMPUTED_VALUE"""),3.35)</f>
        <v>3.35</v>
      </c>
      <c r="C3599" s="1">
        <f>IFERROR(__xludf.DUMMYFUNCTION("""COMPUTED_VALUE"""),3.35)</f>
        <v>3.35</v>
      </c>
      <c r="D3599" s="1">
        <f>IFERROR(__xludf.DUMMYFUNCTION("""COMPUTED_VALUE"""),3.29)</f>
        <v>3.29</v>
      </c>
      <c r="E3599" s="1">
        <f>IFERROR(__xludf.DUMMYFUNCTION("""COMPUTED_VALUE"""),3.3)</f>
        <v>3.3</v>
      </c>
      <c r="F3599" s="1">
        <f>IFERROR(__xludf.DUMMYFUNCTION("""COMPUTED_VALUE"""),229510.0)</f>
        <v>229510</v>
      </c>
    </row>
    <row r="3600">
      <c r="A3600" s="2">
        <f>IFERROR(__xludf.DUMMYFUNCTION("""COMPUTED_VALUE"""),44391.66666666667)</f>
        <v>44391.66667</v>
      </c>
      <c r="B3600" s="1">
        <f>IFERROR(__xludf.DUMMYFUNCTION("""COMPUTED_VALUE"""),3.32)</f>
        <v>3.32</v>
      </c>
      <c r="C3600" s="1">
        <f>IFERROR(__xludf.DUMMYFUNCTION("""COMPUTED_VALUE"""),3.46)</f>
        <v>3.46</v>
      </c>
      <c r="D3600" s="1">
        <f>IFERROR(__xludf.DUMMYFUNCTION("""COMPUTED_VALUE"""),3.3)</f>
        <v>3.3</v>
      </c>
      <c r="E3600" s="1">
        <f>IFERROR(__xludf.DUMMYFUNCTION("""COMPUTED_VALUE"""),3.45)</f>
        <v>3.45</v>
      </c>
      <c r="F3600" s="1">
        <f>IFERROR(__xludf.DUMMYFUNCTION("""COMPUTED_VALUE"""),255968.0)</f>
        <v>255968</v>
      </c>
    </row>
    <row r="3601">
      <c r="A3601" s="2">
        <f>IFERROR(__xludf.DUMMYFUNCTION("""COMPUTED_VALUE"""),44392.66666666667)</f>
        <v>44392.66667</v>
      </c>
      <c r="B3601" s="1">
        <f>IFERROR(__xludf.DUMMYFUNCTION("""COMPUTED_VALUE"""),3.44)</f>
        <v>3.44</v>
      </c>
      <c r="C3601" s="1">
        <f>IFERROR(__xludf.DUMMYFUNCTION("""COMPUTED_VALUE"""),3.47)</f>
        <v>3.47</v>
      </c>
      <c r="D3601" s="1">
        <f>IFERROR(__xludf.DUMMYFUNCTION("""COMPUTED_VALUE"""),3.4)</f>
        <v>3.4</v>
      </c>
      <c r="E3601" s="1">
        <f>IFERROR(__xludf.DUMMYFUNCTION("""COMPUTED_VALUE"""),3.46)</f>
        <v>3.46</v>
      </c>
      <c r="F3601" s="1">
        <f>IFERROR(__xludf.DUMMYFUNCTION("""COMPUTED_VALUE"""),265675.0)</f>
        <v>265675</v>
      </c>
    </row>
    <row r="3602">
      <c r="A3602" s="2">
        <f>IFERROR(__xludf.DUMMYFUNCTION("""COMPUTED_VALUE"""),44393.66666666667)</f>
        <v>44393.66667</v>
      </c>
      <c r="B3602" s="1">
        <f>IFERROR(__xludf.DUMMYFUNCTION("""COMPUTED_VALUE"""),3.48)</f>
        <v>3.48</v>
      </c>
      <c r="C3602" s="1">
        <f>IFERROR(__xludf.DUMMYFUNCTION("""COMPUTED_VALUE"""),3.49)</f>
        <v>3.49</v>
      </c>
      <c r="D3602" s="1">
        <f>IFERROR(__xludf.DUMMYFUNCTION("""COMPUTED_VALUE"""),3.4)</f>
        <v>3.4</v>
      </c>
      <c r="E3602" s="1">
        <f>IFERROR(__xludf.DUMMYFUNCTION("""COMPUTED_VALUE"""),3.41)</f>
        <v>3.41</v>
      </c>
      <c r="F3602" s="1">
        <f>IFERROR(__xludf.DUMMYFUNCTION("""COMPUTED_VALUE"""),267566.0)</f>
        <v>267566</v>
      </c>
    </row>
    <row r="3603">
      <c r="A3603" s="2">
        <f>IFERROR(__xludf.DUMMYFUNCTION("""COMPUTED_VALUE"""),44396.66666666667)</f>
        <v>44396.66667</v>
      </c>
      <c r="B3603" s="1">
        <f>IFERROR(__xludf.DUMMYFUNCTION("""COMPUTED_VALUE"""),3.35)</f>
        <v>3.35</v>
      </c>
      <c r="C3603" s="1">
        <f>IFERROR(__xludf.DUMMYFUNCTION("""COMPUTED_VALUE"""),3.5)</f>
        <v>3.5</v>
      </c>
      <c r="D3603" s="1">
        <f>IFERROR(__xludf.DUMMYFUNCTION("""COMPUTED_VALUE"""),3.35)</f>
        <v>3.35</v>
      </c>
      <c r="E3603" s="1">
        <f>IFERROR(__xludf.DUMMYFUNCTION("""COMPUTED_VALUE"""),3.49)</f>
        <v>3.49</v>
      </c>
      <c r="F3603" s="1">
        <f>IFERROR(__xludf.DUMMYFUNCTION("""COMPUTED_VALUE"""),297907.0)</f>
        <v>297907</v>
      </c>
    </row>
    <row r="3604">
      <c r="A3604" s="2">
        <f>IFERROR(__xludf.DUMMYFUNCTION("""COMPUTED_VALUE"""),44397.66666666667)</f>
        <v>44397.66667</v>
      </c>
      <c r="B3604" s="1">
        <f>IFERROR(__xludf.DUMMYFUNCTION("""COMPUTED_VALUE"""),3.51)</f>
        <v>3.51</v>
      </c>
      <c r="C3604" s="1">
        <f>IFERROR(__xludf.DUMMYFUNCTION("""COMPUTED_VALUE"""),3.59)</f>
        <v>3.59</v>
      </c>
      <c r="D3604" s="1">
        <f>IFERROR(__xludf.DUMMYFUNCTION("""COMPUTED_VALUE"""),3.48)</f>
        <v>3.48</v>
      </c>
      <c r="E3604" s="1">
        <f>IFERROR(__xludf.DUMMYFUNCTION("""COMPUTED_VALUE"""),3.48)</f>
        <v>3.48</v>
      </c>
      <c r="F3604" s="1">
        <f>IFERROR(__xludf.DUMMYFUNCTION("""COMPUTED_VALUE"""),248283.0)</f>
        <v>248283</v>
      </c>
    </row>
    <row r="3605">
      <c r="A3605" s="2">
        <f>IFERROR(__xludf.DUMMYFUNCTION("""COMPUTED_VALUE"""),44398.66666666667)</f>
        <v>44398.66667</v>
      </c>
      <c r="B3605" s="1">
        <f>IFERROR(__xludf.DUMMYFUNCTION("""COMPUTED_VALUE"""),3.49)</f>
        <v>3.49</v>
      </c>
      <c r="C3605" s="1">
        <f>IFERROR(__xludf.DUMMYFUNCTION("""COMPUTED_VALUE"""),3.54)</f>
        <v>3.54</v>
      </c>
      <c r="D3605" s="1">
        <f>IFERROR(__xludf.DUMMYFUNCTION("""COMPUTED_VALUE"""),3.46)</f>
        <v>3.46</v>
      </c>
      <c r="E3605" s="1">
        <f>IFERROR(__xludf.DUMMYFUNCTION("""COMPUTED_VALUE"""),3.51)</f>
        <v>3.51</v>
      </c>
      <c r="F3605" s="1">
        <f>IFERROR(__xludf.DUMMYFUNCTION("""COMPUTED_VALUE"""),131063.0)</f>
        <v>131063</v>
      </c>
    </row>
    <row r="3606">
      <c r="A3606" s="2">
        <f>IFERROR(__xludf.DUMMYFUNCTION("""COMPUTED_VALUE"""),44399.66666666667)</f>
        <v>44399.66667</v>
      </c>
      <c r="B3606" s="1">
        <f>IFERROR(__xludf.DUMMYFUNCTION("""COMPUTED_VALUE"""),3.49)</f>
        <v>3.49</v>
      </c>
      <c r="C3606" s="1">
        <f>IFERROR(__xludf.DUMMYFUNCTION("""COMPUTED_VALUE"""),3.51)</f>
        <v>3.51</v>
      </c>
      <c r="D3606" s="1">
        <f>IFERROR(__xludf.DUMMYFUNCTION("""COMPUTED_VALUE"""),3.43)</f>
        <v>3.43</v>
      </c>
      <c r="E3606" s="1">
        <f>IFERROR(__xludf.DUMMYFUNCTION("""COMPUTED_VALUE"""),3.44)</f>
        <v>3.44</v>
      </c>
      <c r="F3606" s="1">
        <f>IFERROR(__xludf.DUMMYFUNCTION("""COMPUTED_VALUE"""),94538.0)</f>
        <v>94538</v>
      </c>
    </row>
    <row r="3607">
      <c r="A3607" s="2">
        <f>IFERROR(__xludf.DUMMYFUNCTION("""COMPUTED_VALUE"""),44400.66666666667)</f>
        <v>44400.66667</v>
      </c>
      <c r="B3607" s="1">
        <f>IFERROR(__xludf.DUMMYFUNCTION("""COMPUTED_VALUE"""),3.45)</f>
        <v>3.45</v>
      </c>
      <c r="C3607" s="1">
        <f>IFERROR(__xludf.DUMMYFUNCTION("""COMPUTED_VALUE"""),3.51)</f>
        <v>3.51</v>
      </c>
      <c r="D3607" s="1">
        <f>IFERROR(__xludf.DUMMYFUNCTION("""COMPUTED_VALUE"""),3.43)</f>
        <v>3.43</v>
      </c>
      <c r="E3607" s="1">
        <f>IFERROR(__xludf.DUMMYFUNCTION("""COMPUTED_VALUE"""),3.51)</f>
        <v>3.51</v>
      </c>
      <c r="F3607" s="1">
        <f>IFERROR(__xludf.DUMMYFUNCTION("""COMPUTED_VALUE"""),69507.0)</f>
        <v>69507</v>
      </c>
    </row>
    <row r="3608">
      <c r="A3608" s="2">
        <f>IFERROR(__xludf.DUMMYFUNCTION("""COMPUTED_VALUE"""),44403.66666666667)</f>
        <v>44403.66667</v>
      </c>
      <c r="B3608" s="1">
        <f>IFERROR(__xludf.DUMMYFUNCTION("""COMPUTED_VALUE"""),3.52)</f>
        <v>3.52</v>
      </c>
      <c r="C3608" s="1">
        <f>IFERROR(__xludf.DUMMYFUNCTION("""COMPUTED_VALUE"""),3.57)</f>
        <v>3.57</v>
      </c>
      <c r="D3608" s="1">
        <f>IFERROR(__xludf.DUMMYFUNCTION("""COMPUTED_VALUE"""),3.51)</f>
        <v>3.51</v>
      </c>
      <c r="E3608" s="1">
        <f>IFERROR(__xludf.DUMMYFUNCTION("""COMPUTED_VALUE"""),3.53)</f>
        <v>3.53</v>
      </c>
      <c r="F3608" s="1">
        <f>IFERROR(__xludf.DUMMYFUNCTION("""COMPUTED_VALUE"""),99249.0)</f>
        <v>99249</v>
      </c>
    </row>
    <row r="3609">
      <c r="A3609" s="2">
        <f>IFERROR(__xludf.DUMMYFUNCTION("""COMPUTED_VALUE"""),44404.66666666667)</f>
        <v>44404.66667</v>
      </c>
      <c r="B3609" s="1">
        <f>IFERROR(__xludf.DUMMYFUNCTION("""COMPUTED_VALUE"""),3.51)</f>
        <v>3.51</v>
      </c>
      <c r="C3609" s="1">
        <f>IFERROR(__xludf.DUMMYFUNCTION("""COMPUTED_VALUE"""),3.51)</f>
        <v>3.51</v>
      </c>
      <c r="D3609" s="1">
        <f>IFERROR(__xludf.DUMMYFUNCTION("""COMPUTED_VALUE"""),3.44)</f>
        <v>3.44</v>
      </c>
      <c r="E3609" s="1">
        <f>IFERROR(__xludf.DUMMYFUNCTION("""COMPUTED_VALUE"""),3.5)</f>
        <v>3.5</v>
      </c>
      <c r="F3609" s="1">
        <f>IFERROR(__xludf.DUMMYFUNCTION("""COMPUTED_VALUE"""),116096.0)</f>
        <v>116096</v>
      </c>
    </row>
    <row r="3610">
      <c r="A3610" s="2">
        <f>IFERROR(__xludf.DUMMYFUNCTION("""COMPUTED_VALUE"""),44405.66666666667)</f>
        <v>44405.66667</v>
      </c>
      <c r="B3610" s="1">
        <f>IFERROR(__xludf.DUMMYFUNCTION("""COMPUTED_VALUE"""),3.49)</f>
        <v>3.49</v>
      </c>
      <c r="C3610" s="1">
        <f>IFERROR(__xludf.DUMMYFUNCTION("""COMPUTED_VALUE"""),3.6)</f>
        <v>3.6</v>
      </c>
      <c r="D3610" s="1">
        <f>IFERROR(__xludf.DUMMYFUNCTION("""COMPUTED_VALUE"""),3.49)</f>
        <v>3.49</v>
      </c>
      <c r="E3610" s="1">
        <f>IFERROR(__xludf.DUMMYFUNCTION("""COMPUTED_VALUE"""),3.57)</f>
        <v>3.57</v>
      </c>
      <c r="F3610" s="1">
        <f>IFERROR(__xludf.DUMMYFUNCTION("""COMPUTED_VALUE"""),118188.0)</f>
        <v>118188</v>
      </c>
    </row>
    <row r="3611">
      <c r="A3611" s="2">
        <f>IFERROR(__xludf.DUMMYFUNCTION("""COMPUTED_VALUE"""),44406.66666666667)</f>
        <v>44406.66667</v>
      </c>
      <c r="B3611" s="1">
        <f>IFERROR(__xludf.DUMMYFUNCTION("""COMPUTED_VALUE"""),3.6)</f>
        <v>3.6</v>
      </c>
      <c r="C3611" s="1">
        <f>IFERROR(__xludf.DUMMYFUNCTION("""COMPUTED_VALUE"""),3.75)</f>
        <v>3.75</v>
      </c>
      <c r="D3611" s="1">
        <f>IFERROR(__xludf.DUMMYFUNCTION("""COMPUTED_VALUE"""),3.58)</f>
        <v>3.58</v>
      </c>
      <c r="E3611" s="1">
        <f>IFERROR(__xludf.DUMMYFUNCTION("""COMPUTED_VALUE"""),3.74)</f>
        <v>3.74</v>
      </c>
      <c r="F3611" s="1">
        <f>IFERROR(__xludf.DUMMYFUNCTION("""COMPUTED_VALUE"""),188789.0)</f>
        <v>188789</v>
      </c>
    </row>
    <row r="3612">
      <c r="A3612" s="2">
        <f>IFERROR(__xludf.DUMMYFUNCTION("""COMPUTED_VALUE"""),44407.66666666667)</f>
        <v>44407.66667</v>
      </c>
      <c r="B3612" s="1">
        <f>IFERROR(__xludf.DUMMYFUNCTION("""COMPUTED_VALUE"""),3.73)</f>
        <v>3.73</v>
      </c>
      <c r="C3612" s="1">
        <f>IFERROR(__xludf.DUMMYFUNCTION("""COMPUTED_VALUE"""),3.82)</f>
        <v>3.82</v>
      </c>
      <c r="D3612" s="1">
        <f>IFERROR(__xludf.DUMMYFUNCTION("""COMPUTED_VALUE"""),3.69)</f>
        <v>3.69</v>
      </c>
      <c r="E3612" s="1">
        <f>IFERROR(__xludf.DUMMYFUNCTION("""COMPUTED_VALUE"""),3.8)</f>
        <v>3.8</v>
      </c>
      <c r="F3612" s="1">
        <f>IFERROR(__xludf.DUMMYFUNCTION("""COMPUTED_VALUE"""),186929.0)</f>
        <v>186929</v>
      </c>
    </row>
    <row r="3613">
      <c r="A3613" s="2">
        <f>IFERROR(__xludf.DUMMYFUNCTION("""COMPUTED_VALUE"""),44410.66666666667)</f>
        <v>44410.66667</v>
      </c>
      <c r="B3613" s="1">
        <f>IFERROR(__xludf.DUMMYFUNCTION("""COMPUTED_VALUE"""),3.81)</f>
        <v>3.81</v>
      </c>
      <c r="C3613" s="1">
        <f>IFERROR(__xludf.DUMMYFUNCTION("""COMPUTED_VALUE"""),3.86)</f>
        <v>3.86</v>
      </c>
      <c r="D3613" s="1">
        <f>IFERROR(__xludf.DUMMYFUNCTION("""COMPUTED_VALUE"""),3.73)</f>
        <v>3.73</v>
      </c>
      <c r="E3613" s="1">
        <f>IFERROR(__xludf.DUMMYFUNCTION("""COMPUTED_VALUE"""),3.75)</f>
        <v>3.75</v>
      </c>
      <c r="F3613" s="1">
        <f>IFERROR(__xludf.DUMMYFUNCTION("""COMPUTED_VALUE"""),177493.0)</f>
        <v>177493</v>
      </c>
    </row>
    <row r="3614">
      <c r="A3614" s="2">
        <f>IFERROR(__xludf.DUMMYFUNCTION("""COMPUTED_VALUE"""),44411.66666666667)</f>
        <v>44411.66667</v>
      </c>
      <c r="B3614" s="1">
        <f>IFERROR(__xludf.DUMMYFUNCTION("""COMPUTED_VALUE"""),3.74)</f>
        <v>3.74</v>
      </c>
      <c r="C3614" s="1">
        <f>IFERROR(__xludf.DUMMYFUNCTION("""COMPUTED_VALUE"""),3.85)</f>
        <v>3.85</v>
      </c>
      <c r="D3614" s="1">
        <f>IFERROR(__xludf.DUMMYFUNCTION("""COMPUTED_VALUE"""),3.72)</f>
        <v>3.72</v>
      </c>
      <c r="E3614" s="1">
        <f>IFERROR(__xludf.DUMMYFUNCTION("""COMPUTED_VALUE"""),3.79)</f>
        <v>3.79</v>
      </c>
      <c r="F3614" s="1">
        <f>IFERROR(__xludf.DUMMYFUNCTION("""COMPUTED_VALUE"""),136345.0)</f>
        <v>136345</v>
      </c>
    </row>
    <row r="3615">
      <c r="A3615" s="2">
        <f>IFERROR(__xludf.DUMMYFUNCTION("""COMPUTED_VALUE"""),44412.66666666667)</f>
        <v>44412.66667</v>
      </c>
      <c r="B3615" s="1">
        <f>IFERROR(__xludf.DUMMYFUNCTION("""COMPUTED_VALUE"""),3.76)</f>
        <v>3.76</v>
      </c>
      <c r="C3615" s="1">
        <f>IFERROR(__xludf.DUMMYFUNCTION("""COMPUTED_VALUE"""),3.84)</f>
        <v>3.84</v>
      </c>
      <c r="D3615" s="1">
        <f>IFERROR(__xludf.DUMMYFUNCTION("""COMPUTED_VALUE"""),3.76)</f>
        <v>3.76</v>
      </c>
      <c r="E3615" s="1">
        <f>IFERROR(__xludf.DUMMYFUNCTION("""COMPUTED_VALUE"""),3.78)</f>
        <v>3.78</v>
      </c>
      <c r="F3615" s="1">
        <f>IFERROR(__xludf.DUMMYFUNCTION("""COMPUTED_VALUE"""),193394.0)</f>
        <v>193394</v>
      </c>
    </row>
    <row r="3616">
      <c r="A3616" s="2">
        <f>IFERROR(__xludf.DUMMYFUNCTION("""COMPUTED_VALUE"""),44413.66666666667)</f>
        <v>44413.66667</v>
      </c>
      <c r="B3616" s="1">
        <f>IFERROR(__xludf.DUMMYFUNCTION("""COMPUTED_VALUE"""),3.8)</f>
        <v>3.8</v>
      </c>
      <c r="C3616" s="1">
        <f>IFERROR(__xludf.DUMMYFUNCTION("""COMPUTED_VALUE"""),3.87)</f>
        <v>3.87</v>
      </c>
      <c r="D3616" s="1">
        <f>IFERROR(__xludf.DUMMYFUNCTION("""COMPUTED_VALUE"""),3.8)</f>
        <v>3.8</v>
      </c>
      <c r="E3616" s="1">
        <f>IFERROR(__xludf.DUMMYFUNCTION("""COMPUTED_VALUE"""),3.86)</f>
        <v>3.86</v>
      </c>
      <c r="F3616" s="1">
        <f>IFERROR(__xludf.DUMMYFUNCTION("""COMPUTED_VALUE"""),195143.0)</f>
        <v>195143</v>
      </c>
    </row>
    <row r="3617">
      <c r="A3617" s="2">
        <f>IFERROR(__xludf.DUMMYFUNCTION("""COMPUTED_VALUE"""),44414.66666666667)</f>
        <v>44414.66667</v>
      </c>
      <c r="B3617" s="1">
        <f>IFERROR(__xludf.DUMMYFUNCTION("""COMPUTED_VALUE"""),3.88)</f>
        <v>3.88</v>
      </c>
      <c r="C3617" s="1">
        <f>IFERROR(__xludf.DUMMYFUNCTION("""COMPUTED_VALUE"""),3.94)</f>
        <v>3.94</v>
      </c>
      <c r="D3617" s="1">
        <f>IFERROR(__xludf.DUMMYFUNCTION("""COMPUTED_VALUE"""),3.85)</f>
        <v>3.85</v>
      </c>
      <c r="E3617" s="1">
        <f>IFERROR(__xludf.DUMMYFUNCTION("""COMPUTED_VALUE"""),3.9)</f>
        <v>3.9</v>
      </c>
      <c r="F3617" s="1">
        <f>IFERROR(__xludf.DUMMYFUNCTION("""COMPUTED_VALUE"""),196271.0)</f>
        <v>196271</v>
      </c>
    </row>
    <row r="3618">
      <c r="A3618" s="2">
        <f>IFERROR(__xludf.DUMMYFUNCTION("""COMPUTED_VALUE"""),44417.66666666667)</f>
        <v>44417.66667</v>
      </c>
      <c r="B3618" s="1">
        <f>IFERROR(__xludf.DUMMYFUNCTION("""COMPUTED_VALUE"""),3.92)</f>
        <v>3.92</v>
      </c>
      <c r="C3618" s="1">
        <f>IFERROR(__xludf.DUMMYFUNCTION("""COMPUTED_VALUE"""),3.94)</f>
        <v>3.94</v>
      </c>
      <c r="D3618" s="1">
        <f>IFERROR(__xludf.DUMMYFUNCTION("""COMPUTED_VALUE"""),3.84)</f>
        <v>3.84</v>
      </c>
      <c r="E3618" s="1">
        <f>IFERROR(__xludf.DUMMYFUNCTION("""COMPUTED_VALUE"""),3.89)</f>
        <v>3.89</v>
      </c>
      <c r="F3618" s="1">
        <f>IFERROR(__xludf.DUMMYFUNCTION("""COMPUTED_VALUE"""),298093.0)</f>
        <v>298093</v>
      </c>
    </row>
    <row r="3619">
      <c r="A3619" s="2">
        <f>IFERROR(__xludf.DUMMYFUNCTION("""COMPUTED_VALUE"""),44418.66666666667)</f>
        <v>44418.66667</v>
      </c>
      <c r="B3619" s="1">
        <f>IFERROR(__xludf.DUMMYFUNCTION("""COMPUTED_VALUE"""),3.9)</f>
        <v>3.9</v>
      </c>
      <c r="C3619" s="1">
        <f>IFERROR(__xludf.DUMMYFUNCTION("""COMPUTED_VALUE"""),3.94)</f>
        <v>3.94</v>
      </c>
      <c r="D3619" s="1">
        <f>IFERROR(__xludf.DUMMYFUNCTION("""COMPUTED_VALUE"""),3.83)</f>
        <v>3.83</v>
      </c>
      <c r="E3619" s="1">
        <f>IFERROR(__xludf.DUMMYFUNCTION("""COMPUTED_VALUE"""),3.86)</f>
        <v>3.86</v>
      </c>
      <c r="F3619" s="1">
        <f>IFERROR(__xludf.DUMMYFUNCTION("""COMPUTED_VALUE"""),237530.0)</f>
        <v>237530</v>
      </c>
    </row>
    <row r="3620">
      <c r="A3620" s="2">
        <f>IFERROR(__xludf.DUMMYFUNCTION("""COMPUTED_VALUE"""),44419.66666666667)</f>
        <v>44419.66667</v>
      </c>
      <c r="B3620" s="1">
        <f>IFERROR(__xludf.DUMMYFUNCTION("""COMPUTED_VALUE"""),3.95)</f>
        <v>3.95</v>
      </c>
      <c r="C3620" s="1">
        <f>IFERROR(__xludf.DUMMYFUNCTION("""COMPUTED_VALUE"""),3.96)</f>
        <v>3.96</v>
      </c>
      <c r="D3620" s="1">
        <f>IFERROR(__xludf.DUMMYFUNCTION("""COMPUTED_VALUE"""),3.81)</f>
        <v>3.81</v>
      </c>
      <c r="E3620" s="1">
        <f>IFERROR(__xludf.DUMMYFUNCTION("""COMPUTED_VALUE"""),3.88)</f>
        <v>3.88</v>
      </c>
      <c r="F3620" s="1">
        <f>IFERROR(__xludf.DUMMYFUNCTION("""COMPUTED_VALUE"""),361774.0)</f>
        <v>361774</v>
      </c>
    </row>
    <row r="3621">
      <c r="A3621" s="2">
        <f>IFERROR(__xludf.DUMMYFUNCTION("""COMPUTED_VALUE"""),44420.66666666667)</f>
        <v>44420.66667</v>
      </c>
      <c r="B3621" s="1">
        <f>IFERROR(__xludf.DUMMYFUNCTION("""COMPUTED_VALUE"""),3.87)</f>
        <v>3.87</v>
      </c>
      <c r="C3621" s="1">
        <f>IFERROR(__xludf.DUMMYFUNCTION("""COMPUTED_VALUE"""),3.93)</f>
        <v>3.93</v>
      </c>
      <c r="D3621" s="1">
        <f>IFERROR(__xludf.DUMMYFUNCTION("""COMPUTED_VALUE"""),3.8)</f>
        <v>3.8</v>
      </c>
      <c r="E3621" s="1">
        <f>IFERROR(__xludf.DUMMYFUNCTION("""COMPUTED_VALUE"""),3.83)</f>
        <v>3.83</v>
      </c>
      <c r="F3621" s="1">
        <f>IFERROR(__xludf.DUMMYFUNCTION("""COMPUTED_VALUE"""),321948.0)</f>
        <v>321948</v>
      </c>
    </row>
    <row r="3622">
      <c r="A3622" s="2">
        <f>IFERROR(__xludf.DUMMYFUNCTION("""COMPUTED_VALUE"""),44421.66666666667)</f>
        <v>44421.66667</v>
      </c>
      <c r="B3622" s="1">
        <f>IFERROR(__xludf.DUMMYFUNCTION("""COMPUTED_VALUE"""),3.8)</f>
        <v>3.8</v>
      </c>
      <c r="C3622" s="1">
        <f>IFERROR(__xludf.DUMMYFUNCTION("""COMPUTED_VALUE"""),3.82)</f>
        <v>3.82</v>
      </c>
      <c r="D3622" s="1">
        <f>IFERROR(__xludf.DUMMYFUNCTION("""COMPUTED_VALUE"""),3.62)</f>
        <v>3.62</v>
      </c>
      <c r="E3622" s="1">
        <f>IFERROR(__xludf.DUMMYFUNCTION("""COMPUTED_VALUE"""),3.63)</f>
        <v>3.63</v>
      </c>
      <c r="F3622" s="1">
        <f>IFERROR(__xludf.DUMMYFUNCTION("""COMPUTED_VALUE"""),303552.0)</f>
        <v>303552</v>
      </c>
    </row>
    <row r="3623">
      <c r="A3623" s="2">
        <f>IFERROR(__xludf.DUMMYFUNCTION("""COMPUTED_VALUE"""),44424.66666666667)</f>
        <v>44424.66667</v>
      </c>
      <c r="B3623" s="1">
        <f>IFERROR(__xludf.DUMMYFUNCTION("""COMPUTED_VALUE"""),3.63)</f>
        <v>3.63</v>
      </c>
      <c r="C3623" s="1">
        <f>IFERROR(__xludf.DUMMYFUNCTION("""COMPUTED_VALUE"""),3.71)</f>
        <v>3.71</v>
      </c>
      <c r="D3623" s="1">
        <f>IFERROR(__xludf.DUMMYFUNCTION("""COMPUTED_VALUE"""),3.57)</f>
        <v>3.57</v>
      </c>
      <c r="E3623" s="1">
        <f>IFERROR(__xludf.DUMMYFUNCTION("""COMPUTED_VALUE"""),3.71)</f>
        <v>3.71</v>
      </c>
      <c r="F3623" s="1">
        <f>IFERROR(__xludf.DUMMYFUNCTION("""COMPUTED_VALUE"""),251049.0)</f>
        <v>251049</v>
      </c>
    </row>
    <row r="3624">
      <c r="A3624" s="2">
        <f>IFERROR(__xludf.DUMMYFUNCTION("""COMPUTED_VALUE"""),44425.66666666667)</f>
        <v>44425.66667</v>
      </c>
      <c r="B3624" s="1">
        <f>IFERROR(__xludf.DUMMYFUNCTION("""COMPUTED_VALUE"""),3.69)</f>
        <v>3.69</v>
      </c>
      <c r="C3624" s="1">
        <f>IFERROR(__xludf.DUMMYFUNCTION("""COMPUTED_VALUE"""),3.7)</f>
        <v>3.7</v>
      </c>
      <c r="D3624" s="1">
        <f>IFERROR(__xludf.DUMMYFUNCTION("""COMPUTED_VALUE"""),3.61)</f>
        <v>3.61</v>
      </c>
      <c r="E3624" s="1">
        <f>IFERROR(__xludf.DUMMYFUNCTION("""COMPUTED_VALUE"""),3.66)</f>
        <v>3.66</v>
      </c>
      <c r="F3624" s="1">
        <f>IFERROR(__xludf.DUMMYFUNCTION("""COMPUTED_VALUE"""),203742.0)</f>
        <v>203742</v>
      </c>
    </row>
    <row r="3625">
      <c r="A3625" s="2">
        <f>IFERROR(__xludf.DUMMYFUNCTION("""COMPUTED_VALUE"""),44426.66666666667)</f>
        <v>44426.66667</v>
      </c>
      <c r="B3625" s="1">
        <f>IFERROR(__xludf.DUMMYFUNCTION("""COMPUTED_VALUE"""),3.64)</f>
        <v>3.64</v>
      </c>
      <c r="C3625" s="1">
        <f>IFERROR(__xludf.DUMMYFUNCTION("""COMPUTED_VALUE"""),3.66)</f>
        <v>3.66</v>
      </c>
      <c r="D3625" s="1">
        <f>IFERROR(__xludf.DUMMYFUNCTION("""COMPUTED_VALUE"""),3.55)</f>
        <v>3.55</v>
      </c>
      <c r="E3625" s="1">
        <f>IFERROR(__xludf.DUMMYFUNCTION("""COMPUTED_VALUE"""),3.56)</f>
        <v>3.56</v>
      </c>
      <c r="F3625" s="1">
        <f>IFERROR(__xludf.DUMMYFUNCTION("""COMPUTED_VALUE"""),118627.0)</f>
        <v>118627</v>
      </c>
    </row>
    <row r="3626">
      <c r="A3626" s="2">
        <f>IFERROR(__xludf.DUMMYFUNCTION("""COMPUTED_VALUE"""),44427.66666666667)</f>
        <v>44427.66667</v>
      </c>
      <c r="B3626" s="1">
        <f>IFERROR(__xludf.DUMMYFUNCTION("""COMPUTED_VALUE"""),3.51)</f>
        <v>3.51</v>
      </c>
      <c r="C3626" s="1">
        <f>IFERROR(__xludf.DUMMYFUNCTION("""COMPUTED_VALUE"""),3.52)</f>
        <v>3.52</v>
      </c>
      <c r="D3626" s="1">
        <f>IFERROR(__xludf.DUMMYFUNCTION("""COMPUTED_VALUE"""),3.43)</f>
        <v>3.43</v>
      </c>
      <c r="E3626" s="1">
        <f>IFERROR(__xludf.DUMMYFUNCTION("""COMPUTED_VALUE"""),3.48)</f>
        <v>3.48</v>
      </c>
      <c r="F3626" s="1">
        <f>IFERROR(__xludf.DUMMYFUNCTION("""COMPUTED_VALUE"""),161359.0)</f>
        <v>161359</v>
      </c>
    </row>
    <row r="3627">
      <c r="A3627" s="2">
        <f>IFERROR(__xludf.DUMMYFUNCTION("""COMPUTED_VALUE"""),44428.66666666667)</f>
        <v>44428.66667</v>
      </c>
      <c r="B3627" s="1">
        <f>IFERROR(__xludf.DUMMYFUNCTION("""COMPUTED_VALUE"""),3.46)</f>
        <v>3.46</v>
      </c>
      <c r="C3627" s="1">
        <f>IFERROR(__xludf.DUMMYFUNCTION("""COMPUTED_VALUE"""),3.57)</f>
        <v>3.57</v>
      </c>
      <c r="D3627" s="1">
        <f>IFERROR(__xludf.DUMMYFUNCTION("""COMPUTED_VALUE"""),3.46)</f>
        <v>3.46</v>
      </c>
      <c r="E3627" s="1">
        <f>IFERROR(__xludf.DUMMYFUNCTION("""COMPUTED_VALUE"""),3.56)</f>
        <v>3.56</v>
      </c>
      <c r="F3627" s="1">
        <f>IFERROR(__xludf.DUMMYFUNCTION("""COMPUTED_VALUE"""),155605.0)</f>
        <v>155605</v>
      </c>
    </row>
    <row r="3628">
      <c r="A3628" s="2">
        <f>IFERROR(__xludf.DUMMYFUNCTION("""COMPUTED_VALUE"""),44431.66666666667)</f>
        <v>44431.66667</v>
      </c>
      <c r="B3628" s="1">
        <f>IFERROR(__xludf.DUMMYFUNCTION("""COMPUTED_VALUE"""),3.58)</f>
        <v>3.58</v>
      </c>
      <c r="C3628" s="1">
        <f>IFERROR(__xludf.DUMMYFUNCTION("""COMPUTED_VALUE"""),3.6)</f>
        <v>3.6</v>
      </c>
      <c r="D3628" s="1">
        <f>IFERROR(__xludf.DUMMYFUNCTION("""COMPUTED_VALUE"""),3.55)</f>
        <v>3.55</v>
      </c>
      <c r="E3628" s="1">
        <f>IFERROR(__xludf.DUMMYFUNCTION("""COMPUTED_VALUE"""),3.59)</f>
        <v>3.59</v>
      </c>
      <c r="F3628" s="1">
        <f>IFERROR(__xludf.DUMMYFUNCTION("""COMPUTED_VALUE"""),122578.0)</f>
        <v>122578</v>
      </c>
    </row>
    <row r="3629">
      <c r="A3629" s="2">
        <f>IFERROR(__xludf.DUMMYFUNCTION("""COMPUTED_VALUE"""),44432.66666666667)</f>
        <v>44432.66667</v>
      </c>
      <c r="B3629" s="1">
        <f>IFERROR(__xludf.DUMMYFUNCTION("""COMPUTED_VALUE"""),3.59)</f>
        <v>3.59</v>
      </c>
      <c r="C3629" s="1">
        <f>IFERROR(__xludf.DUMMYFUNCTION("""COMPUTED_VALUE"""),3.62)</f>
        <v>3.62</v>
      </c>
      <c r="D3629" s="1">
        <f>IFERROR(__xludf.DUMMYFUNCTION("""COMPUTED_VALUE"""),3.54)</f>
        <v>3.54</v>
      </c>
      <c r="E3629" s="1">
        <f>IFERROR(__xludf.DUMMYFUNCTION("""COMPUTED_VALUE"""),3.55)</f>
        <v>3.55</v>
      </c>
      <c r="F3629" s="1">
        <f>IFERROR(__xludf.DUMMYFUNCTION("""COMPUTED_VALUE"""),144236.0)</f>
        <v>144236</v>
      </c>
    </row>
    <row r="3630">
      <c r="A3630" s="2">
        <f>IFERROR(__xludf.DUMMYFUNCTION("""COMPUTED_VALUE"""),44433.66666666667)</f>
        <v>44433.66667</v>
      </c>
      <c r="B3630" s="1">
        <f>IFERROR(__xludf.DUMMYFUNCTION("""COMPUTED_VALUE"""),3.55)</f>
        <v>3.55</v>
      </c>
      <c r="C3630" s="1">
        <f>IFERROR(__xludf.DUMMYFUNCTION("""COMPUTED_VALUE"""),3.59)</f>
        <v>3.59</v>
      </c>
      <c r="D3630" s="1">
        <f>IFERROR(__xludf.DUMMYFUNCTION("""COMPUTED_VALUE"""),3.54)</f>
        <v>3.54</v>
      </c>
      <c r="E3630" s="1">
        <f>IFERROR(__xludf.DUMMYFUNCTION("""COMPUTED_VALUE"""),3.56)</f>
        <v>3.56</v>
      </c>
      <c r="F3630" s="1">
        <f>IFERROR(__xludf.DUMMYFUNCTION("""COMPUTED_VALUE"""),147375.0)</f>
        <v>147375</v>
      </c>
    </row>
    <row r="3631">
      <c r="A3631" s="2">
        <f>IFERROR(__xludf.DUMMYFUNCTION("""COMPUTED_VALUE"""),44434.66666666667)</f>
        <v>44434.66667</v>
      </c>
      <c r="B3631" s="1">
        <f>IFERROR(__xludf.DUMMYFUNCTION("""COMPUTED_VALUE"""),3.56)</f>
        <v>3.56</v>
      </c>
      <c r="C3631" s="1">
        <f>IFERROR(__xludf.DUMMYFUNCTION("""COMPUTED_VALUE"""),3.6)</f>
        <v>3.6</v>
      </c>
      <c r="D3631" s="1">
        <f>IFERROR(__xludf.DUMMYFUNCTION("""COMPUTED_VALUE"""),3.49)</f>
        <v>3.49</v>
      </c>
      <c r="E3631" s="1">
        <f>IFERROR(__xludf.DUMMYFUNCTION("""COMPUTED_VALUE"""),3.5)</f>
        <v>3.5</v>
      </c>
      <c r="F3631" s="1">
        <f>IFERROR(__xludf.DUMMYFUNCTION("""COMPUTED_VALUE"""),248809.0)</f>
        <v>248809</v>
      </c>
    </row>
    <row r="3632">
      <c r="A3632" s="2">
        <f>IFERROR(__xludf.DUMMYFUNCTION("""COMPUTED_VALUE"""),44435.66666666667)</f>
        <v>44435.66667</v>
      </c>
      <c r="B3632" s="1">
        <f>IFERROR(__xludf.DUMMYFUNCTION("""COMPUTED_VALUE"""),3.49)</f>
        <v>3.49</v>
      </c>
      <c r="C3632" s="1">
        <f>IFERROR(__xludf.DUMMYFUNCTION("""COMPUTED_VALUE"""),3.59)</f>
        <v>3.59</v>
      </c>
      <c r="D3632" s="1">
        <f>IFERROR(__xludf.DUMMYFUNCTION("""COMPUTED_VALUE"""),3.47)</f>
        <v>3.47</v>
      </c>
      <c r="E3632" s="1">
        <f>IFERROR(__xludf.DUMMYFUNCTION("""COMPUTED_VALUE"""),3.57)</f>
        <v>3.57</v>
      </c>
      <c r="F3632" s="1">
        <f>IFERROR(__xludf.DUMMYFUNCTION("""COMPUTED_VALUE"""),302719.0)</f>
        <v>302719</v>
      </c>
    </row>
    <row r="3633">
      <c r="A3633" s="2">
        <f>IFERROR(__xludf.DUMMYFUNCTION("""COMPUTED_VALUE"""),44438.66666666667)</f>
        <v>44438.66667</v>
      </c>
      <c r="B3633" s="1">
        <f>IFERROR(__xludf.DUMMYFUNCTION("""COMPUTED_VALUE"""),3.58)</f>
        <v>3.58</v>
      </c>
      <c r="C3633" s="1">
        <f>IFERROR(__xludf.DUMMYFUNCTION("""COMPUTED_VALUE"""),3.58)</f>
        <v>3.58</v>
      </c>
      <c r="D3633" s="1">
        <f>IFERROR(__xludf.DUMMYFUNCTION("""COMPUTED_VALUE"""),3.53)</f>
        <v>3.53</v>
      </c>
      <c r="E3633" s="1">
        <f>IFERROR(__xludf.DUMMYFUNCTION("""COMPUTED_VALUE"""),3.55)</f>
        <v>3.55</v>
      </c>
      <c r="F3633" s="1">
        <f>IFERROR(__xludf.DUMMYFUNCTION("""COMPUTED_VALUE"""),254554.0)</f>
        <v>254554</v>
      </c>
    </row>
    <row r="3634">
      <c r="A3634" s="2">
        <f>IFERROR(__xludf.DUMMYFUNCTION("""COMPUTED_VALUE"""),44439.66666666667)</f>
        <v>44439.66667</v>
      </c>
      <c r="B3634" s="1">
        <f>IFERROR(__xludf.DUMMYFUNCTION("""COMPUTED_VALUE"""),3.56)</f>
        <v>3.56</v>
      </c>
      <c r="C3634" s="1">
        <f>IFERROR(__xludf.DUMMYFUNCTION("""COMPUTED_VALUE"""),3.7)</f>
        <v>3.7</v>
      </c>
      <c r="D3634" s="1">
        <f>IFERROR(__xludf.DUMMYFUNCTION("""COMPUTED_VALUE"""),3.53)</f>
        <v>3.53</v>
      </c>
      <c r="E3634" s="1">
        <f>IFERROR(__xludf.DUMMYFUNCTION("""COMPUTED_VALUE"""),3.65)</f>
        <v>3.65</v>
      </c>
      <c r="F3634" s="1">
        <f>IFERROR(__xludf.DUMMYFUNCTION("""COMPUTED_VALUE"""),525427.0)</f>
        <v>525427</v>
      </c>
    </row>
    <row r="3635">
      <c r="A3635" s="2">
        <f>IFERROR(__xludf.DUMMYFUNCTION("""COMPUTED_VALUE"""),44440.66666666667)</f>
        <v>44440.66667</v>
      </c>
      <c r="B3635" s="1">
        <f>IFERROR(__xludf.DUMMYFUNCTION("""COMPUTED_VALUE"""),3.67)</f>
        <v>3.67</v>
      </c>
      <c r="C3635" s="1">
        <f>IFERROR(__xludf.DUMMYFUNCTION("""COMPUTED_VALUE"""),3.79)</f>
        <v>3.79</v>
      </c>
      <c r="D3635" s="1">
        <f>IFERROR(__xludf.DUMMYFUNCTION("""COMPUTED_VALUE"""),3.64)</f>
        <v>3.64</v>
      </c>
      <c r="E3635" s="1">
        <f>IFERROR(__xludf.DUMMYFUNCTION("""COMPUTED_VALUE"""),3.75)</f>
        <v>3.75</v>
      </c>
      <c r="F3635" s="1">
        <f>IFERROR(__xludf.DUMMYFUNCTION("""COMPUTED_VALUE"""),176814.0)</f>
        <v>176814</v>
      </c>
    </row>
    <row r="3636">
      <c r="A3636" s="2">
        <f>IFERROR(__xludf.DUMMYFUNCTION("""COMPUTED_VALUE"""),44441.66666666667)</f>
        <v>44441.66667</v>
      </c>
      <c r="B3636" s="1">
        <f>IFERROR(__xludf.DUMMYFUNCTION("""COMPUTED_VALUE"""),3.75)</f>
        <v>3.75</v>
      </c>
      <c r="C3636" s="1">
        <f>IFERROR(__xludf.DUMMYFUNCTION("""COMPUTED_VALUE"""),3.82)</f>
        <v>3.82</v>
      </c>
      <c r="D3636" s="1">
        <f>IFERROR(__xludf.DUMMYFUNCTION("""COMPUTED_VALUE"""),3.73)</f>
        <v>3.73</v>
      </c>
      <c r="E3636" s="1">
        <f>IFERROR(__xludf.DUMMYFUNCTION("""COMPUTED_VALUE"""),3.78)</f>
        <v>3.78</v>
      </c>
      <c r="F3636" s="1">
        <f>IFERROR(__xludf.DUMMYFUNCTION("""COMPUTED_VALUE"""),149810.0)</f>
        <v>149810</v>
      </c>
    </row>
    <row r="3637">
      <c r="A3637" s="2">
        <f>IFERROR(__xludf.DUMMYFUNCTION("""COMPUTED_VALUE"""),44442.66666666667)</f>
        <v>44442.66667</v>
      </c>
      <c r="B3637" s="1">
        <f>IFERROR(__xludf.DUMMYFUNCTION("""COMPUTED_VALUE"""),3.8)</f>
        <v>3.8</v>
      </c>
      <c r="C3637" s="1">
        <f>IFERROR(__xludf.DUMMYFUNCTION("""COMPUTED_VALUE"""),3.87)</f>
        <v>3.87</v>
      </c>
      <c r="D3637" s="1">
        <f>IFERROR(__xludf.DUMMYFUNCTION("""COMPUTED_VALUE"""),3.79)</f>
        <v>3.79</v>
      </c>
      <c r="E3637" s="1">
        <f>IFERROR(__xludf.DUMMYFUNCTION("""COMPUTED_VALUE"""),3.8)</f>
        <v>3.8</v>
      </c>
      <c r="F3637" s="1">
        <f>IFERROR(__xludf.DUMMYFUNCTION("""COMPUTED_VALUE"""),151188.0)</f>
        <v>151188</v>
      </c>
    </row>
    <row r="3638">
      <c r="A3638" s="2">
        <f>IFERROR(__xludf.DUMMYFUNCTION("""COMPUTED_VALUE"""),44446.66666666667)</f>
        <v>44446.66667</v>
      </c>
      <c r="B3638" s="1">
        <f>IFERROR(__xludf.DUMMYFUNCTION("""COMPUTED_VALUE"""),3.8)</f>
        <v>3.8</v>
      </c>
      <c r="C3638" s="1">
        <f>IFERROR(__xludf.DUMMYFUNCTION("""COMPUTED_VALUE"""),3.8)</f>
        <v>3.8</v>
      </c>
      <c r="D3638" s="1">
        <f>IFERROR(__xludf.DUMMYFUNCTION("""COMPUTED_VALUE"""),3.66)</f>
        <v>3.66</v>
      </c>
      <c r="E3638" s="1">
        <f>IFERROR(__xludf.DUMMYFUNCTION("""COMPUTED_VALUE"""),3.67)</f>
        <v>3.67</v>
      </c>
      <c r="F3638" s="1">
        <f>IFERROR(__xludf.DUMMYFUNCTION("""COMPUTED_VALUE"""),112963.0)</f>
        <v>112963</v>
      </c>
    </row>
    <row r="3639">
      <c r="A3639" s="2">
        <f>IFERROR(__xludf.DUMMYFUNCTION("""COMPUTED_VALUE"""),44447.66666666667)</f>
        <v>44447.66667</v>
      </c>
      <c r="B3639" s="1">
        <f>IFERROR(__xludf.DUMMYFUNCTION("""COMPUTED_VALUE"""),3.64)</f>
        <v>3.64</v>
      </c>
      <c r="C3639" s="1">
        <f>IFERROR(__xludf.DUMMYFUNCTION("""COMPUTED_VALUE"""),3.68)</f>
        <v>3.68</v>
      </c>
      <c r="D3639" s="1">
        <f>IFERROR(__xludf.DUMMYFUNCTION("""COMPUTED_VALUE"""),3.62)</f>
        <v>3.62</v>
      </c>
      <c r="E3639" s="1">
        <f>IFERROR(__xludf.DUMMYFUNCTION("""COMPUTED_VALUE"""),3.63)</f>
        <v>3.63</v>
      </c>
      <c r="F3639" s="1">
        <f>IFERROR(__xludf.DUMMYFUNCTION("""COMPUTED_VALUE"""),118717.0)</f>
        <v>118717</v>
      </c>
    </row>
    <row r="3640">
      <c r="A3640" s="2">
        <f>IFERROR(__xludf.DUMMYFUNCTION("""COMPUTED_VALUE"""),44448.66666666667)</f>
        <v>44448.66667</v>
      </c>
      <c r="B3640" s="1">
        <f>IFERROR(__xludf.DUMMYFUNCTION("""COMPUTED_VALUE"""),3.64)</f>
        <v>3.64</v>
      </c>
      <c r="C3640" s="1">
        <f>IFERROR(__xludf.DUMMYFUNCTION("""COMPUTED_VALUE"""),3.68)</f>
        <v>3.68</v>
      </c>
      <c r="D3640" s="1">
        <f>IFERROR(__xludf.DUMMYFUNCTION("""COMPUTED_VALUE"""),3.63)</f>
        <v>3.63</v>
      </c>
      <c r="E3640" s="1">
        <f>IFERROR(__xludf.DUMMYFUNCTION("""COMPUTED_VALUE"""),3.65)</f>
        <v>3.65</v>
      </c>
      <c r="F3640" s="1">
        <f>IFERROR(__xludf.DUMMYFUNCTION("""COMPUTED_VALUE"""),110932.0)</f>
        <v>110932</v>
      </c>
    </row>
    <row r="3641">
      <c r="A3641" s="2">
        <f>IFERROR(__xludf.DUMMYFUNCTION("""COMPUTED_VALUE"""),44449.66666666667)</f>
        <v>44449.66667</v>
      </c>
      <c r="B3641" s="1">
        <f>IFERROR(__xludf.DUMMYFUNCTION("""COMPUTED_VALUE"""),3.66)</f>
        <v>3.66</v>
      </c>
      <c r="C3641" s="1">
        <f>IFERROR(__xludf.DUMMYFUNCTION("""COMPUTED_VALUE"""),3.7)</f>
        <v>3.7</v>
      </c>
      <c r="D3641" s="1">
        <f>IFERROR(__xludf.DUMMYFUNCTION("""COMPUTED_VALUE"""),3.66)</f>
        <v>3.66</v>
      </c>
      <c r="E3641" s="1">
        <f>IFERROR(__xludf.DUMMYFUNCTION("""COMPUTED_VALUE"""),3.66)</f>
        <v>3.66</v>
      </c>
      <c r="F3641" s="1">
        <f>IFERROR(__xludf.DUMMYFUNCTION("""COMPUTED_VALUE"""),141092.0)</f>
        <v>141092</v>
      </c>
    </row>
    <row r="3642">
      <c r="A3642" s="2">
        <f>IFERROR(__xludf.DUMMYFUNCTION("""COMPUTED_VALUE"""),44452.66666666667)</f>
        <v>44452.66667</v>
      </c>
      <c r="B3642" s="1">
        <f>IFERROR(__xludf.DUMMYFUNCTION("""COMPUTED_VALUE"""),3.69)</f>
        <v>3.69</v>
      </c>
      <c r="C3642" s="1">
        <f>IFERROR(__xludf.DUMMYFUNCTION("""COMPUTED_VALUE"""),3.73)</f>
        <v>3.73</v>
      </c>
      <c r="D3642" s="1">
        <f>IFERROR(__xludf.DUMMYFUNCTION("""COMPUTED_VALUE"""),3.63)</f>
        <v>3.63</v>
      </c>
      <c r="E3642" s="1">
        <f>IFERROR(__xludf.DUMMYFUNCTION("""COMPUTED_VALUE"""),3.71)</f>
        <v>3.71</v>
      </c>
      <c r="F3642" s="1">
        <f>IFERROR(__xludf.DUMMYFUNCTION("""COMPUTED_VALUE"""),110866.0)</f>
        <v>110866</v>
      </c>
    </row>
    <row r="3643">
      <c r="A3643" s="2">
        <f>IFERROR(__xludf.DUMMYFUNCTION("""COMPUTED_VALUE"""),44453.66666666667)</f>
        <v>44453.66667</v>
      </c>
      <c r="B3643" s="1">
        <f>IFERROR(__xludf.DUMMYFUNCTION("""COMPUTED_VALUE"""),3.74)</f>
        <v>3.74</v>
      </c>
      <c r="C3643" s="1">
        <f>IFERROR(__xludf.DUMMYFUNCTION("""COMPUTED_VALUE"""),3.74)</f>
        <v>3.74</v>
      </c>
      <c r="D3643" s="1">
        <f>IFERROR(__xludf.DUMMYFUNCTION("""COMPUTED_VALUE"""),3.58)</f>
        <v>3.58</v>
      </c>
      <c r="E3643" s="1">
        <f>IFERROR(__xludf.DUMMYFUNCTION("""COMPUTED_VALUE"""),3.61)</f>
        <v>3.61</v>
      </c>
      <c r="F3643" s="1">
        <f>IFERROR(__xludf.DUMMYFUNCTION("""COMPUTED_VALUE"""),127212.0)</f>
        <v>127212</v>
      </c>
    </row>
    <row r="3644">
      <c r="A3644" s="2">
        <f>IFERROR(__xludf.DUMMYFUNCTION("""COMPUTED_VALUE"""),44454.66666666667)</f>
        <v>44454.66667</v>
      </c>
      <c r="B3644" s="1">
        <f>IFERROR(__xludf.DUMMYFUNCTION("""COMPUTED_VALUE"""),3.62)</f>
        <v>3.62</v>
      </c>
      <c r="C3644" s="1">
        <f>IFERROR(__xludf.DUMMYFUNCTION("""COMPUTED_VALUE"""),3.65)</f>
        <v>3.65</v>
      </c>
      <c r="D3644" s="1">
        <f>IFERROR(__xludf.DUMMYFUNCTION("""COMPUTED_VALUE"""),3.58)</f>
        <v>3.58</v>
      </c>
      <c r="E3644" s="1">
        <f>IFERROR(__xludf.DUMMYFUNCTION("""COMPUTED_VALUE"""),3.64)</f>
        <v>3.64</v>
      </c>
      <c r="F3644" s="1">
        <f>IFERROR(__xludf.DUMMYFUNCTION("""COMPUTED_VALUE"""),120982.0)</f>
        <v>120982</v>
      </c>
    </row>
    <row r="3645">
      <c r="A3645" s="2">
        <f>IFERROR(__xludf.DUMMYFUNCTION("""COMPUTED_VALUE"""),44455.66666666667)</f>
        <v>44455.66667</v>
      </c>
      <c r="B3645" s="1">
        <f>IFERROR(__xludf.DUMMYFUNCTION("""COMPUTED_VALUE"""),3.62)</f>
        <v>3.62</v>
      </c>
      <c r="C3645" s="1">
        <f>IFERROR(__xludf.DUMMYFUNCTION("""COMPUTED_VALUE"""),3.67)</f>
        <v>3.67</v>
      </c>
      <c r="D3645" s="1">
        <f>IFERROR(__xludf.DUMMYFUNCTION("""COMPUTED_VALUE"""),3.6)</f>
        <v>3.6</v>
      </c>
      <c r="E3645" s="1">
        <f>IFERROR(__xludf.DUMMYFUNCTION("""COMPUTED_VALUE"""),3.64)</f>
        <v>3.64</v>
      </c>
      <c r="F3645" s="1">
        <f>IFERROR(__xludf.DUMMYFUNCTION("""COMPUTED_VALUE"""),97671.0)</f>
        <v>97671</v>
      </c>
    </row>
    <row r="3646">
      <c r="A3646" s="2">
        <f>IFERROR(__xludf.DUMMYFUNCTION("""COMPUTED_VALUE"""),44456.66666666667)</f>
        <v>44456.66667</v>
      </c>
      <c r="B3646" s="1">
        <f>IFERROR(__xludf.DUMMYFUNCTION("""COMPUTED_VALUE"""),3.62)</f>
        <v>3.62</v>
      </c>
      <c r="C3646" s="1">
        <f>IFERROR(__xludf.DUMMYFUNCTION("""COMPUTED_VALUE"""),3.75)</f>
        <v>3.75</v>
      </c>
      <c r="D3646" s="1">
        <f>IFERROR(__xludf.DUMMYFUNCTION("""COMPUTED_VALUE"""),3.61)</f>
        <v>3.61</v>
      </c>
      <c r="E3646" s="1">
        <f>IFERROR(__xludf.DUMMYFUNCTION("""COMPUTED_VALUE"""),3.73)</f>
        <v>3.73</v>
      </c>
      <c r="F3646" s="1">
        <f>IFERROR(__xludf.DUMMYFUNCTION("""COMPUTED_VALUE"""),464723.0)</f>
        <v>464723</v>
      </c>
    </row>
    <row r="3647">
      <c r="A3647" s="2">
        <f>IFERROR(__xludf.DUMMYFUNCTION("""COMPUTED_VALUE"""),44459.66666666667)</f>
        <v>44459.66667</v>
      </c>
      <c r="B3647" s="1">
        <f>IFERROR(__xludf.DUMMYFUNCTION("""COMPUTED_VALUE"""),3.65)</f>
        <v>3.65</v>
      </c>
      <c r="C3647" s="1">
        <f>IFERROR(__xludf.DUMMYFUNCTION("""COMPUTED_VALUE"""),3.67)</f>
        <v>3.67</v>
      </c>
      <c r="D3647" s="1">
        <f>IFERROR(__xludf.DUMMYFUNCTION("""COMPUTED_VALUE"""),3.57)</f>
        <v>3.57</v>
      </c>
      <c r="E3647" s="1">
        <f>IFERROR(__xludf.DUMMYFUNCTION("""COMPUTED_VALUE"""),3.63)</f>
        <v>3.63</v>
      </c>
      <c r="F3647" s="1">
        <f>IFERROR(__xludf.DUMMYFUNCTION("""COMPUTED_VALUE"""),211479.0)</f>
        <v>211479</v>
      </c>
    </row>
    <row r="3648">
      <c r="A3648" s="2">
        <f>IFERROR(__xludf.DUMMYFUNCTION("""COMPUTED_VALUE"""),44460.66666666667)</f>
        <v>44460.66667</v>
      </c>
      <c r="B3648" s="1">
        <f>IFERROR(__xludf.DUMMYFUNCTION("""COMPUTED_VALUE"""),3.67)</f>
        <v>3.67</v>
      </c>
      <c r="C3648" s="1">
        <f>IFERROR(__xludf.DUMMYFUNCTION("""COMPUTED_VALUE"""),3.69)</f>
        <v>3.69</v>
      </c>
      <c r="D3648" s="1">
        <f>IFERROR(__xludf.DUMMYFUNCTION("""COMPUTED_VALUE"""),3.63)</f>
        <v>3.63</v>
      </c>
      <c r="E3648" s="1">
        <f>IFERROR(__xludf.DUMMYFUNCTION("""COMPUTED_VALUE"""),3.67)</f>
        <v>3.67</v>
      </c>
      <c r="F3648" s="1">
        <f>IFERROR(__xludf.DUMMYFUNCTION("""COMPUTED_VALUE"""),258464.0)</f>
        <v>258464</v>
      </c>
    </row>
    <row r="3649">
      <c r="A3649" s="2">
        <f>IFERROR(__xludf.DUMMYFUNCTION("""COMPUTED_VALUE"""),44461.66666666667)</f>
        <v>44461.66667</v>
      </c>
      <c r="B3649" s="1">
        <f>IFERROR(__xludf.DUMMYFUNCTION("""COMPUTED_VALUE"""),3.69)</f>
        <v>3.69</v>
      </c>
      <c r="C3649" s="1">
        <f>IFERROR(__xludf.DUMMYFUNCTION("""COMPUTED_VALUE"""),3.8)</f>
        <v>3.8</v>
      </c>
      <c r="D3649" s="1">
        <f>IFERROR(__xludf.DUMMYFUNCTION("""COMPUTED_VALUE"""),3.69)</f>
        <v>3.69</v>
      </c>
      <c r="E3649" s="1">
        <f>IFERROR(__xludf.DUMMYFUNCTION("""COMPUTED_VALUE"""),3.77)</f>
        <v>3.77</v>
      </c>
      <c r="F3649" s="1">
        <f>IFERROR(__xludf.DUMMYFUNCTION("""COMPUTED_VALUE"""),163748.0)</f>
        <v>163748</v>
      </c>
    </row>
    <row r="3650">
      <c r="A3650" s="2">
        <f>IFERROR(__xludf.DUMMYFUNCTION("""COMPUTED_VALUE"""),44462.66666666667)</f>
        <v>44462.66667</v>
      </c>
      <c r="B3650" s="1">
        <f>IFERROR(__xludf.DUMMYFUNCTION("""COMPUTED_VALUE"""),3.8)</f>
        <v>3.8</v>
      </c>
      <c r="C3650" s="1">
        <f>IFERROR(__xludf.DUMMYFUNCTION("""COMPUTED_VALUE"""),3.88)</f>
        <v>3.88</v>
      </c>
      <c r="D3650" s="1">
        <f>IFERROR(__xludf.DUMMYFUNCTION("""COMPUTED_VALUE"""),3.74)</f>
        <v>3.74</v>
      </c>
      <c r="E3650" s="1">
        <f>IFERROR(__xludf.DUMMYFUNCTION("""COMPUTED_VALUE"""),3.75)</f>
        <v>3.75</v>
      </c>
      <c r="F3650" s="1">
        <f>IFERROR(__xludf.DUMMYFUNCTION("""COMPUTED_VALUE"""),154012.0)</f>
        <v>154012</v>
      </c>
    </row>
    <row r="3651">
      <c r="A3651" s="2">
        <f>IFERROR(__xludf.DUMMYFUNCTION("""COMPUTED_VALUE"""),44463.66666666667)</f>
        <v>44463.66667</v>
      </c>
      <c r="B3651" s="1">
        <f>IFERROR(__xludf.DUMMYFUNCTION("""COMPUTED_VALUE"""),3.73)</f>
        <v>3.73</v>
      </c>
      <c r="C3651" s="1">
        <f>IFERROR(__xludf.DUMMYFUNCTION("""COMPUTED_VALUE"""),3.78)</f>
        <v>3.78</v>
      </c>
      <c r="D3651" s="1">
        <f>IFERROR(__xludf.DUMMYFUNCTION("""COMPUTED_VALUE"""),3.68)</f>
        <v>3.68</v>
      </c>
      <c r="E3651" s="1">
        <f>IFERROR(__xludf.DUMMYFUNCTION("""COMPUTED_VALUE"""),3.73)</f>
        <v>3.73</v>
      </c>
      <c r="F3651" s="1">
        <f>IFERROR(__xludf.DUMMYFUNCTION("""COMPUTED_VALUE"""),106823.0)</f>
        <v>106823</v>
      </c>
    </row>
    <row r="3652">
      <c r="A3652" s="2">
        <f>IFERROR(__xludf.DUMMYFUNCTION("""COMPUTED_VALUE"""),44466.66666666667)</f>
        <v>44466.66667</v>
      </c>
      <c r="B3652" s="1">
        <f>IFERROR(__xludf.DUMMYFUNCTION("""COMPUTED_VALUE"""),3.72)</f>
        <v>3.72</v>
      </c>
      <c r="C3652" s="1">
        <f>IFERROR(__xludf.DUMMYFUNCTION("""COMPUTED_VALUE"""),3.81)</f>
        <v>3.81</v>
      </c>
      <c r="D3652" s="1">
        <f>IFERROR(__xludf.DUMMYFUNCTION("""COMPUTED_VALUE"""),3.72)</f>
        <v>3.72</v>
      </c>
      <c r="E3652" s="1">
        <f>IFERROR(__xludf.DUMMYFUNCTION("""COMPUTED_VALUE"""),3.79)</f>
        <v>3.79</v>
      </c>
      <c r="F3652" s="1">
        <f>IFERROR(__xludf.DUMMYFUNCTION("""COMPUTED_VALUE"""),139932.0)</f>
        <v>139932</v>
      </c>
    </row>
    <row r="3653">
      <c r="A3653" s="2">
        <f>IFERROR(__xludf.DUMMYFUNCTION("""COMPUTED_VALUE"""),44467.66666666667)</f>
        <v>44467.66667</v>
      </c>
      <c r="B3653" s="1">
        <f>IFERROR(__xludf.DUMMYFUNCTION("""COMPUTED_VALUE"""),3.76)</f>
        <v>3.76</v>
      </c>
      <c r="C3653" s="1">
        <f>IFERROR(__xludf.DUMMYFUNCTION("""COMPUTED_VALUE"""),3.77)</f>
        <v>3.77</v>
      </c>
      <c r="D3653" s="1">
        <f>IFERROR(__xludf.DUMMYFUNCTION("""COMPUTED_VALUE"""),3.71)</f>
        <v>3.71</v>
      </c>
      <c r="E3653" s="1">
        <f>IFERROR(__xludf.DUMMYFUNCTION("""COMPUTED_VALUE"""),3.73)</f>
        <v>3.73</v>
      </c>
      <c r="F3653" s="1">
        <f>IFERROR(__xludf.DUMMYFUNCTION("""COMPUTED_VALUE"""),126943.0)</f>
        <v>126943</v>
      </c>
    </row>
    <row r="3654">
      <c r="A3654" s="2">
        <f>IFERROR(__xludf.DUMMYFUNCTION("""COMPUTED_VALUE"""),44468.66666666667)</f>
        <v>44468.66667</v>
      </c>
      <c r="B3654" s="1">
        <f>IFERROR(__xludf.DUMMYFUNCTION("""COMPUTED_VALUE"""),3.74)</f>
        <v>3.74</v>
      </c>
      <c r="C3654" s="1">
        <f>IFERROR(__xludf.DUMMYFUNCTION("""COMPUTED_VALUE"""),3.75)</f>
        <v>3.75</v>
      </c>
      <c r="D3654" s="1">
        <f>IFERROR(__xludf.DUMMYFUNCTION("""COMPUTED_VALUE"""),3.66)</f>
        <v>3.66</v>
      </c>
      <c r="E3654" s="1">
        <f>IFERROR(__xludf.DUMMYFUNCTION("""COMPUTED_VALUE"""),3.67)</f>
        <v>3.67</v>
      </c>
      <c r="F3654" s="1">
        <f>IFERROR(__xludf.DUMMYFUNCTION("""COMPUTED_VALUE"""),90046.0)</f>
        <v>90046</v>
      </c>
    </row>
    <row r="3655">
      <c r="A3655" s="2">
        <f>IFERROR(__xludf.DUMMYFUNCTION("""COMPUTED_VALUE"""),44469.66666666667)</f>
        <v>44469.66667</v>
      </c>
      <c r="B3655" s="1">
        <f>IFERROR(__xludf.DUMMYFUNCTION("""COMPUTED_VALUE"""),3.69)</f>
        <v>3.69</v>
      </c>
      <c r="C3655" s="1">
        <f>IFERROR(__xludf.DUMMYFUNCTION("""COMPUTED_VALUE"""),3.78)</f>
        <v>3.78</v>
      </c>
      <c r="D3655" s="1">
        <f>IFERROR(__xludf.DUMMYFUNCTION("""COMPUTED_VALUE"""),3.63)</f>
        <v>3.63</v>
      </c>
      <c r="E3655" s="1">
        <f>IFERROR(__xludf.DUMMYFUNCTION("""COMPUTED_VALUE"""),3.66)</f>
        <v>3.66</v>
      </c>
      <c r="F3655" s="1">
        <f>IFERROR(__xludf.DUMMYFUNCTION("""COMPUTED_VALUE"""),126909.0)</f>
        <v>126909</v>
      </c>
    </row>
    <row r="3656">
      <c r="A3656" s="2">
        <f>IFERROR(__xludf.DUMMYFUNCTION("""COMPUTED_VALUE"""),44470.66666666667)</f>
        <v>44470.66667</v>
      </c>
      <c r="B3656" s="1">
        <f>IFERROR(__xludf.DUMMYFUNCTION("""COMPUTED_VALUE"""),3.67)</f>
        <v>3.67</v>
      </c>
      <c r="C3656" s="1">
        <f>IFERROR(__xludf.DUMMYFUNCTION("""COMPUTED_VALUE"""),3.75)</f>
        <v>3.75</v>
      </c>
      <c r="D3656" s="1">
        <f>IFERROR(__xludf.DUMMYFUNCTION("""COMPUTED_VALUE"""),3.63)</f>
        <v>3.63</v>
      </c>
      <c r="E3656" s="1">
        <f>IFERROR(__xludf.DUMMYFUNCTION("""COMPUTED_VALUE"""),3.74)</f>
        <v>3.74</v>
      </c>
      <c r="F3656" s="1">
        <f>IFERROR(__xludf.DUMMYFUNCTION("""COMPUTED_VALUE"""),89050.0)</f>
        <v>89050</v>
      </c>
    </row>
    <row r="3657">
      <c r="A3657" s="2">
        <f>IFERROR(__xludf.DUMMYFUNCTION("""COMPUTED_VALUE"""),44473.66666666667)</f>
        <v>44473.66667</v>
      </c>
      <c r="B3657" s="1">
        <f>IFERROR(__xludf.DUMMYFUNCTION("""COMPUTED_VALUE"""),3.78)</f>
        <v>3.78</v>
      </c>
      <c r="C3657" s="1">
        <f>IFERROR(__xludf.DUMMYFUNCTION("""COMPUTED_VALUE"""),3.78)</f>
        <v>3.78</v>
      </c>
      <c r="D3657" s="1">
        <f>IFERROR(__xludf.DUMMYFUNCTION("""COMPUTED_VALUE"""),3.67)</f>
        <v>3.67</v>
      </c>
      <c r="E3657" s="1">
        <f>IFERROR(__xludf.DUMMYFUNCTION("""COMPUTED_VALUE"""),3.69)</f>
        <v>3.69</v>
      </c>
      <c r="F3657" s="1">
        <f>IFERROR(__xludf.DUMMYFUNCTION("""COMPUTED_VALUE"""),78767.0)</f>
        <v>78767</v>
      </c>
    </row>
    <row r="3658">
      <c r="A3658" s="2">
        <f>IFERROR(__xludf.DUMMYFUNCTION("""COMPUTED_VALUE"""),44474.66666666667)</f>
        <v>44474.66667</v>
      </c>
      <c r="B3658" s="1">
        <f>IFERROR(__xludf.DUMMYFUNCTION("""COMPUTED_VALUE"""),3.69)</f>
        <v>3.69</v>
      </c>
      <c r="C3658" s="1">
        <f>IFERROR(__xludf.DUMMYFUNCTION("""COMPUTED_VALUE"""),3.74)</f>
        <v>3.74</v>
      </c>
      <c r="D3658" s="1">
        <f>IFERROR(__xludf.DUMMYFUNCTION("""COMPUTED_VALUE"""),3.66)</f>
        <v>3.66</v>
      </c>
      <c r="E3658" s="1">
        <f>IFERROR(__xludf.DUMMYFUNCTION("""COMPUTED_VALUE"""),3.73)</f>
        <v>3.73</v>
      </c>
      <c r="F3658" s="1">
        <f>IFERROR(__xludf.DUMMYFUNCTION("""COMPUTED_VALUE"""),75895.0)</f>
        <v>75895</v>
      </c>
    </row>
    <row r="3659">
      <c r="A3659" s="2">
        <f>IFERROR(__xludf.DUMMYFUNCTION("""COMPUTED_VALUE"""),44475.66666666667)</f>
        <v>44475.66667</v>
      </c>
      <c r="B3659" s="1">
        <f>IFERROR(__xludf.DUMMYFUNCTION("""COMPUTED_VALUE"""),3.69)</f>
        <v>3.69</v>
      </c>
      <c r="C3659" s="1">
        <f>IFERROR(__xludf.DUMMYFUNCTION("""COMPUTED_VALUE"""),3.72)</f>
        <v>3.72</v>
      </c>
      <c r="D3659" s="1">
        <f>IFERROR(__xludf.DUMMYFUNCTION("""COMPUTED_VALUE"""),3.63)</f>
        <v>3.63</v>
      </c>
      <c r="E3659" s="1">
        <f>IFERROR(__xludf.DUMMYFUNCTION("""COMPUTED_VALUE"""),3.65)</f>
        <v>3.65</v>
      </c>
      <c r="F3659" s="1">
        <f>IFERROR(__xludf.DUMMYFUNCTION("""COMPUTED_VALUE"""),143122.0)</f>
        <v>143122</v>
      </c>
    </row>
    <row r="3660">
      <c r="A3660" s="2">
        <f>IFERROR(__xludf.DUMMYFUNCTION("""COMPUTED_VALUE"""),44476.66666666667)</f>
        <v>44476.66667</v>
      </c>
      <c r="B3660" s="1">
        <f>IFERROR(__xludf.DUMMYFUNCTION("""COMPUTED_VALUE"""),3.69)</f>
        <v>3.69</v>
      </c>
      <c r="C3660" s="1">
        <f>IFERROR(__xludf.DUMMYFUNCTION("""COMPUTED_VALUE"""),3.78)</f>
        <v>3.78</v>
      </c>
      <c r="D3660" s="1">
        <f>IFERROR(__xludf.DUMMYFUNCTION("""COMPUTED_VALUE"""),3.66)</f>
        <v>3.66</v>
      </c>
      <c r="E3660" s="1">
        <f>IFERROR(__xludf.DUMMYFUNCTION("""COMPUTED_VALUE"""),3.73)</f>
        <v>3.73</v>
      </c>
      <c r="F3660" s="1">
        <f>IFERROR(__xludf.DUMMYFUNCTION("""COMPUTED_VALUE"""),141294.0)</f>
        <v>141294</v>
      </c>
    </row>
    <row r="3661">
      <c r="A3661" s="2">
        <f>IFERROR(__xludf.DUMMYFUNCTION("""COMPUTED_VALUE"""),44477.66666666667)</f>
        <v>44477.66667</v>
      </c>
      <c r="B3661" s="1">
        <f>IFERROR(__xludf.DUMMYFUNCTION("""COMPUTED_VALUE"""),3.74)</f>
        <v>3.74</v>
      </c>
      <c r="C3661" s="1">
        <f>IFERROR(__xludf.DUMMYFUNCTION("""COMPUTED_VALUE"""),3.77)</f>
        <v>3.77</v>
      </c>
      <c r="D3661" s="1">
        <f>IFERROR(__xludf.DUMMYFUNCTION("""COMPUTED_VALUE"""),3.68)</f>
        <v>3.68</v>
      </c>
      <c r="E3661" s="1">
        <f>IFERROR(__xludf.DUMMYFUNCTION("""COMPUTED_VALUE"""),3.69)</f>
        <v>3.69</v>
      </c>
      <c r="F3661" s="1">
        <f>IFERROR(__xludf.DUMMYFUNCTION("""COMPUTED_VALUE"""),51223.0)</f>
        <v>51223</v>
      </c>
    </row>
    <row r="3662">
      <c r="A3662" s="2">
        <f>IFERROR(__xludf.DUMMYFUNCTION("""COMPUTED_VALUE"""),44480.66666666667)</f>
        <v>44480.66667</v>
      </c>
      <c r="B3662" s="1">
        <f>IFERROR(__xludf.DUMMYFUNCTION("""COMPUTED_VALUE"""),3.69)</f>
        <v>3.69</v>
      </c>
      <c r="C3662" s="1">
        <f>IFERROR(__xludf.DUMMYFUNCTION("""COMPUTED_VALUE"""),3.72)</f>
        <v>3.72</v>
      </c>
      <c r="D3662" s="1">
        <f>IFERROR(__xludf.DUMMYFUNCTION("""COMPUTED_VALUE"""),3.68)</f>
        <v>3.68</v>
      </c>
      <c r="E3662" s="1">
        <f>IFERROR(__xludf.DUMMYFUNCTION("""COMPUTED_VALUE"""),3.7)</f>
        <v>3.7</v>
      </c>
      <c r="F3662" s="1">
        <f>IFERROR(__xludf.DUMMYFUNCTION("""COMPUTED_VALUE"""),59536.0)</f>
        <v>59536</v>
      </c>
    </row>
    <row r="3663">
      <c r="A3663" s="2">
        <f>IFERROR(__xludf.DUMMYFUNCTION("""COMPUTED_VALUE"""),44481.66666666667)</f>
        <v>44481.66667</v>
      </c>
      <c r="B3663" s="1">
        <f>IFERROR(__xludf.DUMMYFUNCTION("""COMPUTED_VALUE"""),3.72)</f>
        <v>3.72</v>
      </c>
      <c r="C3663" s="1">
        <f>IFERROR(__xludf.DUMMYFUNCTION("""COMPUTED_VALUE"""),3.73)</f>
        <v>3.73</v>
      </c>
      <c r="D3663" s="1">
        <f>IFERROR(__xludf.DUMMYFUNCTION("""COMPUTED_VALUE"""),3.58)</f>
        <v>3.58</v>
      </c>
      <c r="E3663" s="1">
        <f>IFERROR(__xludf.DUMMYFUNCTION("""COMPUTED_VALUE"""),3.59)</f>
        <v>3.59</v>
      </c>
      <c r="F3663" s="1">
        <f>IFERROR(__xludf.DUMMYFUNCTION("""COMPUTED_VALUE"""),101653.0)</f>
        <v>101653</v>
      </c>
    </row>
    <row r="3664">
      <c r="A3664" s="2">
        <f>IFERROR(__xludf.DUMMYFUNCTION("""COMPUTED_VALUE"""),44482.66666666667)</f>
        <v>44482.66667</v>
      </c>
      <c r="B3664" s="1">
        <f>IFERROR(__xludf.DUMMYFUNCTION("""COMPUTED_VALUE"""),3.62)</f>
        <v>3.62</v>
      </c>
      <c r="C3664" s="1">
        <f>IFERROR(__xludf.DUMMYFUNCTION("""COMPUTED_VALUE"""),3.62)</f>
        <v>3.62</v>
      </c>
      <c r="D3664" s="1">
        <f>IFERROR(__xludf.DUMMYFUNCTION("""COMPUTED_VALUE"""),3.54)</f>
        <v>3.54</v>
      </c>
      <c r="E3664" s="1">
        <f>IFERROR(__xludf.DUMMYFUNCTION("""COMPUTED_VALUE"""),3.58)</f>
        <v>3.58</v>
      </c>
      <c r="F3664" s="1">
        <f>IFERROR(__xludf.DUMMYFUNCTION("""COMPUTED_VALUE"""),111058.0)</f>
        <v>111058</v>
      </c>
    </row>
    <row r="3665">
      <c r="A3665" s="2">
        <f>IFERROR(__xludf.DUMMYFUNCTION("""COMPUTED_VALUE"""),44483.66666666667)</f>
        <v>44483.66667</v>
      </c>
      <c r="B3665" s="1">
        <f>IFERROR(__xludf.DUMMYFUNCTION("""COMPUTED_VALUE"""),3.62)</f>
        <v>3.62</v>
      </c>
      <c r="C3665" s="1">
        <f>IFERROR(__xludf.DUMMYFUNCTION("""COMPUTED_VALUE"""),3.63)</f>
        <v>3.63</v>
      </c>
      <c r="D3665" s="1">
        <f>IFERROR(__xludf.DUMMYFUNCTION("""COMPUTED_VALUE"""),3.57)</f>
        <v>3.57</v>
      </c>
      <c r="E3665" s="1">
        <f>IFERROR(__xludf.DUMMYFUNCTION("""COMPUTED_VALUE"""),3.6)</f>
        <v>3.6</v>
      </c>
      <c r="F3665" s="1">
        <f>IFERROR(__xludf.DUMMYFUNCTION("""COMPUTED_VALUE"""),163605.0)</f>
        <v>163605</v>
      </c>
    </row>
    <row r="3666">
      <c r="A3666" s="2">
        <f>IFERROR(__xludf.DUMMYFUNCTION("""COMPUTED_VALUE"""),44484.66666666667)</f>
        <v>44484.66667</v>
      </c>
      <c r="B3666" s="1">
        <f>IFERROR(__xludf.DUMMYFUNCTION("""COMPUTED_VALUE"""),3.65)</f>
        <v>3.65</v>
      </c>
      <c r="C3666" s="1">
        <f>IFERROR(__xludf.DUMMYFUNCTION("""COMPUTED_VALUE"""),3.67)</f>
        <v>3.67</v>
      </c>
      <c r="D3666" s="1">
        <f>IFERROR(__xludf.DUMMYFUNCTION("""COMPUTED_VALUE"""),3.54)</f>
        <v>3.54</v>
      </c>
      <c r="E3666" s="1">
        <f>IFERROR(__xludf.DUMMYFUNCTION("""COMPUTED_VALUE"""),3.54)</f>
        <v>3.54</v>
      </c>
      <c r="F3666" s="1">
        <f>IFERROR(__xludf.DUMMYFUNCTION("""COMPUTED_VALUE"""),329374.0)</f>
        <v>329374</v>
      </c>
    </row>
    <row r="3667">
      <c r="A3667" s="2">
        <f>IFERROR(__xludf.DUMMYFUNCTION("""COMPUTED_VALUE"""),44487.66666666667)</f>
        <v>44487.66667</v>
      </c>
      <c r="B3667" s="1">
        <f>IFERROR(__xludf.DUMMYFUNCTION("""COMPUTED_VALUE"""),3.53)</f>
        <v>3.53</v>
      </c>
      <c r="C3667" s="1">
        <f>IFERROR(__xludf.DUMMYFUNCTION("""COMPUTED_VALUE"""),3.57)</f>
        <v>3.57</v>
      </c>
      <c r="D3667" s="1">
        <f>IFERROR(__xludf.DUMMYFUNCTION("""COMPUTED_VALUE"""),3.48)</f>
        <v>3.48</v>
      </c>
      <c r="E3667" s="1">
        <f>IFERROR(__xludf.DUMMYFUNCTION("""COMPUTED_VALUE"""),3.5)</f>
        <v>3.5</v>
      </c>
      <c r="F3667" s="1">
        <f>IFERROR(__xludf.DUMMYFUNCTION("""COMPUTED_VALUE"""),128743.0)</f>
        <v>128743</v>
      </c>
    </row>
    <row r="3668">
      <c r="A3668" s="2">
        <f>IFERROR(__xludf.DUMMYFUNCTION("""COMPUTED_VALUE"""),44488.66666666667)</f>
        <v>44488.66667</v>
      </c>
      <c r="B3668" s="1">
        <f>IFERROR(__xludf.DUMMYFUNCTION("""COMPUTED_VALUE"""),3.5)</f>
        <v>3.5</v>
      </c>
      <c r="C3668" s="1">
        <f>IFERROR(__xludf.DUMMYFUNCTION("""COMPUTED_VALUE"""),3.53)</f>
        <v>3.53</v>
      </c>
      <c r="D3668" s="1">
        <f>IFERROR(__xludf.DUMMYFUNCTION("""COMPUTED_VALUE"""),3.48)</f>
        <v>3.48</v>
      </c>
      <c r="E3668" s="1">
        <f>IFERROR(__xludf.DUMMYFUNCTION("""COMPUTED_VALUE"""),3.52)</f>
        <v>3.52</v>
      </c>
      <c r="F3668" s="1">
        <f>IFERROR(__xludf.DUMMYFUNCTION("""COMPUTED_VALUE"""),129119.0)</f>
        <v>129119</v>
      </c>
    </row>
    <row r="3669">
      <c r="A3669" s="2">
        <f>IFERROR(__xludf.DUMMYFUNCTION("""COMPUTED_VALUE"""),44489.66666666667)</f>
        <v>44489.66667</v>
      </c>
      <c r="B3669" s="1">
        <f>IFERROR(__xludf.DUMMYFUNCTION("""COMPUTED_VALUE"""),3.54)</f>
        <v>3.54</v>
      </c>
      <c r="C3669" s="1">
        <f>IFERROR(__xludf.DUMMYFUNCTION("""COMPUTED_VALUE"""),3.55)</f>
        <v>3.55</v>
      </c>
      <c r="D3669" s="1">
        <f>IFERROR(__xludf.DUMMYFUNCTION("""COMPUTED_VALUE"""),3.5)</f>
        <v>3.5</v>
      </c>
      <c r="E3669" s="1">
        <f>IFERROR(__xludf.DUMMYFUNCTION("""COMPUTED_VALUE"""),3.54)</f>
        <v>3.54</v>
      </c>
      <c r="F3669" s="1">
        <f>IFERROR(__xludf.DUMMYFUNCTION("""COMPUTED_VALUE"""),129635.0)</f>
        <v>129635</v>
      </c>
    </row>
    <row r="3670">
      <c r="A3670" s="2">
        <f>IFERROR(__xludf.DUMMYFUNCTION("""COMPUTED_VALUE"""),44490.66666666667)</f>
        <v>44490.66667</v>
      </c>
      <c r="B3670" s="1">
        <f>IFERROR(__xludf.DUMMYFUNCTION("""COMPUTED_VALUE"""),3.54)</f>
        <v>3.54</v>
      </c>
      <c r="C3670" s="1">
        <f>IFERROR(__xludf.DUMMYFUNCTION("""COMPUTED_VALUE"""),3.56)</f>
        <v>3.56</v>
      </c>
      <c r="D3670" s="1">
        <f>IFERROR(__xludf.DUMMYFUNCTION("""COMPUTED_VALUE"""),3.49)</f>
        <v>3.49</v>
      </c>
      <c r="E3670" s="1">
        <f>IFERROR(__xludf.DUMMYFUNCTION("""COMPUTED_VALUE"""),3.54)</f>
        <v>3.54</v>
      </c>
      <c r="F3670" s="1">
        <f>IFERROR(__xludf.DUMMYFUNCTION("""COMPUTED_VALUE"""),120282.0)</f>
        <v>120282</v>
      </c>
    </row>
    <row r="3671">
      <c r="A3671" s="2">
        <f>IFERROR(__xludf.DUMMYFUNCTION("""COMPUTED_VALUE"""),44491.66666666667)</f>
        <v>44491.66667</v>
      </c>
      <c r="B3671" s="1">
        <f>IFERROR(__xludf.DUMMYFUNCTION("""COMPUTED_VALUE"""),3.53)</f>
        <v>3.53</v>
      </c>
      <c r="C3671" s="1">
        <f>IFERROR(__xludf.DUMMYFUNCTION("""COMPUTED_VALUE"""),3.62)</f>
        <v>3.62</v>
      </c>
      <c r="D3671" s="1">
        <f>IFERROR(__xludf.DUMMYFUNCTION("""COMPUTED_VALUE"""),3.51)</f>
        <v>3.51</v>
      </c>
      <c r="E3671" s="1">
        <f>IFERROR(__xludf.DUMMYFUNCTION("""COMPUTED_VALUE"""),3.53)</f>
        <v>3.53</v>
      </c>
      <c r="F3671" s="1">
        <f>IFERROR(__xludf.DUMMYFUNCTION("""COMPUTED_VALUE"""),102441.0)</f>
        <v>102441</v>
      </c>
    </row>
    <row r="3672">
      <c r="A3672" s="2">
        <f>IFERROR(__xludf.DUMMYFUNCTION("""COMPUTED_VALUE"""),44494.66666666667)</f>
        <v>44494.66667</v>
      </c>
      <c r="B3672" s="1">
        <f>IFERROR(__xludf.DUMMYFUNCTION("""COMPUTED_VALUE"""),3.53)</f>
        <v>3.53</v>
      </c>
      <c r="C3672" s="1">
        <f>IFERROR(__xludf.DUMMYFUNCTION("""COMPUTED_VALUE"""),3.55)</f>
        <v>3.55</v>
      </c>
      <c r="D3672" s="1">
        <f>IFERROR(__xludf.DUMMYFUNCTION("""COMPUTED_VALUE"""),3.51)</f>
        <v>3.51</v>
      </c>
      <c r="E3672" s="1">
        <f>IFERROR(__xludf.DUMMYFUNCTION("""COMPUTED_VALUE"""),3.53)</f>
        <v>3.53</v>
      </c>
      <c r="F3672" s="1">
        <f>IFERROR(__xludf.DUMMYFUNCTION("""COMPUTED_VALUE"""),113535.0)</f>
        <v>113535</v>
      </c>
    </row>
    <row r="3673">
      <c r="A3673" s="2">
        <f>IFERROR(__xludf.DUMMYFUNCTION("""COMPUTED_VALUE"""),44495.66666666667)</f>
        <v>44495.66667</v>
      </c>
      <c r="B3673" s="1">
        <f>IFERROR(__xludf.DUMMYFUNCTION("""COMPUTED_VALUE"""),3.53)</f>
        <v>3.53</v>
      </c>
      <c r="C3673" s="1">
        <f>IFERROR(__xludf.DUMMYFUNCTION("""COMPUTED_VALUE"""),3.59)</f>
        <v>3.59</v>
      </c>
      <c r="D3673" s="1">
        <f>IFERROR(__xludf.DUMMYFUNCTION("""COMPUTED_VALUE"""),3.48)</f>
        <v>3.48</v>
      </c>
      <c r="E3673" s="1">
        <f>IFERROR(__xludf.DUMMYFUNCTION("""COMPUTED_VALUE"""),3.55)</f>
        <v>3.55</v>
      </c>
      <c r="F3673" s="1">
        <f>IFERROR(__xludf.DUMMYFUNCTION("""COMPUTED_VALUE"""),370024.0)</f>
        <v>370024</v>
      </c>
    </row>
    <row r="3674">
      <c r="A3674" s="2">
        <f>IFERROR(__xludf.DUMMYFUNCTION("""COMPUTED_VALUE"""),44496.66666666667)</f>
        <v>44496.66667</v>
      </c>
      <c r="B3674" s="1">
        <f>IFERROR(__xludf.DUMMYFUNCTION("""COMPUTED_VALUE"""),3.53)</f>
        <v>3.53</v>
      </c>
      <c r="C3674" s="1">
        <f>IFERROR(__xludf.DUMMYFUNCTION("""COMPUTED_VALUE"""),3.59)</f>
        <v>3.59</v>
      </c>
      <c r="D3674" s="1">
        <f>IFERROR(__xludf.DUMMYFUNCTION("""COMPUTED_VALUE"""),3.5)</f>
        <v>3.5</v>
      </c>
      <c r="E3674" s="1">
        <f>IFERROR(__xludf.DUMMYFUNCTION("""COMPUTED_VALUE"""),3.53)</f>
        <v>3.53</v>
      </c>
      <c r="F3674" s="1">
        <f>IFERROR(__xludf.DUMMYFUNCTION("""COMPUTED_VALUE"""),107326.0)</f>
        <v>107326</v>
      </c>
    </row>
    <row r="3675">
      <c r="A3675" s="2">
        <f>IFERROR(__xludf.DUMMYFUNCTION("""COMPUTED_VALUE"""),44497.66666666667)</f>
        <v>44497.66667</v>
      </c>
      <c r="B3675" s="1">
        <f>IFERROR(__xludf.DUMMYFUNCTION("""COMPUTED_VALUE"""),3.53)</f>
        <v>3.53</v>
      </c>
      <c r="C3675" s="1">
        <f>IFERROR(__xludf.DUMMYFUNCTION("""COMPUTED_VALUE"""),3.61)</f>
        <v>3.61</v>
      </c>
      <c r="D3675" s="1">
        <f>IFERROR(__xludf.DUMMYFUNCTION("""COMPUTED_VALUE"""),3.53)</f>
        <v>3.53</v>
      </c>
      <c r="E3675" s="1">
        <f>IFERROR(__xludf.DUMMYFUNCTION("""COMPUTED_VALUE"""),3.54)</f>
        <v>3.54</v>
      </c>
      <c r="F3675" s="1">
        <f>IFERROR(__xludf.DUMMYFUNCTION("""COMPUTED_VALUE"""),183151.0)</f>
        <v>183151</v>
      </c>
    </row>
    <row r="3676">
      <c r="A3676" s="2">
        <f>IFERROR(__xludf.DUMMYFUNCTION("""COMPUTED_VALUE"""),44498.66666666667)</f>
        <v>44498.66667</v>
      </c>
      <c r="B3676" s="1">
        <f>IFERROR(__xludf.DUMMYFUNCTION("""COMPUTED_VALUE"""),3.55)</f>
        <v>3.55</v>
      </c>
      <c r="C3676" s="1">
        <f>IFERROR(__xludf.DUMMYFUNCTION("""COMPUTED_VALUE"""),3.62)</f>
        <v>3.62</v>
      </c>
      <c r="D3676" s="1">
        <f>IFERROR(__xludf.DUMMYFUNCTION("""COMPUTED_VALUE"""),3.53)</f>
        <v>3.53</v>
      </c>
      <c r="E3676" s="1">
        <f>IFERROR(__xludf.DUMMYFUNCTION("""COMPUTED_VALUE"""),3.54)</f>
        <v>3.54</v>
      </c>
      <c r="F3676" s="1">
        <f>IFERROR(__xludf.DUMMYFUNCTION("""COMPUTED_VALUE"""),337119.0)</f>
        <v>337119</v>
      </c>
    </row>
    <row r="3677">
      <c r="A3677" s="2">
        <f>IFERROR(__xludf.DUMMYFUNCTION("""COMPUTED_VALUE"""),44501.66666666667)</f>
        <v>44501.66667</v>
      </c>
      <c r="B3677" s="1">
        <f>IFERROR(__xludf.DUMMYFUNCTION("""COMPUTED_VALUE"""),3.55)</f>
        <v>3.55</v>
      </c>
      <c r="C3677" s="1">
        <f>IFERROR(__xludf.DUMMYFUNCTION("""COMPUTED_VALUE"""),3.67)</f>
        <v>3.67</v>
      </c>
      <c r="D3677" s="1">
        <f>IFERROR(__xludf.DUMMYFUNCTION("""COMPUTED_VALUE"""),3.55)</f>
        <v>3.55</v>
      </c>
      <c r="E3677" s="1">
        <f>IFERROR(__xludf.DUMMYFUNCTION("""COMPUTED_VALUE"""),3.67)</f>
        <v>3.67</v>
      </c>
      <c r="F3677" s="1">
        <f>IFERROR(__xludf.DUMMYFUNCTION("""COMPUTED_VALUE"""),154083.0)</f>
        <v>154083</v>
      </c>
    </row>
    <row r="3678">
      <c r="A3678" s="2">
        <f>IFERROR(__xludf.DUMMYFUNCTION("""COMPUTED_VALUE"""),44502.66666666667)</f>
        <v>44502.66667</v>
      </c>
      <c r="B3678" s="1">
        <f>IFERROR(__xludf.DUMMYFUNCTION("""COMPUTED_VALUE"""),3.67)</f>
        <v>3.67</v>
      </c>
      <c r="C3678" s="1">
        <f>IFERROR(__xludf.DUMMYFUNCTION("""COMPUTED_VALUE"""),3.71)</f>
        <v>3.71</v>
      </c>
      <c r="D3678" s="1">
        <f>IFERROR(__xludf.DUMMYFUNCTION("""COMPUTED_VALUE"""),3.66)</f>
        <v>3.66</v>
      </c>
      <c r="E3678" s="1">
        <f>IFERROR(__xludf.DUMMYFUNCTION("""COMPUTED_VALUE"""),3.71)</f>
        <v>3.71</v>
      </c>
      <c r="F3678" s="1">
        <f>IFERROR(__xludf.DUMMYFUNCTION("""COMPUTED_VALUE"""),173490.0)</f>
        <v>173490</v>
      </c>
    </row>
    <row r="3679">
      <c r="A3679" s="2">
        <f>IFERROR(__xludf.DUMMYFUNCTION("""COMPUTED_VALUE"""),44503.66666666667)</f>
        <v>44503.66667</v>
      </c>
      <c r="B3679" s="1">
        <f>IFERROR(__xludf.DUMMYFUNCTION("""COMPUTED_VALUE"""),4.14)</f>
        <v>4.14</v>
      </c>
      <c r="C3679" s="1">
        <f>IFERROR(__xludf.DUMMYFUNCTION("""COMPUTED_VALUE"""),4.4)</f>
        <v>4.4</v>
      </c>
      <c r="D3679" s="1">
        <f>IFERROR(__xludf.DUMMYFUNCTION("""COMPUTED_VALUE"""),4.03)</f>
        <v>4.03</v>
      </c>
      <c r="E3679" s="1">
        <f>IFERROR(__xludf.DUMMYFUNCTION("""COMPUTED_VALUE"""),4.19)</f>
        <v>4.19</v>
      </c>
      <c r="F3679" s="1">
        <f>IFERROR(__xludf.DUMMYFUNCTION("""COMPUTED_VALUE"""),858655.0)</f>
        <v>858655</v>
      </c>
    </row>
    <row r="3680">
      <c r="A3680" s="2">
        <f>IFERROR(__xludf.DUMMYFUNCTION("""COMPUTED_VALUE"""),44504.66666666667)</f>
        <v>44504.66667</v>
      </c>
      <c r="B3680" s="1">
        <f>IFERROR(__xludf.DUMMYFUNCTION("""COMPUTED_VALUE"""),4.19)</f>
        <v>4.19</v>
      </c>
      <c r="C3680" s="1">
        <f>IFERROR(__xludf.DUMMYFUNCTION("""COMPUTED_VALUE"""),4.71)</f>
        <v>4.71</v>
      </c>
      <c r="D3680" s="1">
        <f>IFERROR(__xludf.DUMMYFUNCTION("""COMPUTED_VALUE"""),4.19)</f>
        <v>4.19</v>
      </c>
      <c r="E3680" s="1">
        <f>IFERROR(__xludf.DUMMYFUNCTION("""COMPUTED_VALUE"""),4.7)</f>
        <v>4.7</v>
      </c>
      <c r="F3680" s="1">
        <f>IFERROR(__xludf.DUMMYFUNCTION("""COMPUTED_VALUE"""),1179002.0)</f>
        <v>1179002</v>
      </c>
    </row>
    <row r="3681">
      <c r="A3681" s="2">
        <f>IFERROR(__xludf.DUMMYFUNCTION("""COMPUTED_VALUE"""),44505.66666666667)</f>
        <v>44505.66667</v>
      </c>
      <c r="B3681" s="1">
        <f>IFERROR(__xludf.DUMMYFUNCTION("""COMPUTED_VALUE"""),4.6)</f>
        <v>4.6</v>
      </c>
      <c r="C3681" s="1">
        <f>IFERROR(__xludf.DUMMYFUNCTION("""COMPUTED_VALUE"""),4.71)</f>
        <v>4.71</v>
      </c>
      <c r="D3681" s="1">
        <f>IFERROR(__xludf.DUMMYFUNCTION("""COMPUTED_VALUE"""),4.47)</f>
        <v>4.47</v>
      </c>
      <c r="E3681" s="1">
        <f>IFERROR(__xludf.DUMMYFUNCTION("""COMPUTED_VALUE"""),4.66)</f>
        <v>4.66</v>
      </c>
      <c r="F3681" s="1">
        <f>IFERROR(__xludf.DUMMYFUNCTION("""COMPUTED_VALUE"""),725664.0)</f>
        <v>725664</v>
      </c>
    </row>
    <row r="3682">
      <c r="A3682" s="2">
        <f>IFERROR(__xludf.DUMMYFUNCTION("""COMPUTED_VALUE"""),44508.66666666667)</f>
        <v>44508.66667</v>
      </c>
      <c r="B3682" s="1">
        <f>IFERROR(__xludf.DUMMYFUNCTION("""COMPUTED_VALUE"""),4.66)</f>
        <v>4.66</v>
      </c>
      <c r="C3682" s="1">
        <f>IFERROR(__xludf.DUMMYFUNCTION("""COMPUTED_VALUE"""),4.7)</f>
        <v>4.7</v>
      </c>
      <c r="D3682" s="1">
        <f>IFERROR(__xludf.DUMMYFUNCTION("""COMPUTED_VALUE"""),4.49)</f>
        <v>4.49</v>
      </c>
      <c r="E3682" s="1">
        <f>IFERROR(__xludf.DUMMYFUNCTION("""COMPUTED_VALUE"""),4.5)</f>
        <v>4.5</v>
      </c>
      <c r="F3682" s="1">
        <f>IFERROR(__xludf.DUMMYFUNCTION("""COMPUTED_VALUE"""),257810.0)</f>
        <v>257810</v>
      </c>
    </row>
    <row r="3683">
      <c r="A3683" s="2">
        <f>IFERROR(__xludf.DUMMYFUNCTION("""COMPUTED_VALUE"""),44509.66666666667)</f>
        <v>44509.66667</v>
      </c>
      <c r="B3683" s="1">
        <f>IFERROR(__xludf.DUMMYFUNCTION("""COMPUTED_VALUE"""),4.48)</f>
        <v>4.48</v>
      </c>
      <c r="C3683" s="1">
        <f>IFERROR(__xludf.DUMMYFUNCTION("""COMPUTED_VALUE"""),4.55)</f>
        <v>4.55</v>
      </c>
      <c r="D3683" s="1">
        <f>IFERROR(__xludf.DUMMYFUNCTION("""COMPUTED_VALUE"""),4.47)</f>
        <v>4.47</v>
      </c>
      <c r="E3683" s="1">
        <f>IFERROR(__xludf.DUMMYFUNCTION("""COMPUTED_VALUE"""),4.48)</f>
        <v>4.48</v>
      </c>
      <c r="F3683" s="1">
        <f>IFERROR(__xludf.DUMMYFUNCTION("""COMPUTED_VALUE"""),180156.0)</f>
        <v>180156</v>
      </c>
    </row>
    <row r="3684">
      <c r="A3684" s="2">
        <f>IFERROR(__xludf.DUMMYFUNCTION("""COMPUTED_VALUE"""),44510.66666666667)</f>
        <v>44510.66667</v>
      </c>
      <c r="B3684" s="1">
        <f>IFERROR(__xludf.DUMMYFUNCTION("""COMPUTED_VALUE"""),4.45)</f>
        <v>4.45</v>
      </c>
      <c r="C3684" s="1">
        <f>IFERROR(__xludf.DUMMYFUNCTION("""COMPUTED_VALUE"""),4.47)</f>
        <v>4.47</v>
      </c>
      <c r="D3684" s="1">
        <f>IFERROR(__xludf.DUMMYFUNCTION("""COMPUTED_VALUE"""),4.33)</f>
        <v>4.33</v>
      </c>
      <c r="E3684" s="1">
        <f>IFERROR(__xludf.DUMMYFUNCTION("""COMPUTED_VALUE"""),4.38)</f>
        <v>4.38</v>
      </c>
      <c r="F3684" s="1">
        <f>IFERROR(__xludf.DUMMYFUNCTION("""COMPUTED_VALUE"""),233313.0)</f>
        <v>233313</v>
      </c>
    </row>
    <row r="3685">
      <c r="A3685" s="2">
        <f>IFERROR(__xludf.DUMMYFUNCTION("""COMPUTED_VALUE"""),44511.66666666667)</f>
        <v>44511.66667</v>
      </c>
      <c r="B3685" s="1">
        <f>IFERROR(__xludf.DUMMYFUNCTION("""COMPUTED_VALUE"""),4.37)</f>
        <v>4.37</v>
      </c>
      <c r="C3685" s="1">
        <f>IFERROR(__xludf.DUMMYFUNCTION("""COMPUTED_VALUE"""),4.46)</f>
        <v>4.46</v>
      </c>
      <c r="D3685" s="1">
        <f>IFERROR(__xludf.DUMMYFUNCTION("""COMPUTED_VALUE"""),4.37)</f>
        <v>4.37</v>
      </c>
      <c r="E3685" s="1">
        <f>IFERROR(__xludf.DUMMYFUNCTION("""COMPUTED_VALUE"""),4.43)</f>
        <v>4.43</v>
      </c>
      <c r="F3685" s="1">
        <f>IFERROR(__xludf.DUMMYFUNCTION("""COMPUTED_VALUE"""),117838.0)</f>
        <v>117838</v>
      </c>
    </row>
    <row r="3686">
      <c r="A3686" s="2">
        <f>IFERROR(__xludf.DUMMYFUNCTION("""COMPUTED_VALUE"""),44512.66666666667)</f>
        <v>44512.66667</v>
      </c>
      <c r="B3686" s="1">
        <f>IFERROR(__xludf.DUMMYFUNCTION("""COMPUTED_VALUE"""),4.46)</f>
        <v>4.46</v>
      </c>
      <c r="C3686" s="1">
        <f>IFERROR(__xludf.DUMMYFUNCTION("""COMPUTED_VALUE"""),4.48)</f>
        <v>4.48</v>
      </c>
      <c r="D3686" s="1">
        <f>IFERROR(__xludf.DUMMYFUNCTION("""COMPUTED_VALUE"""),4.33)</f>
        <v>4.33</v>
      </c>
      <c r="E3686" s="1">
        <f>IFERROR(__xludf.DUMMYFUNCTION("""COMPUTED_VALUE"""),4.37)</f>
        <v>4.37</v>
      </c>
      <c r="F3686" s="1">
        <f>IFERROR(__xludf.DUMMYFUNCTION("""COMPUTED_VALUE"""),93821.0)</f>
        <v>93821</v>
      </c>
    </row>
    <row r="3687">
      <c r="A3687" s="2">
        <f>IFERROR(__xludf.DUMMYFUNCTION("""COMPUTED_VALUE"""),44515.66666666667)</f>
        <v>44515.66667</v>
      </c>
      <c r="B3687" s="1">
        <f>IFERROR(__xludf.DUMMYFUNCTION("""COMPUTED_VALUE"""),4.36)</f>
        <v>4.36</v>
      </c>
      <c r="C3687" s="1">
        <f>IFERROR(__xludf.DUMMYFUNCTION("""COMPUTED_VALUE"""),4.36)</f>
        <v>4.36</v>
      </c>
      <c r="D3687" s="1">
        <f>IFERROR(__xludf.DUMMYFUNCTION("""COMPUTED_VALUE"""),4.23)</f>
        <v>4.23</v>
      </c>
      <c r="E3687" s="1">
        <f>IFERROR(__xludf.DUMMYFUNCTION("""COMPUTED_VALUE"""),4.31)</f>
        <v>4.31</v>
      </c>
      <c r="F3687" s="1">
        <f>IFERROR(__xludf.DUMMYFUNCTION("""COMPUTED_VALUE"""),158401.0)</f>
        <v>158401</v>
      </c>
    </row>
    <row r="3688">
      <c r="A3688" s="2">
        <f>IFERROR(__xludf.DUMMYFUNCTION("""COMPUTED_VALUE"""),44516.66666666667)</f>
        <v>44516.66667</v>
      </c>
      <c r="B3688" s="1">
        <f>IFERROR(__xludf.DUMMYFUNCTION("""COMPUTED_VALUE"""),4.28)</f>
        <v>4.28</v>
      </c>
      <c r="C3688" s="1">
        <f>IFERROR(__xludf.DUMMYFUNCTION("""COMPUTED_VALUE"""),4.4)</f>
        <v>4.4</v>
      </c>
      <c r="D3688" s="1">
        <f>IFERROR(__xludf.DUMMYFUNCTION("""COMPUTED_VALUE"""),4.26)</f>
        <v>4.26</v>
      </c>
      <c r="E3688" s="1">
        <f>IFERROR(__xludf.DUMMYFUNCTION("""COMPUTED_VALUE"""),4.4)</f>
        <v>4.4</v>
      </c>
      <c r="F3688" s="1">
        <f>IFERROR(__xludf.DUMMYFUNCTION("""COMPUTED_VALUE"""),255999.0)</f>
        <v>255999</v>
      </c>
    </row>
    <row r="3689">
      <c r="A3689" s="2">
        <f>IFERROR(__xludf.DUMMYFUNCTION("""COMPUTED_VALUE"""),44517.66666666667)</f>
        <v>44517.66667</v>
      </c>
      <c r="B3689" s="1">
        <f>IFERROR(__xludf.DUMMYFUNCTION("""COMPUTED_VALUE"""),4.38)</f>
        <v>4.38</v>
      </c>
      <c r="C3689" s="1">
        <f>IFERROR(__xludf.DUMMYFUNCTION("""COMPUTED_VALUE"""),4.41)</f>
        <v>4.41</v>
      </c>
      <c r="D3689" s="1">
        <f>IFERROR(__xludf.DUMMYFUNCTION("""COMPUTED_VALUE"""),4.22)</f>
        <v>4.22</v>
      </c>
      <c r="E3689" s="1">
        <f>IFERROR(__xludf.DUMMYFUNCTION("""COMPUTED_VALUE"""),4.25)</f>
        <v>4.25</v>
      </c>
      <c r="F3689" s="1">
        <f>IFERROR(__xludf.DUMMYFUNCTION("""COMPUTED_VALUE"""),144728.0)</f>
        <v>144728</v>
      </c>
    </row>
    <row r="3690">
      <c r="A3690" s="2">
        <f>IFERROR(__xludf.DUMMYFUNCTION("""COMPUTED_VALUE"""),44518.66666666667)</f>
        <v>44518.66667</v>
      </c>
      <c r="B3690" s="1">
        <f>IFERROR(__xludf.DUMMYFUNCTION("""COMPUTED_VALUE"""),4.26)</f>
        <v>4.26</v>
      </c>
      <c r="C3690" s="1">
        <f>IFERROR(__xludf.DUMMYFUNCTION("""COMPUTED_VALUE"""),4.29)</f>
        <v>4.29</v>
      </c>
      <c r="D3690" s="1">
        <f>IFERROR(__xludf.DUMMYFUNCTION("""COMPUTED_VALUE"""),4.19)</f>
        <v>4.19</v>
      </c>
      <c r="E3690" s="1">
        <f>IFERROR(__xludf.DUMMYFUNCTION("""COMPUTED_VALUE"""),4.29)</f>
        <v>4.29</v>
      </c>
      <c r="F3690" s="1">
        <f>IFERROR(__xludf.DUMMYFUNCTION("""COMPUTED_VALUE"""),160021.0)</f>
        <v>160021</v>
      </c>
    </row>
    <row r="3691">
      <c r="A3691" s="2">
        <f>IFERROR(__xludf.DUMMYFUNCTION("""COMPUTED_VALUE"""),44519.66666666667)</f>
        <v>44519.66667</v>
      </c>
      <c r="B3691" s="1">
        <f>IFERROR(__xludf.DUMMYFUNCTION("""COMPUTED_VALUE"""),4.24)</f>
        <v>4.24</v>
      </c>
      <c r="C3691" s="1">
        <f>IFERROR(__xludf.DUMMYFUNCTION("""COMPUTED_VALUE"""),4.31)</f>
        <v>4.31</v>
      </c>
      <c r="D3691" s="1">
        <f>IFERROR(__xludf.DUMMYFUNCTION("""COMPUTED_VALUE"""),4.19)</f>
        <v>4.19</v>
      </c>
      <c r="E3691" s="1">
        <f>IFERROR(__xludf.DUMMYFUNCTION("""COMPUTED_VALUE"""),4.22)</f>
        <v>4.22</v>
      </c>
      <c r="F3691" s="1">
        <f>IFERROR(__xludf.DUMMYFUNCTION("""COMPUTED_VALUE"""),184977.0)</f>
        <v>184977</v>
      </c>
    </row>
    <row r="3692">
      <c r="A3692" s="2">
        <f>IFERROR(__xludf.DUMMYFUNCTION("""COMPUTED_VALUE"""),44522.66666666667)</f>
        <v>44522.66667</v>
      </c>
      <c r="B3692" s="1">
        <f>IFERROR(__xludf.DUMMYFUNCTION("""COMPUTED_VALUE"""),4.23)</f>
        <v>4.23</v>
      </c>
      <c r="C3692" s="1">
        <f>IFERROR(__xludf.DUMMYFUNCTION("""COMPUTED_VALUE"""),4.35)</f>
        <v>4.35</v>
      </c>
      <c r="D3692" s="1">
        <f>IFERROR(__xludf.DUMMYFUNCTION("""COMPUTED_VALUE"""),4.21)</f>
        <v>4.21</v>
      </c>
      <c r="E3692" s="1">
        <f>IFERROR(__xludf.DUMMYFUNCTION("""COMPUTED_VALUE"""),4.22)</f>
        <v>4.22</v>
      </c>
      <c r="F3692" s="1">
        <f>IFERROR(__xludf.DUMMYFUNCTION("""COMPUTED_VALUE"""),168377.0)</f>
        <v>168377</v>
      </c>
    </row>
    <row r="3693">
      <c r="A3693" s="2">
        <f>IFERROR(__xludf.DUMMYFUNCTION("""COMPUTED_VALUE"""),44523.66666666667)</f>
        <v>44523.66667</v>
      </c>
      <c r="B3693" s="1">
        <f>IFERROR(__xludf.DUMMYFUNCTION("""COMPUTED_VALUE"""),4.2)</f>
        <v>4.2</v>
      </c>
      <c r="C3693" s="1">
        <f>IFERROR(__xludf.DUMMYFUNCTION("""COMPUTED_VALUE"""),4.27)</f>
        <v>4.27</v>
      </c>
      <c r="D3693" s="1">
        <f>IFERROR(__xludf.DUMMYFUNCTION("""COMPUTED_VALUE"""),4.16)</f>
        <v>4.16</v>
      </c>
      <c r="E3693" s="1">
        <f>IFERROR(__xludf.DUMMYFUNCTION("""COMPUTED_VALUE"""),4.18)</f>
        <v>4.18</v>
      </c>
      <c r="F3693" s="1">
        <f>IFERROR(__xludf.DUMMYFUNCTION("""COMPUTED_VALUE"""),132674.0)</f>
        <v>132674</v>
      </c>
    </row>
    <row r="3694">
      <c r="A3694" s="2">
        <f>IFERROR(__xludf.DUMMYFUNCTION("""COMPUTED_VALUE"""),44524.66666666667)</f>
        <v>44524.66667</v>
      </c>
      <c r="B3694" s="1">
        <f>IFERROR(__xludf.DUMMYFUNCTION("""COMPUTED_VALUE"""),4.17)</f>
        <v>4.17</v>
      </c>
      <c r="C3694" s="1">
        <f>IFERROR(__xludf.DUMMYFUNCTION("""COMPUTED_VALUE"""),4.23)</f>
        <v>4.23</v>
      </c>
      <c r="D3694" s="1">
        <f>IFERROR(__xludf.DUMMYFUNCTION("""COMPUTED_VALUE"""),4.14)</f>
        <v>4.14</v>
      </c>
      <c r="E3694" s="1">
        <f>IFERROR(__xludf.DUMMYFUNCTION("""COMPUTED_VALUE"""),4.2)</f>
        <v>4.2</v>
      </c>
      <c r="F3694" s="1">
        <f>IFERROR(__xludf.DUMMYFUNCTION("""COMPUTED_VALUE"""),107923.0)</f>
        <v>107923</v>
      </c>
    </row>
    <row r="3695">
      <c r="A3695" s="2">
        <f>IFERROR(__xludf.DUMMYFUNCTION("""COMPUTED_VALUE"""),44526.54166666667)</f>
        <v>44526.54167</v>
      </c>
      <c r="B3695" s="1">
        <f>IFERROR(__xludf.DUMMYFUNCTION("""COMPUTED_VALUE"""),4.12)</f>
        <v>4.12</v>
      </c>
      <c r="C3695" s="1">
        <f>IFERROR(__xludf.DUMMYFUNCTION("""COMPUTED_VALUE"""),4.15)</f>
        <v>4.15</v>
      </c>
      <c r="D3695" s="1">
        <f>IFERROR(__xludf.DUMMYFUNCTION("""COMPUTED_VALUE"""),3.94)</f>
        <v>3.94</v>
      </c>
      <c r="E3695" s="1">
        <f>IFERROR(__xludf.DUMMYFUNCTION("""COMPUTED_VALUE"""),4.04)</f>
        <v>4.04</v>
      </c>
      <c r="F3695" s="1">
        <f>IFERROR(__xludf.DUMMYFUNCTION("""COMPUTED_VALUE"""),188360.0)</f>
        <v>188360</v>
      </c>
    </row>
    <row r="3696">
      <c r="A3696" s="2">
        <f>IFERROR(__xludf.DUMMYFUNCTION("""COMPUTED_VALUE"""),44529.66666666667)</f>
        <v>44529.66667</v>
      </c>
      <c r="B3696" s="1">
        <f>IFERROR(__xludf.DUMMYFUNCTION("""COMPUTED_VALUE"""),4.06)</f>
        <v>4.06</v>
      </c>
      <c r="C3696" s="1">
        <f>IFERROR(__xludf.DUMMYFUNCTION("""COMPUTED_VALUE"""),4.11)</f>
        <v>4.11</v>
      </c>
      <c r="D3696" s="1">
        <f>IFERROR(__xludf.DUMMYFUNCTION("""COMPUTED_VALUE"""),4.0)</f>
        <v>4</v>
      </c>
      <c r="E3696" s="1">
        <f>IFERROR(__xludf.DUMMYFUNCTION("""COMPUTED_VALUE"""),4.06)</f>
        <v>4.06</v>
      </c>
      <c r="F3696" s="1">
        <f>IFERROR(__xludf.DUMMYFUNCTION("""COMPUTED_VALUE"""),207186.0)</f>
        <v>207186</v>
      </c>
    </row>
    <row r="3697">
      <c r="A3697" s="2">
        <f>IFERROR(__xludf.DUMMYFUNCTION("""COMPUTED_VALUE"""),44530.66666666667)</f>
        <v>44530.66667</v>
      </c>
      <c r="B3697" s="1">
        <f>IFERROR(__xludf.DUMMYFUNCTION("""COMPUTED_VALUE"""),4.02)</f>
        <v>4.02</v>
      </c>
      <c r="C3697" s="1">
        <f>IFERROR(__xludf.DUMMYFUNCTION("""COMPUTED_VALUE"""),4.17)</f>
        <v>4.17</v>
      </c>
      <c r="D3697" s="1">
        <f>IFERROR(__xludf.DUMMYFUNCTION("""COMPUTED_VALUE"""),3.98)</f>
        <v>3.98</v>
      </c>
      <c r="E3697" s="1">
        <f>IFERROR(__xludf.DUMMYFUNCTION("""COMPUTED_VALUE"""),4.14)</f>
        <v>4.14</v>
      </c>
      <c r="F3697" s="1">
        <f>IFERROR(__xludf.DUMMYFUNCTION("""COMPUTED_VALUE"""),354801.0)</f>
        <v>354801</v>
      </c>
    </row>
    <row r="3698">
      <c r="A3698" s="2">
        <f>IFERROR(__xludf.DUMMYFUNCTION("""COMPUTED_VALUE"""),44531.66666666667)</f>
        <v>44531.66667</v>
      </c>
      <c r="B3698" s="1">
        <f>IFERROR(__xludf.DUMMYFUNCTION("""COMPUTED_VALUE"""),4.2)</f>
        <v>4.2</v>
      </c>
      <c r="C3698" s="1">
        <f>IFERROR(__xludf.DUMMYFUNCTION("""COMPUTED_VALUE"""),4.32)</f>
        <v>4.32</v>
      </c>
      <c r="D3698" s="1">
        <f>IFERROR(__xludf.DUMMYFUNCTION("""COMPUTED_VALUE"""),4.17)</f>
        <v>4.17</v>
      </c>
      <c r="E3698" s="1">
        <f>IFERROR(__xludf.DUMMYFUNCTION("""COMPUTED_VALUE"""),4.24)</f>
        <v>4.24</v>
      </c>
      <c r="F3698" s="1">
        <f>IFERROR(__xludf.DUMMYFUNCTION("""COMPUTED_VALUE"""),335076.0)</f>
        <v>335076</v>
      </c>
    </row>
    <row r="3699">
      <c r="A3699" s="2">
        <f>IFERROR(__xludf.DUMMYFUNCTION("""COMPUTED_VALUE"""),44532.66666666667)</f>
        <v>44532.66667</v>
      </c>
      <c r="B3699" s="1">
        <f>IFERROR(__xludf.DUMMYFUNCTION("""COMPUTED_VALUE"""),4.25)</f>
        <v>4.25</v>
      </c>
      <c r="C3699" s="1">
        <f>IFERROR(__xludf.DUMMYFUNCTION("""COMPUTED_VALUE"""),4.33)</f>
        <v>4.33</v>
      </c>
      <c r="D3699" s="1">
        <f>IFERROR(__xludf.DUMMYFUNCTION("""COMPUTED_VALUE"""),4.2)</f>
        <v>4.2</v>
      </c>
      <c r="E3699" s="1">
        <f>IFERROR(__xludf.DUMMYFUNCTION("""COMPUTED_VALUE"""),4.28)</f>
        <v>4.28</v>
      </c>
      <c r="F3699" s="1">
        <f>IFERROR(__xludf.DUMMYFUNCTION("""COMPUTED_VALUE"""),176222.0)</f>
        <v>176222</v>
      </c>
    </row>
    <row r="3700">
      <c r="A3700" s="2">
        <f>IFERROR(__xludf.DUMMYFUNCTION("""COMPUTED_VALUE"""),44533.66666666667)</f>
        <v>44533.66667</v>
      </c>
      <c r="B3700" s="1">
        <f>IFERROR(__xludf.DUMMYFUNCTION("""COMPUTED_VALUE"""),4.29)</f>
        <v>4.29</v>
      </c>
      <c r="C3700" s="1">
        <f>IFERROR(__xludf.DUMMYFUNCTION("""COMPUTED_VALUE"""),4.35)</f>
        <v>4.35</v>
      </c>
      <c r="D3700" s="1">
        <f>IFERROR(__xludf.DUMMYFUNCTION("""COMPUTED_VALUE"""),4.19)</f>
        <v>4.19</v>
      </c>
      <c r="E3700" s="1">
        <f>IFERROR(__xludf.DUMMYFUNCTION("""COMPUTED_VALUE"""),4.32)</f>
        <v>4.32</v>
      </c>
      <c r="F3700" s="1">
        <f>IFERROR(__xludf.DUMMYFUNCTION("""COMPUTED_VALUE"""),188856.0)</f>
        <v>188856</v>
      </c>
    </row>
    <row r="3701">
      <c r="A3701" s="2">
        <f>IFERROR(__xludf.DUMMYFUNCTION("""COMPUTED_VALUE"""),44536.66666666667)</f>
        <v>44536.66667</v>
      </c>
      <c r="B3701" s="1">
        <f>IFERROR(__xludf.DUMMYFUNCTION("""COMPUTED_VALUE"""),4.37)</f>
        <v>4.37</v>
      </c>
      <c r="C3701" s="1">
        <f>IFERROR(__xludf.DUMMYFUNCTION("""COMPUTED_VALUE"""),4.39)</f>
        <v>4.39</v>
      </c>
      <c r="D3701" s="1">
        <f>IFERROR(__xludf.DUMMYFUNCTION("""COMPUTED_VALUE"""),4.27)</f>
        <v>4.27</v>
      </c>
      <c r="E3701" s="1">
        <f>IFERROR(__xludf.DUMMYFUNCTION("""COMPUTED_VALUE"""),4.27)</f>
        <v>4.27</v>
      </c>
      <c r="F3701" s="1">
        <f>IFERROR(__xludf.DUMMYFUNCTION("""COMPUTED_VALUE"""),201186.0)</f>
        <v>201186</v>
      </c>
    </row>
    <row r="3702">
      <c r="A3702" s="2">
        <f>IFERROR(__xludf.DUMMYFUNCTION("""COMPUTED_VALUE"""),44537.66666666667)</f>
        <v>44537.66667</v>
      </c>
      <c r="B3702" s="1">
        <f>IFERROR(__xludf.DUMMYFUNCTION("""COMPUTED_VALUE"""),4.32)</f>
        <v>4.32</v>
      </c>
      <c r="C3702" s="1">
        <f>IFERROR(__xludf.DUMMYFUNCTION("""COMPUTED_VALUE"""),4.41)</f>
        <v>4.41</v>
      </c>
      <c r="D3702" s="1">
        <f>IFERROR(__xludf.DUMMYFUNCTION("""COMPUTED_VALUE"""),4.31)</f>
        <v>4.31</v>
      </c>
      <c r="E3702" s="1">
        <f>IFERROR(__xludf.DUMMYFUNCTION("""COMPUTED_VALUE"""),4.39)</f>
        <v>4.39</v>
      </c>
      <c r="F3702" s="1">
        <f>IFERROR(__xludf.DUMMYFUNCTION("""COMPUTED_VALUE"""),166434.0)</f>
        <v>166434</v>
      </c>
    </row>
    <row r="3703">
      <c r="A3703" s="2">
        <f>IFERROR(__xludf.DUMMYFUNCTION("""COMPUTED_VALUE"""),44538.66666666667)</f>
        <v>44538.66667</v>
      </c>
      <c r="B3703" s="1">
        <f>IFERROR(__xludf.DUMMYFUNCTION("""COMPUTED_VALUE"""),4.42)</f>
        <v>4.42</v>
      </c>
      <c r="C3703" s="1">
        <f>IFERROR(__xludf.DUMMYFUNCTION("""COMPUTED_VALUE"""),4.48)</f>
        <v>4.48</v>
      </c>
      <c r="D3703" s="1">
        <f>IFERROR(__xludf.DUMMYFUNCTION("""COMPUTED_VALUE"""),4.32)</f>
        <v>4.32</v>
      </c>
      <c r="E3703" s="1">
        <f>IFERROR(__xludf.DUMMYFUNCTION("""COMPUTED_VALUE"""),4.37)</f>
        <v>4.37</v>
      </c>
      <c r="F3703" s="1">
        <f>IFERROR(__xludf.DUMMYFUNCTION("""COMPUTED_VALUE"""),152866.0)</f>
        <v>152866</v>
      </c>
    </row>
    <row r="3704">
      <c r="A3704" s="2">
        <f>IFERROR(__xludf.DUMMYFUNCTION("""COMPUTED_VALUE"""),44539.66666666667)</f>
        <v>44539.66667</v>
      </c>
      <c r="B3704" s="1">
        <f>IFERROR(__xludf.DUMMYFUNCTION("""COMPUTED_VALUE"""),4.34)</f>
        <v>4.34</v>
      </c>
      <c r="C3704" s="1">
        <f>IFERROR(__xludf.DUMMYFUNCTION("""COMPUTED_VALUE"""),4.38)</f>
        <v>4.38</v>
      </c>
      <c r="D3704" s="1">
        <f>IFERROR(__xludf.DUMMYFUNCTION("""COMPUTED_VALUE"""),4.24)</f>
        <v>4.24</v>
      </c>
      <c r="E3704" s="1">
        <f>IFERROR(__xludf.DUMMYFUNCTION("""COMPUTED_VALUE"""),4.24)</f>
        <v>4.24</v>
      </c>
      <c r="F3704" s="1">
        <f>IFERROR(__xludf.DUMMYFUNCTION("""COMPUTED_VALUE"""),148997.0)</f>
        <v>148997</v>
      </c>
    </row>
    <row r="3705">
      <c r="A3705" s="2">
        <f>IFERROR(__xludf.DUMMYFUNCTION("""COMPUTED_VALUE"""),44540.66666666667)</f>
        <v>44540.66667</v>
      </c>
      <c r="B3705" s="1">
        <f>IFERROR(__xludf.DUMMYFUNCTION("""COMPUTED_VALUE"""),4.34)</f>
        <v>4.34</v>
      </c>
      <c r="C3705" s="1">
        <f>IFERROR(__xludf.DUMMYFUNCTION("""COMPUTED_VALUE"""),4.35)</f>
        <v>4.35</v>
      </c>
      <c r="D3705" s="1">
        <f>IFERROR(__xludf.DUMMYFUNCTION("""COMPUTED_VALUE"""),4.22)</f>
        <v>4.22</v>
      </c>
      <c r="E3705" s="1">
        <f>IFERROR(__xludf.DUMMYFUNCTION("""COMPUTED_VALUE"""),4.29)</f>
        <v>4.29</v>
      </c>
      <c r="F3705" s="1">
        <f>IFERROR(__xludf.DUMMYFUNCTION("""COMPUTED_VALUE"""),219221.0)</f>
        <v>219221</v>
      </c>
    </row>
    <row r="3706">
      <c r="A3706" s="2">
        <f>IFERROR(__xludf.DUMMYFUNCTION("""COMPUTED_VALUE"""),44543.66666666667)</f>
        <v>44543.66667</v>
      </c>
      <c r="B3706" s="1">
        <f>IFERROR(__xludf.DUMMYFUNCTION("""COMPUTED_VALUE"""),4.28)</f>
        <v>4.28</v>
      </c>
      <c r="C3706" s="1">
        <f>IFERROR(__xludf.DUMMYFUNCTION("""COMPUTED_VALUE"""),4.32)</f>
        <v>4.32</v>
      </c>
      <c r="D3706" s="1">
        <f>IFERROR(__xludf.DUMMYFUNCTION("""COMPUTED_VALUE"""),4.19)</f>
        <v>4.19</v>
      </c>
      <c r="E3706" s="1">
        <f>IFERROR(__xludf.DUMMYFUNCTION("""COMPUTED_VALUE"""),4.19)</f>
        <v>4.19</v>
      </c>
      <c r="F3706" s="1">
        <f>IFERROR(__xludf.DUMMYFUNCTION("""COMPUTED_VALUE"""),145880.0)</f>
        <v>145880</v>
      </c>
    </row>
    <row r="3707">
      <c r="A3707" s="2">
        <f>IFERROR(__xludf.DUMMYFUNCTION("""COMPUTED_VALUE"""),44544.66666666667)</f>
        <v>44544.66667</v>
      </c>
      <c r="B3707" s="1">
        <f>IFERROR(__xludf.DUMMYFUNCTION("""COMPUTED_VALUE"""),4.18)</f>
        <v>4.18</v>
      </c>
      <c r="C3707" s="1">
        <f>IFERROR(__xludf.DUMMYFUNCTION("""COMPUTED_VALUE"""),4.21)</f>
        <v>4.21</v>
      </c>
      <c r="D3707" s="1">
        <f>IFERROR(__xludf.DUMMYFUNCTION("""COMPUTED_VALUE"""),4.11)</f>
        <v>4.11</v>
      </c>
      <c r="E3707" s="1">
        <f>IFERROR(__xludf.DUMMYFUNCTION("""COMPUTED_VALUE"""),4.16)</f>
        <v>4.16</v>
      </c>
      <c r="F3707" s="1">
        <f>IFERROR(__xludf.DUMMYFUNCTION("""COMPUTED_VALUE"""),140921.0)</f>
        <v>140921</v>
      </c>
    </row>
    <row r="3708">
      <c r="A3708" s="2">
        <f>IFERROR(__xludf.DUMMYFUNCTION("""COMPUTED_VALUE"""),44545.66666666667)</f>
        <v>44545.66667</v>
      </c>
      <c r="B3708" s="1">
        <f>IFERROR(__xludf.DUMMYFUNCTION("""COMPUTED_VALUE"""),4.16)</f>
        <v>4.16</v>
      </c>
      <c r="C3708" s="1">
        <f>IFERROR(__xludf.DUMMYFUNCTION("""COMPUTED_VALUE"""),4.25)</f>
        <v>4.25</v>
      </c>
      <c r="D3708" s="1">
        <f>IFERROR(__xludf.DUMMYFUNCTION("""COMPUTED_VALUE"""),4.13)</f>
        <v>4.13</v>
      </c>
      <c r="E3708" s="1">
        <f>IFERROR(__xludf.DUMMYFUNCTION("""COMPUTED_VALUE"""),4.24)</f>
        <v>4.24</v>
      </c>
      <c r="F3708" s="1">
        <f>IFERROR(__xludf.DUMMYFUNCTION("""COMPUTED_VALUE"""),223942.0)</f>
        <v>223942</v>
      </c>
    </row>
    <row r="3709">
      <c r="A3709" s="2">
        <f>IFERROR(__xludf.DUMMYFUNCTION("""COMPUTED_VALUE"""),44546.66666666667)</f>
        <v>44546.66667</v>
      </c>
      <c r="B3709" s="1">
        <f>IFERROR(__xludf.DUMMYFUNCTION("""COMPUTED_VALUE"""),4.26)</f>
        <v>4.26</v>
      </c>
      <c r="C3709" s="1">
        <f>IFERROR(__xludf.DUMMYFUNCTION("""COMPUTED_VALUE"""),4.29)</f>
        <v>4.29</v>
      </c>
      <c r="D3709" s="1">
        <f>IFERROR(__xludf.DUMMYFUNCTION("""COMPUTED_VALUE"""),4.14)</f>
        <v>4.14</v>
      </c>
      <c r="E3709" s="1">
        <f>IFERROR(__xludf.DUMMYFUNCTION("""COMPUTED_VALUE"""),4.16)</f>
        <v>4.16</v>
      </c>
      <c r="F3709" s="1">
        <f>IFERROR(__xludf.DUMMYFUNCTION("""COMPUTED_VALUE"""),279586.0)</f>
        <v>279586</v>
      </c>
    </row>
    <row r="3710">
      <c r="A3710" s="2">
        <f>IFERROR(__xludf.DUMMYFUNCTION("""COMPUTED_VALUE"""),44547.66666666667)</f>
        <v>44547.66667</v>
      </c>
      <c r="B3710" s="1">
        <f>IFERROR(__xludf.DUMMYFUNCTION("""COMPUTED_VALUE"""),4.14)</f>
        <v>4.14</v>
      </c>
      <c r="C3710" s="1">
        <f>IFERROR(__xludf.DUMMYFUNCTION("""COMPUTED_VALUE"""),4.18)</f>
        <v>4.18</v>
      </c>
      <c r="D3710" s="1">
        <f>IFERROR(__xludf.DUMMYFUNCTION("""COMPUTED_VALUE"""),4.06)</f>
        <v>4.06</v>
      </c>
      <c r="E3710" s="1">
        <f>IFERROR(__xludf.DUMMYFUNCTION("""COMPUTED_VALUE"""),4.09)</f>
        <v>4.09</v>
      </c>
      <c r="F3710" s="1">
        <f>IFERROR(__xludf.DUMMYFUNCTION("""COMPUTED_VALUE"""),405206.0)</f>
        <v>405206</v>
      </c>
    </row>
    <row r="3711">
      <c r="A3711" s="2">
        <f>IFERROR(__xludf.DUMMYFUNCTION("""COMPUTED_VALUE"""),44550.66666666667)</f>
        <v>44550.66667</v>
      </c>
      <c r="B3711" s="1">
        <f>IFERROR(__xludf.DUMMYFUNCTION("""COMPUTED_VALUE"""),4.03)</f>
        <v>4.03</v>
      </c>
      <c r="C3711" s="1">
        <f>IFERROR(__xludf.DUMMYFUNCTION("""COMPUTED_VALUE"""),4.15)</f>
        <v>4.15</v>
      </c>
      <c r="D3711" s="1">
        <f>IFERROR(__xludf.DUMMYFUNCTION("""COMPUTED_VALUE"""),3.99)</f>
        <v>3.99</v>
      </c>
      <c r="E3711" s="1">
        <f>IFERROR(__xludf.DUMMYFUNCTION("""COMPUTED_VALUE"""),4.13)</f>
        <v>4.13</v>
      </c>
      <c r="F3711" s="1">
        <f>IFERROR(__xludf.DUMMYFUNCTION("""COMPUTED_VALUE"""),354110.0)</f>
        <v>354110</v>
      </c>
    </row>
    <row r="3712">
      <c r="A3712" s="2">
        <f>IFERROR(__xludf.DUMMYFUNCTION("""COMPUTED_VALUE"""),44551.66666666667)</f>
        <v>44551.66667</v>
      </c>
      <c r="B3712" s="1">
        <f>IFERROR(__xludf.DUMMYFUNCTION("""COMPUTED_VALUE"""),4.18)</f>
        <v>4.18</v>
      </c>
      <c r="C3712" s="1">
        <f>IFERROR(__xludf.DUMMYFUNCTION("""COMPUTED_VALUE"""),4.32)</f>
        <v>4.32</v>
      </c>
      <c r="D3712" s="1">
        <f>IFERROR(__xludf.DUMMYFUNCTION("""COMPUTED_VALUE"""),4.18)</f>
        <v>4.18</v>
      </c>
      <c r="E3712" s="1">
        <f>IFERROR(__xludf.DUMMYFUNCTION("""COMPUTED_VALUE"""),4.26)</f>
        <v>4.26</v>
      </c>
      <c r="F3712" s="1">
        <f>IFERROR(__xludf.DUMMYFUNCTION("""COMPUTED_VALUE"""),173075.0)</f>
        <v>173075</v>
      </c>
    </row>
    <row r="3713">
      <c r="A3713" s="2">
        <f>IFERROR(__xludf.DUMMYFUNCTION("""COMPUTED_VALUE"""),44552.66666666667)</f>
        <v>44552.66667</v>
      </c>
      <c r="B3713" s="1">
        <f>IFERROR(__xludf.DUMMYFUNCTION("""COMPUTED_VALUE"""),4.29)</f>
        <v>4.29</v>
      </c>
      <c r="C3713" s="1">
        <f>IFERROR(__xludf.DUMMYFUNCTION("""COMPUTED_VALUE"""),4.3)</f>
        <v>4.3</v>
      </c>
      <c r="D3713" s="1">
        <f>IFERROR(__xludf.DUMMYFUNCTION("""COMPUTED_VALUE"""),4.22)</f>
        <v>4.22</v>
      </c>
      <c r="E3713" s="1">
        <f>IFERROR(__xludf.DUMMYFUNCTION("""COMPUTED_VALUE"""),4.26)</f>
        <v>4.26</v>
      </c>
      <c r="F3713" s="1">
        <f>IFERROR(__xludf.DUMMYFUNCTION("""COMPUTED_VALUE"""),188818.0)</f>
        <v>188818</v>
      </c>
    </row>
    <row r="3714">
      <c r="A3714" s="2">
        <f>IFERROR(__xludf.DUMMYFUNCTION("""COMPUTED_VALUE"""),44553.66666666667)</f>
        <v>44553.66667</v>
      </c>
      <c r="B3714" s="1">
        <f>IFERROR(__xludf.DUMMYFUNCTION("""COMPUTED_VALUE"""),4.27)</f>
        <v>4.27</v>
      </c>
      <c r="C3714" s="1">
        <f>IFERROR(__xludf.DUMMYFUNCTION("""COMPUTED_VALUE"""),4.31)</f>
        <v>4.31</v>
      </c>
      <c r="D3714" s="1">
        <f>IFERROR(__xludf.DUMMYFUNCTION("""COMPUTED_VALUE"""),4.26)</f>
        <v>4.26</v>
      </c>
      <c r="E3714" s="1">
        <f>IFERROR(__xludf.DUMMYFUNCTION("""COMPUTED_VALUE"""),4.27)</f>
        <v>4.27</v>
      </c>
      <c r="F3714" s="1">
        <f>IFERROR(__xludf.DUMMYFUNCTION("""COMPUTED_VALUE"""),126009.0)</f>
        <v>126009</v>
      </c>
    </row>
    <row r="3715">
      <c r="A3715" s="2">
        <f>IFERROR(__xludf.DUMMYFUNCTION("""COMPUTED_VALUE"""),44557.66666666667)</f>
        <v>44557.66667</v>
      </c>
      <c r="B3715" s="1">
        <f>IFERROR(__xludf.DUMMYFUNCTION("""COMPUTED_VALUE"""),4.31)</f>
        <v>4.31</v>
      </c>
      <c r="C3715" s="1">
        <f>IFERROR(__xludf.DUMMYFUNCTION("""COMPUTED_VALUE"""),4.48)</f>
        <v>4.48</v>
      </c>
      <c r="D3715" s="1">
        <f>IFERROR(__xludf.DUMMYFUNCTION("""COMPUTED_VALUE"""),4.28)</f>
        <v>4.28</v>
      </c>
      <c r="E3715" s="1">
        <f>IFERROR(__xludf.DUMMYFUNCTION("""COMPUTED_VALUE"""),4.48)</f>
        <v>4.48</v>
      </c>
      <c r="F3715" s="1">
        <f>IFERROR(__xludf.DUMMYFUNCTION("""COMPUTED_VALUE"""),324665.0)</f>
        <v>324665</v>
      </c>
    </row>
    <row r="3716">
      <c r="A3716" s="2">
        <f>IFERROR(__xludf.DUMMYFUNCTION("""COMPUTED_VALUE"""),44558.66666666667)</f>
        <v>44558.66667</v>
      </c>
      <c r="B3716" s="1">
        <f>IFERROR(__xludf.DUMMYFUNCTION("""COMPUTED_VALUE"""),4.49)</f>
        <v>4.49</v>
      </c>
      <c r="C3716" s="1">
        <f>IFERROR(__xludf.DUMMYFUNCTION("""COMPUTED_VALUE"""),4.5)</f>
        <v>4.5</v>
      </c>
      <c r="D3716" s="1">
        <f>IFERROR(__xludf.DUMMYFUNCTION("""COMPUTED_VALUE"""),4.37)</f>
        <v>4.37</v>
      </c>
      <c r="E3716" s="1">
        <f>IFERROR(__xludf.DUMMYFUNCTION("""COMPUTED_VALUE"""),4.42)</f>
        <v>4.42</v>
      </c>
      <c r="F3716" s="1">
        <f>IFERROR(__xludf.DUMMYFUNCTION("""COMPUTED_VALUE"""),140832.0)</f>
        <v>140832</v>
      </c>
    </row>
    <row r="3717">
      <c r="A3717" s="2">
        <f>IFERROR(__xludf.DUMMYFUNCTION("""COMPUTED_VALUE"""),44559.66666666667)</f>
        <v>44559.66667</v>
      </c>
      <c r="B3717" s="1">
        <f>IFERROR(__xludf.DUMMYFUNCTION("""COMPUTED_VALUE"""),4.42)</f>
        <v>4.42</v>
      </c>
      <c r="C3717" s="1">
        <f>IFERROR(__xludf.DUMMYFUNCTION("""COMPUTED_VALUE"""),4.56)</f>
        <v>4.56</v>
      </c>
      <c r="D3717" s="1">
        <f>IFERROR(__xludf.DUMMYFUNCTION("""COMPUTED_VALUE"""),4.4)</f>
        <v>4.4</v>
      </c>
      <c r="E3717" s="1">
        <f>IFERROR(__xludf.DUMMYFUNCTION("""COMPUTED_VALUE"""),4.56)</f>
        <v>4.56</v>
      </c>
      <c r="F3717" s="1">
        <f>IFERROR(__xludf.DUMMYFUNCTION("""COMPUTED_VALUE"""),250036.0)</f>
        <v>250036</v>
      </c>
    </row>
    <row r="3718">
      <c r="A3718" s="2">
        <f>IFERROR(__xludf.DUMMYFUNCTION("""COMPUTED_VALUE"""),44560.66666666667)</f>
        <v>44560.66667</v>
      </c>
      <c r="B3718" s="1">
        <f>IFERROR(__xludf.DUMMYFUNCTION("""COMPUTED_VALUE"""),4.56)</f>
        <v>4.56</v>
      </c>
      <c r="C3718" s="1">
        <f>IFERROR(__xludf.DUMMYFUNCTION("""COMPUTED_VALUE"""),4.64)</f>
        <v>4.64</v>
      </c>
      <c r="D3718" s="1">
        <f>IFERROR(__xludf.DUMMYFUNCTION("""COMPUTED_VALUE"""),4.47)</f>
        <v>4.47</v>
      </c>
      <c r="E3718" s="1">
        <f>IFERROR(__xludf.DUMMYFUNCTION("""COMPUTED_VALUE"""),4.47)</f>
        <v>4.47</v>
      </c>
      <c r="F3718" s="1">
        <f>IFERROR(__xludf.DUMMYFUNCTION("""COMPUTED_VALUE"""),136334.0)</f>
        <v>136334</v>
      </c>
    </row>
    <row r="3719">
      <c r="A3719" s="2">
        <f>IFERROR(__xludf.DUMMYFUNCTION("""COMPUTED_VALUE"""),44561.66666666667)</f>
        <v>44561.66667</v>
      </c>
      <c r="B3719" s="1">
        <f>IFERROR(__xludf.DUMMYFUNCTION("""COMPUTED_VALUE"""),4.46)</f>
        <v>4.46</v>
      </c>
      <c r="C3719" s="1">
        <f>IFERROR(__xludf.DUMMYFUNCTION("""COMPUTED_VALUE"""),4.49)</f>
        <v>4.49</v>
      </c>
      <c r="D3719" s="1">
        <f>IFERROR(__xludf.DUMMYFUNCTION("""COMPUTED_VALUE"""),4.38)</f>
        <v>4.38</v>
      </c>
      <c r="E3719" s="1">
        <f>IFERROR(__xludf.DUMMYFUNCTION("""COMPUTED_VALUE"""),4.39)</f>
        <v>4.39</v>
      </c>
      <c r="F3719" s="1">
        <f>IFERROR(__xludf.DUMMYFUNCTION("""COMPUTED_VALUE"""),92483.0)</f>
        <v>92483</v>
      </c>
    </row>
    <row r="3720">
      <c r="A3720" s="2">
        <f>IFERROR(__xludf.DUMMYFUNCTION("""COMPUTED_VALUE"""),44564.66666666667)</f>
        <v>44564.66667</v>
      </c>
      <c r="B3720" s="1">
        <f>IFERROR(__xludf.DUMMYFUNCTION("""COMPUTED_VALUE"""),4.46)</f>
        <v>4.46</v>
      </c>
      <c r="C3720" s="1">
        <f>IFERROR(__xludf.DUMMYFUNCTION("""COMPUTED_VALUE"""),4.56)</f>
        <v>4.56</v>
      </c>
      <c r="D3720" s="1">
        <f>IFERROR(__xludf.DUMMYFUNCTION("""COMPUTED_VALUE"""),4.42)</f>
        <v>4.42</v>
      </c>
      <c r="E3720" s="1">
        <f>IFERROR(__xludf.DUMMYFUNCTION("""COMPUTED_VALUE"""),4.56)</f>
        <v>4.56</v>
      </c>
      <c r="F3720" s="1">
        <f>IFERROR(__xludf.DUMMYFUNCTION("""COMPUTED_VALUE"""),252215.0)</f>
        <v>252215</v>
      </c>
    </row>
    <row r="3721">
      <c r="A3721" s="2">
        <f>IFERROR(__xludf.DUMMYFUNCTION("""COMPUTED_VALUE"""),44565.66666666667)</f>
        <v>44565.66667</v>
      </c>
      <c r="B3721" s="1">
        <f>IFERROR(__xludf.DUMMYFUNCTION("""COMPUTED_VALUE"""),4.67)</f>
        <v>4.67</v>
      </c>
      <c r="C3721" s="1">
        <f>IFERROR(__xludf.DUMMYFUNCTION("""COMPUTED_VALUE"""),4.75)</f>
        <v>4.75</v>
      </c>
      <c r="D3721" s="1">
        <f>IFERROR(__xludf.DUMMYFUNCTION("""COMPUTED_VALUE"""),4.65)</f>
        <v>4.65</v>
      </c>
      <c r="E3721" s="1">
        <f>IFERROR(__xludf.DUMMYFUNCTION("""COMPUTED_VALUE"""),4.71)</f>
        <v>4.71</v>
      </c>
      <c r="F3721" s="1">
        <f>IFERROR(__xludf.DUMMYFUNCTION("""COMPUTED_VALUE"""),305462.0)</f>
        <v>305462</v>
      </c>
    </row>
    <row r="3722">
      <c r="A3722" s="2">
        <f>IFERROR(__xludf.DUMMYFUNCTION("""COMPUTED_VALUE"""),44566.66666666667)</f>
        <v>44566.66667</v>
      </c>
      <c r="B3722" s="1">
        <f>IFERROR(__xludf.DUMMYFUNCTION("""COMPUTED_VALUE"""),4.74)</f>
        <v>4.74</v>
      </c>
      <c r="C3722" s="1">
        <f>IFERROR(__xludf.DUMMYFUNCTION("""COMPUTED_VALUE"""),4.8)</f>
        <v>4.8</v>
      </c>
      <c r="D3722" s="1">
        <f>IFERROR(__xludf.DUMMYFUNCTION("""COMPUTED_VALUE"""),4.52)</f>
        <v>4.52</v>
      </c>
      <c r="E3722" s="1">
        <f>IFERROR(__xludf.DUMMYFUNCTION("""COMPUTED_VALUE"""),4.54)</f>
        <v>4.54</v>
      </c>
      <c r="F3722" s="1">
        <f>IFERROR(__xludf.DUMMYFUNCTION("""COMPUTED_VALUE"""),296313.0)</f>
        <v>296313</v>
      </c>
    </row>
    <row r="3723">
      <c r="A3723" s="2">
        <f>IFERROR(__xludf.DUMMYFUNCTION("""COMPUTED_VALUE"""),44567.66666666667)</f>
        <v>44567.66667</v>
      </c>
      <c r="B3723" s="1">
        <f>IFERROR(__xludf.DUMMYFUNCTION("""COMPUTED_VALUE"""),4.54)</f>
        <v>4.54</v>
      </c>
      <c r="C3723" s="1">
        <f>IFERROR(__xludf.DUMMYFUNCTION("""COMPUTED_VALUE"""),4.61)</f>
        <v>4.61</v>
      </c>
      <c r="D3723" s="1">
        <f>IFERROR(__xludf.DUMMYFUNCTION("""COMPUTED_VALUE"""),4.49)</f>
        <v>4.49</v>
      </c>
      <c r="E3723" s="1">
        <f>IFERROR(__xludf.DUMMYFUNCTION("""COMPUTED_VALUE"""),4.51)</f>
        <v>4.51</v>
      </c>
      <c r="F3723" s="1">
        <f>IFERROR(__xludf.DUMMYFUNCTION("""COMPUTED_VALUE"""),154820.0)</f>
        <v>154820</v>
      </c>
    </row>
    <row r="3724">
      <c r="A3724" s="2">
        <f>IFERROR(__xludf.DUMMYFUNCTION("""COMPUTED_VALUE"""),44568.66666666667)</f>
        <v>44568.66667</v>
      </c>
      <c r="B3724" s="1">
        <f>IFERROR(__xludf.DUMMYFUNCTION("""COMPUTED_VALUE"""),4.51)</f>
        <v>4.51</v>
      </c>
      <c r="C3724" s="1">
        <f>IFERROR(__xludf.DUMMYFUNCTION("""COMPUTED_VALUE"""),4.54)</f>
        <v>4.54</v>
      </c>
      <c r="D3724" s="1">
        <f>IFERROR(__xludf.DUMMYFUNCTION("""COMPUTED_VALUE"""),4.41)</f>
        <v>4.41</v>
      </c>
      <c r="E3724" s="1">
        <f>IFERROR(__xludf.DUMMYFUNCTION("""COMPUTED_VALUE"""),4.41)</f>
        <v>4.41</v>
      </c>
      <c r="F3724" s="1">
        <f>IFERROR(__xludf.DUMMYFUNCTION("""COMPUTED_VALUE"""),135990.0)</f>
        <v>135990</v>
      </c>
    </row>
    <row r="3725">
      <c r="A3725" s="2">
        <f>IFERROR(__xludf.DUMMYFUNCTION("""COMPUTED_VALUE"""),44571.66666666667)</f>
        <v>44571.66667</v>
      </c>
      <c r="B3725" s="1">
        <f>IFERROR(__xludf.DUMMYFUNCTION("""COMPUTED_VALUE"""),4.39)</f>
        <v>4.39</v>
      </c>
      <c r="C3725" s="1">
        <f>IFERROR(__xludf.DUMMYFUNCTION("""COMPUTED_VALUE"""),4.42)</f>
        <v>4.42</v>
      </c>
      <c r="D3725" s="1">
        <f>IFERROR(__xludf.DUMMYFUNCTION("""COMPUTED_VALUE"""),4.27)</f>
        <v>4.27</v>
      </c>
      <c r="E3725" s="1">
        <f>IFERROR(__xludf.DUMMYFUNCTION("""COMPUTED_VALUE"""),4.42)</f>
        <v>4.42</v>
      </c>
      <c r="F3725" s="1">
        <f>IFERROR(__xludf.DUMMYFUNCTION("""COMPUTED_VALUE"""),169455.0)</f>
        <v>169455</v>
      </c>
    </row>
    <row r="3726">
      <c r="A3726" s="2">
        <f>IFERROR(__xludf.DUMMYFUNCTION("""COMPUTED_VALUE"""),44572.66666666667)</f>
        <v>44572.66667</v>
      </c>
      <c r="B3726" s="1">
        <f>IFERROR(__xludf.DUMMYFUNCTION("""COMPUTED_VALUE"""),4.4)</f>
        <v>4.4</v>
      </c>
      <c r="C3726" s="1">
        <f>IFERROR(__xludf.DUMMYFUNCTION("""COMPUTED_VALUE"""),4.51)</f>
        <v>4.51</v>
      </c>
      <c r="D3726" s="1">
        <f>IFERROR(__xludf.DUMMYFUNCTION("""COMPUTED_VALUE"""),4.38)</f>
        <v>4.38</v>
      </c>
      <c r="E3726" s="1">
        <f>IFERROR(__xludf.DUMMYFUNCTION("""COMPUTED_VALUE"""),4.49)</f>
        <v>4.49</v>
      </c>
      <c r="F3726" s="1">
        <f>IFERROR(__xludf.DUMMYFUNCTION("""COMPUTED_VALUE"""),205260.0)</f>
        <v>205260</v>
      </c>
    </row>
    <row r="3727">
      <c r="A3727" s="2">
        <f>IFERROR(__xludf.DUMMYFUNCTION("""COMPUTED_VALUE"""),44573.66666666667)</f>
        <v>44573.66667</v>
      </c>
      <c r="B3727" s="1">
        <f>IFERROR(__xludf.DUMMYFUNCTION("""COMPUTED_VALUE"""),4.53)</f>
        <v>4.53</v>
      </c>
      <c r="C3727" s="1">
        <f>IFERROR(__xludf.DUMMYFUNCTION("""COMPUTED_VALUE"""),4.54)</f>
        <v>4.54</v>
      </c>
      <c r="D3727" s="1">
        <f>IFERROR(__xludf.DUMMYFUNCTION("""COMPUTED_VALUE"""),4.44)</f>
        <v>4.44</v>
      </c>
      <c r="E3727" s="1">
        <f>IFERROR(__xludf.DUMMYFUNCTION("""COMPUTED_VALUE"""),4.48)</f>
        <v>4.48</v>
      </c>
      <c r="F3727" s="1">
        <f>IFERROR(__xludf.DUMMYFUNCTION("""COMPUTED_VALUE"""),186061.0)</f>
        <v>186061</v>
      </c>
    </row>
    <row r="3728">
      <c r="A3728" s="2">
        <f>IFERROR(__xludf.DUMMYFUNCTION("""COMPUTED_VALUE"""),44574.66666666667)</f>
        <v>44574.66667</v>
      </c>
      <c r="B3728" s="1">
        <f>IFERROR(__xludf.DUMMYFUNCTION("""COMPUTED_VALUE"""),4.52)</f>
        <v>4.52</v>
      </c>
      <c r="C3728" s="1">
        <f>IFERROR(__xludf.DUMMYFUNCTION("""COMPUTED_VALUE"""),4.57)</f>
        <v>4.57</v>
      </c>
      <c r="D3728" s="1">
        <f>IFERROR(__xludf.DUMMYFUNCTION("""COMPUTED_VALUE"""),4.49)</f>
        <v>4.49</v>
      </c>
      <c r="E3728" s="1">
        <f>IFERROR(__xludf.DUMMYFUNCTION("""COMPUTED_VALUE"""),4.53)</f>
        <v>4.53</v>
      </c>
      <c r="F3728" s="1">
        <f>IFERROR(__xludf.DUMMYFUNCTION("""COMPUTED_VALUE"""),167721.0)</f>
        <v>167721</v>
      </c>
    </row>
    <row r="3729">
      <c r="A3729" s="2">
        <f>IFERROR(__xludf.DUMMYFUNCTION("""COMPUTED_VALUE"""),44575.66666666667)</f>
        <v>44575.66667</v>
      </c>
      <c r="B3729" s="1">
        <f>IFERROR(__xludf.DUMMYFUNCTION("""COMPUTED_VALUE"""),4.55)</f>
        <v>4.55</v>
      </c>
      <c r="C3729" s="1">
        <f>IFERROR(__xludf.DUMMYFUNCTION("""COMPUTED_VALUE"""),4.59)</f>
        <v>4.59</v>
      </c>
      <c r="D3729" s="1">
        <f>IFERROR(__xludf.DUMMYFUNCTION("""COMPUTED_VALUE"""),4.55)</f>
        <v>4.55</v>
      </c>
      <c r="E3729" s="1">
        <f>IFERROR(__xludf.DUMMYFUNCTION("""COMPUTED_VALUE"""),4.56)</f>
        <v>4.56</v>
      </c>
      <c r="F3729" s="1">
        <f>IFERROR(__xludf.DUMMYFUNCTION("""COMPUTED_VALUE"""),303801.0)</f>
        <v>303801</v>
      </c>
    </row>
    <row r="3730">
      <c r="A3730" s="2">
        <f>IFERROR(__xludf.DUMMYFUNCTION("""COMPUTED_VALUE"""),44579.66666666667)</f>
        <v>44579.66667</v>
      </c>
      <c r="B3730" s="1">
        <f>IFERROR(__xludf.DUMMYFUNCTION("""COMPUTED_VALUE"""),4.55)</f>
        <v>4.55</v>
      </c>
      <c r="C3730" s="1">
        <f>IFERROR(__xludf.DUMMYFUNCTION("""COMPUTED_VALUE"""),4.67)</f>
        <v>4.67</v>
      </c>
      <c r="D3730" s="1">
        <f>IFERROR(__xludf.DUMMYFUNCTION("""COMPUTED_VALUE"""),4.53)</f>
        <v>4.53</v>
      </c>
      <c r="E3730" s="1">
        <f>IFERROR(__xludf.DUMMYFUNCTION("""COMPUTED_VALUE"""),4.62)</f>
        <v>4.62</v>
      </c>
      <c r="F3730" s="1">
        <f>IFERROR(__xludf.DUMMYFUNCTION("""COMPUTED_VALUE"""),258073.0)</f>
        <v>258073</v>
      </c>
    </row>
    <row r="3731">
      <c r="A3731" s="2">
        <f>IFERROR(__xludf.DUMMYFUNCTION("""COMPUTED_VALUE"""),44580.66666666667)</f>
        <v>44580.66667</v>
      </c>
      <c r="B3731" s="1">
        <f>IFERROR(__xludf.DUMMYFUNCTION("""COMPUTED_VALUE"""),4.62)</f>
        <v>4.62</v>
      </c>
      <c r="C3731" s="1">
        <f>IFERROR(__xludf.DUMMYFUNCTION("""COMPUTED_VALUE"""),4.62)</f>
        <v>4.62</v>
      </c>
      <c r="D3731" s="1">
        <f>IFERROR(__xludf.DUMMYFUNCTION("""COMPUTED_VALUE"""),4.21)</f>
        <v>4.21</v>
      </c>
      <c r="E3731" s="1">
        <f>IFERROR(__xludf.DUMMYFUNCTION("""COMPUTED_VALUE"""),4.22)</f>
        <v>4.22</v>
      </c>
      <c r="F3731" s="1">
        <f>IFERROR(__xludf.DUMMYFUNCTION("""COMPUTED_VALUE"""),404715.0)</f>
        <v>404715</v>
      </c>
    </row>
    <row r="3732">
      <c r="A3732" s="2">
        <f>IFERROR(__xludf.DUMMYFUNCTION("""COMPUTED_VALUE"""),44581.66666666667)</f>
        <v>44581.66667</v>
      </c>
      <c r="B3732" s="1">
        <f>IFERROR(__xludf.DUMMYFUNCTION("""COMPUTED_VALUE"""),4.22)</f>
        <v>4.22</v>
      </c>
      <c r="C3732" s="1">
        <f>IFERROR(__xludf.DUMMYFUNCTION("""COMPUTED_VALUE"""),4.38)</f>
        <v>4.38</v>
      </c>
      <c r="D3732" s="1">
        <f>IFERROR(__xludf.DUMMYFUNCTION("""COMPUTED_VALUE"""),4.16)</f>
        <v>4.16</v>
      </c>
      <c r="E3732" s="1">
        <f>IFERROR(__xludf.DUMMYFUNCTION("""COMPUTED_VALUE"""),4.23)</f>
        <v>4.23</v>
      </c>
      <c r="F3732" s="1">
        <f>IFERROR(__xludf.DUMMYFUNCTION("""COMPUTED_VALUE"""),233065.0)</f>
        <v>233065</v>
      </c>
    </row>
    <row r="3733">
      <c r="A3733" s="2">
        <f>IFERROR(__xludf.DUMMYFUNCTION("""COMPUTED_VALUE"""),44582.66666666667)</f>
        <v>44582.66667</v>
      </c>
      <c r="B3733" s="1">
        <f>IFERROR(__xludf.DUMMYFUNCTION("""COMPUTED_VALUE"""),4.16)</f>
        <v>4.16</v>
      </c>
      <c r="C3733" s="1">
        <f>IFERROR(__xludf.DUMMYFUNCTION("""COMPUTED_VALUE"""),4.32)</f>
        <v>4.32</v>
      </c>
      <c r="D3733" s="1">
        <f>IFERROR(__xludf.DUMMYFUNCTION("""COMPUTED_VALUE"""),4.1)</f>
        <v>4.1</v>
      </c>
      <c r="E3733" s="1">
        <f>IFERROR(__xludf.DUMMYFUNCTION("""COMPUTED_VALUE"""),4.1)</f>
        <v>4.1</v>
      </c>
      <c r="F3733" s="1">
        <f>IFERROR(__xludf.DUMMYFUNCTION("""COMPUTED_VALUE"""),212376.0)</f>
        <v>212376</v>
      </c>
    </row>
    <row r="3734">
      <c r="A3734" s="2">
        <f>IFERROR(__xludf.DUMMYFUNCTION("""COMPUTED_VALUE"""),44585.66666666667)</f>
        <v>44585.66667</v>
      </c>
      <c r="B3734" s="1">
        <f>IFERROR(__xludf.DUMMYFUNCTION("""COMPUTED_VALUE"""),4.04)</f>
        <v>4.04</v>
      </c>
      <c r="C3734" s="1">
        <f>IFERROR(__xludf.DUMMYFUNCTION("""COMPUTED_VALUE"""),4.11)</f>
        <v>4.11</v>
      </c>
      <c r="D3734" s="1">
        <f>IFERROR(__xludf.DUMMYFUNCTION("""COMPUTED_VALUE"""),3.89)</f>
        <v>3.89</v>
      </c>
      <c r="E3734" s="1">
        <f>IFERROR(__xludf.DUMMYFUNCTION("""COMPUTED_VALUE"""),4.09)</f>
        <v>4.09</v>
      </c>
      <c r="F3734" s="1">
        <f>IFERROR(__xludf.DUMMYFUNCTION("""COMPUTED_VALUE"""),235391.0)</f>
        <v>235391</v>
      </c>
    </row>
    <row r="3735">
      <c r="A3735" s="2">
        <f>IFERROR(__xludf.DUMMYFUNCTION("""COMPUTED_VALUE"""),44586.66666666667)</f>
        <v>44586.66667</v>
      </c>
      <c r="B3735" s="1">
        <f>IFERROR(__xludf.DUMMYFUNCTION("""COMPUTED_VALUE"""),4.03)</f>
        <v>4.03</v>
      </c>
      <c r="C3735" s="1">
        <f>IFERROR(__xludf.DUMMYFUNCTION("""COMPUTED_VALUE"""),4.07)</f>
        <v>4.07</v>
      </c>
      <c r="D3735" s="1">
        <f>IFERROR(__xludf.DUMMYFUNCTION("""COMPUTED_VALUE"""),3.87)</f>
        <v>3.87</v>
      </c>
      <c r="E3735" s="1">
        <f>IFERROR(__xludf.DUMMYFUNCTION("""COMPUTED_VALUE"""),3.95)</f>
        <v>3.95</v>
      </c>
      <c r="F3735" s="1">
        <f>IFERROR(__xludf.DUMMYFUNCTION("""COMPUTED_VALUE"""),177747.0)</f>
        <v>177747</v>
      </c>
    </row>
    <row r="3736">
      <c r="A3736" s="2">
        <f>IFERROR(__xludf.DUMMYFUNCTION("""COMPUTED_VALUE"""),44587.66666666667)</f>
        <v>44587.66667</v>
      </c>
      <c r="B3736" s="1">
        <f>IFERROR(__xludf.DUMMYFUNCTION("""COMPUTED_VALUE"""),4.01)</f>
        <v>4.01</v>
      </c>
      <c r="C3736" s="1">
        <f>IFERROR(__xludf.DUMMYFUNCTION("""COMPUTED_VALUE"""),4.08)</f>
        <v>4.08</v>
      </c>
      <c r="D3736" s="1">
        <f>IFERROR(__xludf.DUMMYFUNCTION("""COMPUTED_VALUE"""),3.84)</f>
        <v>3.84</v>
      </c>
      <c r="E3736" s="1">
        <f>IFERROR(__xludf.DUMMYFUNCTION("""COMPUTED_VALUE"""),3.9)</f>
        <v>3.9</v>
      </c>
      <c r="F3736" s="1">
        <f>IFERROR(__xludf.DUMMYFUNCTION("""COMPUTED_VALUE"""),166070.0)</f>
        <v>166070</v>
      </c>
    </row>
    <row r="3737">
      <c r="A3737" s="2">
        <f>IFERROR(__xludf.DUMMYFUNCTION("""COMPUTED_VALUE"""),44588.66666666667)</f>
        <v>44588.66667</v>
      </c>
      <c r="B3737" s="1">
        <f>IFERROR(__xludf.DUMMYFUNCTION("""COMPUTED_VALUE"""),3.97)</f>
        <v>3.97</v>
      </c>
      <c r="C3737" s="1">
        <f>IFERROR(__xludf.DUMMYFUNCTION("""COMPUTED_VALUE"""),4.01)</f>
        <v>4.01</v>
      </c>
      <c r="D3737" s="1">
        <f>IFERROR(__xludf.DUMMYFUNCTION("""COMPUTED_VALUE"""),3.85)</f>
        <v>3.85</v>
      </c>
      <c r="E3737" s="1">
        <f>IFERROR(__xludf.DUMMYFUNCTION("""COMPUTED_VALUE"""),3.88)</f>
        <v>3.88</v>
      </c>
      <c r="F3737" s="1">
        <f>IFERROR(__xludf.DUMMYFUNCTION("""COMPUTED_VALUE"""),156282.0)</f>
        <v>156282</v>
      </c>
    </row>
    <row r="3738">
      <c r="A3738" s="2">
        <f>IFERROR(__xludf.DUMMYFUNCTION("""COMPUTED_VALUE"""),44589.66666666667)</f>
        <v>44589.66667</v>
      </c>
      <c r="B3738" s="1">
        <f>IFERROR(__xludf.DUMMYFUNCTION("""COMPUTED_VALUE"""),3.88)</f>
        <v>3.88</v>
      </c>
      <c r="C3738" s="1">
        <f>IFERROR(__xludf.DUMMYFUNCTION("""COMPUTED_VALUE"""),4.02)</f>
        <v>4.02</v>
      </c>
      <c r="D3738" s="1">
        <f>IFERROR(__xludf.DUMMYFUNCTION("""COMPUTED_VALUE"""),3.82)</f>
        <v>3.82</v>
      </c>
      <c r="E3738" s="1">
        <f>IFERROR(__xludf.DUMMYFUNCTION("""COMPUTED_VALUE"""),4.01)</f>
        <v>4.01</v>
      </c>
      <c r="F3738" s="1">
        <f>IFERROR(__xludf.DUMMYFUNCTION("""COMPUTED_VALUE"""),190033.0)</f>
        <v>190033</v>
      </c>
    </row>
    <row r="3739">
      <c r="A3739" s="2">
        <f>IFERROR(__xludf.DUMMYFUNCTION("""COMPUTED_VALUE"""),44592.66666666667)</f>
        <v>44592.66667</v>
      </c>
      <c r="B3739" s="1">
        <f>IFERROR(__xludf.DUMMYFUNCTION("""COMPUTED_VALUE"""),3.99)</f>
        <v>3.99</v>
      </c>
      <c r="C3739" s="1">
        <f>IFERROR(__xludf.DUMMYFUNCTION("""COMPUTED_VALUE"""),4.05)</f>
        <v>4.05</v>
      </c>
      <c r="D3739" s="1">
        <f>IFERROR(__xludf.DUMMYFUNCTION("""COMPUTED_VALUE"""),3.93)</f>
        <v>3.93</v>
      </c>
      <c r="E3739" s="1">
        <f>IFERROR(__xludf.DUMMYFUNCTION("""COMPUTED_VALUE"""),4.05)</f>
        <v>4.05</v>
      </c>
      <c r="F3739" s="1">
        <f>IFERROR(__xludf.DUMMYFUNCTION("""COMPUTED_VALUE"""),243808.0)</f>
        <v>243808</v>
      </c>
    </row>
    <row r="3740">
      <c r="A3740" s="2">
        <f>IFERROR(__xludf.DUMMYFUNCTION("""COMPUTED_VALUE"""),44593.66666666667)</f>
        <v>44593.66667</v>
      </c>
      <c r="B3740" s="1">
        <f>IFERROR(__xludf.DUMMYFUNCTION("""COMPUTED_VALUE"""),4.08)</f>
        <v>4.08</v>
      </c>
      <c r="C3740" s="1">
        <f>IFERROR(__xludf.DUMMYFUNCTION("""COMPUTED_VALUE"""),4.18)</f>
        <v>4.18</v>
      </c>
      <c r="D3740" s="1">
        <f>IFERROR(__xludf.DUMMYFUNCTION("""COMPUTED_VALUE"""),3.97)</f>
        <v>3.97</v>
      </c>
      <c r="E3740" s="1">
        <f>IFERROR(__xludf.DUMMYFUNCTION("""COMPUTED_VALUE"""),4.17)</f>
        <v>4.17</v>
      </c>
      <c r="F3740" s="1">
        <f>IFERROR(__xludf.DUMMYFUNCTION("""COMPUTED_VALUE"""),624912.0)</f>
        <v>624912</v>
      </c>
    </row>
    <row r="3741">
      <c r="A3741" s="2">
        <f>IFERROR(__xludf.DUMMYFUNCTION("""COMPUTED_VALUE"""),44594.66666666667)</f>
        <v>44594.66667</v>
      </c>
      <c r="B3741" s="1">
        <f>IFERROR(__xludf.DUMMYFUNCTION("""COMPUTED_VALUE"""),4.35)</f>
        <v>4.35</v>
      </c>
      <c r="C3741" s="1">
        <f>IFERROR(__xludf.DUMMYFUNCTION("""COMPUTED_VALUE"""),4.4)</f>
        <v>4.4</v>
      </c>
      <c r="D3741" s="1">
        <f>IFERROR(__xludf.DUMMYFUNCTION("""COMPUTED_VALUE"""),4.09)</f>
        <v>4.09</v>
      </c>
      <c r="E3741" s="1">
        <f>IFERROR(__xludf.DUMMYFUNCTION("""COMPUTED_VALUE"""),4.38)</f>
        <v>4.38</v>
      </c>
      <c r="F3741" s="1">
        <f>IFERROR(__xludf.DUMMYFUNCTION("""COMPUTED_VALUE"""),862936.0)</f>
        <v>862936</v>
      </c>
    </row>
    <row r="3742">
      <c r="A3742" s="2">
        <f>IFERROR(__xludf.DUMMYFUNCTION("""COMPUTED_VALUE"""),44595.66666666667)</f>
        <v>44595.66667</v>
      </c>
      <c r="B3742" s="1">
        <f>IFERROR(__xludf.DUMMYFUNCTION("""COMPUTED_VALUE"""),4.34)</f>
        <v>4.34</v>
      </c>
      <c r="C3742" s="1">
        <f>IFERROR(__xludf.DUMMYFUNCTION("""COMPUTED_VALUE"""),4.34)</f>
        <v>4.34</v>
      </c>
      <c r="D3742" s="1">
        <f>IFERROR(__xludf.DUMMYFUNCTION("""COMPUTED_VALUE"""),3.87)</f>
        <v>3.87</v>
      </c>
      <c r="E3742" s="1">
        <f>IFERROR(__xludf.DUMMYFUNCTION("""COMPUTED_VALUE"""),3.93)</f>
        <v>3.93</v>
      </c>
      <c r="F3742" s="1">
        <f>IFERROR(__xludf.DUMMYFUNCTION("""COMPUTED_VALUE"""),611870.0)</f>
        <v>611870</v>
      </c>
    </row>
    <row r="3743">
      <c r="A3743" s="2">
        <f>IFERROR(__xludf.DUMMYFUNCTION("""COMPUTED_VALUE"""),44596.66666666667)</f>
        <v>44596.66667</v>
      </c>
      <c r="B3743" s="1">
        <f>IFERROR(__xludf.DUMMYFUNCTION("""COMPUTED_VALUE"""),3.92)</f>
        <v>3.92</v>
      </c>
      <c r="C3743" s="1">
        <f>IFERROR(__xludf.DUMMYFUNCTION("""COMPUTED_VALUE"""),3.98)</f>
        <v>3.98</v>
      </c>
      <c r="D3743" s="1">
        <f>IFERROR(__xludf.DUMMYFUNCTION("""COMPUTED_VALUE"""),3.81)</f>
        <v>3.81</v>
      </c>
      <c r="E3743" s="1">
        <f>IFERROR(__xludf.DUMMYFUNCTION("""COMPUTED_VALUE"""),3.82)</f>
        <v>3.82</v>
      </c>
      <c r="F3743" s="1">
        <f>IFERROR(__xludf.DUMMYFUNCTION("""COMPUTED_VALUE"""),354161.0)</f>
        <v>354161</v>
      </c>
    </row>
    <row r="3744">
      <c r="A3744" s="2">
        <f>IFERROR(__xludf.DUMMYFUNCTION("""COMPUTED_VALUE"""),44599.66666666667)</f>
        <v>44599.66667</v>
      </c>
      <c r="B3744" s="1">
        <f>IFERROR(__xludf.DUMMYFUNCTION("""COMPUTED_VALUE"""),3.84)</f>
        <v>3.84</v>
      </c>
      <c r="C3744" s="1">
        <f>IFERROR(__xludf.DUMMYFUNCTION("""COMPUTED_VALUE"""),3.87)</f>
        <v>3.87</v>
      </c>
      <c r="D3744" s="1">
        <f>IFERROR(__xludf.DUMMYFUNCTION("""COMPUTED_VALUE"""),3.72)</f>
        <v>3.72</v>
      </c>
      <c r="E3744" s="1">
        <f>IFERROR(__xludf.DUMMYFUNCTION("""COMPUTED_VALUE"""),3.8)</f>
        <v>3.8</v>
      </c>
      <c r="F3744" s="1">
        <f>IFERROR(__xludf.DUMMYFUNCTION("""COMPUTED_VALUE"""),282927.0)</f>
        <v>282927</v>
      </c>
    </row>
    <row r="3745">
      <c r="A3745" s="2">
        <f>IFERROR(__xludf.DUMMYFUNCTION("""COMPUTED_VALUE"""),44600.66666666667)</f>
        <v>44600.66667</v>
      </c>
      <c r="B3745" s="1">
        <f>IFERROR(__xludf.DUMMYFUNCTION("""COMPUTED_VALUE"""),3.8)</f>
        <v>3.8</v>
      </c>
      <c r="C3745" s="1">
        <f>IFERROR(__xludf.DUMMYFUNCTION("""COMPUTED_VALUE"""),3.86)</f>
        <v>3.86</v>
      </c>
      <c r="D3745" s="1">
        <f>IFERROR(__xludf.DUMMYFUNCTION("""COMPUTED_VALUE"""),3.77)</f>
        <v>3.77</v>
      </c>
      <c r="E3745" s="1">
        <f>IFERROR(__xludf.DUMMYFUNCTION("""COMPUTED_VALUE"""),3.85)</f>
        <v>3.85</v>
      </c>
      <c r="F3745" s="1">
        <f>IFERROR(__xludf.DUMMYFUNCTION("""COMPUTED_VALUE"""),208356.0)</f>
        <v>208356</v>
      </c>
    </row>
    <row r="3746">
      <c r="A3746" s="2">
        <f>IFERROR(__xludf.DUMMYFUNCTION("""COMPUTED_VALUE"""),44601.66666666667)</f>
        <v>44601.66667</v>
      </c>
      <c r="B3746" s="1">
        <f>IFERROR(__xludf.DUMMYFUNCTION("""COMPUTED_VALUE"""),3.9)</f>
        <v>3.9</v>
      </c>
      <c r="C3746" s="1">
        <f>IFERROR(__xludf.DUMMYFUNCTION("""COMPUTED_VALUE"""),3.9)</f>
        <v>3.9</v>
      </c>
      <c r="D3746" s="1">
        <f>IFERROR(__xludf.DUMMYFUNCTION("""COMPUTED_VALUE"""),3.81)</f>
        <v>3.81</v>
      </c>
      <c r="E3746" s="1">
        <f>IFERROR(__xludf.DUMMYFUNCTION("""COMPUTED_VALUE"""),3.87)</f>
        <v>3.87</v>
      </c>
      <c r="F3746" s="1">
        <f>IFERROR(__xludf.DUMMYFUNCTION("""COMPUTED_VALUE"""),220295.0)</f>
        <v>220295</v>
      </c>
    </row>
    <row r="3747">
      <c r="A3747" s="2">
        <f>IFERROR(__xludf.DUMMYFUNCTION("""COMPUTED_VALUE"""),44602.66666666667)</f>
        <v>44602.66667</v>
      </c>
      <c r="B3747" s="1">
        <f>IFERROR(__xludf.DUMMYFUNCTION("""COMPUTED_VALUE"""),3.83)</f>
        <v>3.83</v>
      </c>
      <c r="C3747" s="1">
        <f>IFERROR(__xludf.DUMMYFUNCTION("""COMPUTED_VALUE"""),3.92)</f>
        <v>3.92</v>
      </c>
      <c r="D3747" s="1">
        <f>IFERROR(__xludf.DUMMYFUNCTION("""COMPUTED_VALUE"""),3.81)</f>
        <v>3.81</v>
      </c>
      <c r="E3747" s="1">
        <f>IFERROR(__xludf.DUMMYFUNCTION("""COMPUTED_VALUE"""),3.86)</f>
        <v>3.86</v>
      </c>
      <c r="F3747" s="1">
        <f>IFERROR(__xludf.DUMMYFUNCTION("""COMPUTED_VALUE"""),287091.0)</f>
        <v>287091</v>
      </c>
    </row>
    <row r="3748">
      <c r="A3748" s="2">
        <f>IFERROR(__xludf.DUMMYFUNCTION("""COMPUTED_VALUE"""),44603.66666666667)</f>
        <v>44603.66667</v>
      </c>
      <c r="B3748" s="1">
        <f>IFERROR(__xludf.DUMMYFUNCTION("""COMPUTED_VALUE"""),3.84)</f>
        <v>3.84</v>
      </c>
      <c r="C3748" s="1">
        <f>IFERROR(__xludf.DUMMYFUNCTION("""COMPUTED_VALUE"""),3.88)</f>
        <v>3.88</v>
      </c>
      <c r="D3748" s="1">
        <f>IFERROR(__xludf.DUMMYFUNCTION("""COMPUTED_VALUE"""),3.76)</f>
        <v>3.76</v>
      </c>
      <c r="E3748" s="1">
        <f>IFERROR(__xludf.DUMMYFUNCTION("""COMPUTED_VALUE"""),3.81)</f>
        <v>3.81</v>
      </c>
      <c r="F3748" s="1">
        <f>IFERROR(__xludf.DUMMYFUNCTION("""COMPUTED_VALUE"""),184946.0)</f>
        <v>184946</v>
      </c>
    </row>
    <row r="3749">
      <c r="A3749" s="2">
        <f>IFERROR(__xludf.DUMMYFUNCTION("""COMPUTED_VALUE"""),44606.66666666667)</f>
        <v>44606.66667</v>
      </c>
      <c r="B3749" s="1">
        <f>IFERROR(__xludf.DUMMYFUNCTION("""COMPUTED_VALUE"""),3.78)</f>
        <v>3.78</v>
      </c>
      <c r="C3749" s="1">
        <f>IFERROR(__xludf.DUMMYFUNCTION("""COMPUTED_VALUE"""),3.84)</f>
        <v>3.84</v>
      </c>
      <c r="D3749" s="1">
        <f>IFERROR(__xludf.DUMMYFUNCTION("""COMPUTED_VALUE"""),3.77)</f>
        <v>3.77</v>
      </c>
      <c r="E3749" s="1">
        <f>IFERROR(__xludf.DUMMYFUNCTION("""COMPUTED_VALUE"""),3.81)</f>
        <v>3.81</v>
      </c>
      <c r="F3749" s="1">
        <f>IFERROR(__xludf.DUMMYFUNCTION("""COMPUTED_VALUE"""),158226.0)</f>
        <v>158226</v>
      </c>
    </row>
    <row r="3750">
      <c r="A3750" s="2">
        <f>IFERROR(__xludf.DUMMYFUNCTION("""COMPUTED_VALUE"""),44607.66666666667)</f>
        <v>44607.66667</v>
      </c>
      <c r="B3750" s="1">
        <f>IFERROR(__xludf.DUMMYFUNCTION("""COMPUTED_VALUE"""),3.84)</f>
        <v>3.84</v>
      </c>
      <c r="C3750" s="1">
        <f>IFERROR(__xludf.DUMMYFUNCTION("""COMPUTED_VALUE"""),3.98)</f>
        <v>3.98</v>
      </c>
      <c r="D3750" s="1">
        <f>IFERROR(__xludf.DUMMYFUNCTION("""COMPUTED_VALUE"""),3.84)</f>
        <v>3.84</v>
      </c>
      <c r="E3750" s="1">
        <f>IFERROR(__xludf.DUMMYFUNCTION("""COMPUTED_VALUE"""),3.97)</f>
        <v>3.97</v>
      </c>
      <c r="F3750" s="1">
        <f>IFERROR(__xludf.DUMMYFUNCTION("""COMPUTED_VALUE"""),199492.0)</f>
        <v>199492</v>
      </c>
    </row>
    <row r="3751">
      <c r="A3751" s="2">
        <f>IFERROR(__xludf.DUMMYFUNCTION("""COMPUTED_VALUE"""),44608.66666666667)</f>
        <v>44608.66667</v>
      </c>
      <c r="B3751" s="1">
        <f>IFERROR(__xludf.DUMMYFUNCTION("""COMPUTED_VALUE"""),3.94)</f>
        <v>3.94</v>
      </c>
      <c r="C3751" s="1">
        <f>IFERROR(__xludf.DUMMYFUNCTION("""COMPUTED_VALUE"""),4.0)</f>
        <v>4</v>
      </c>
      <c r="D3751" s="1">
        <f>IFERROR(__xludf.DUMMYFUNCTION("""COMPUTED_VALUE"""),3.9)</f>
        <v>3.9</v>
      </c>
      <c r="E3751" s="1">
        <f>IFERROR(__xludf.DUMMYFUNCTION("""COMPUTED_VALUE"""),3.98)</f>
        <v>3.98</v>
      </c>
      <c r="F3751" s="1">
        <f>IFERROR(__xludf.DUMMYFUNCTION("""COMPUTED_VALUE"""),138332.0)</f>
        <v>138332</v>
      </c>
    </row>
    <row r="3752">
      <c r="A3752" s="2">
        <f>IFERROR(__xludf.DUMMYFUNCTION("""COMPUTED_VALUE"""),44609.66666666667)</f>
        <v>44609.66667</v>
      </c>
      <c r="B3752" s="1">
        <f>IFERROR(__xludf.DUMMYFUNCTION("""COMPUTED_VALUE"""),3.92)</f>
        <v>3.92</v>
      </c>
      <c r="C3752" s="1">
        <f>IFERROR(__xludf.DUMMYFUNCTION("""COMPUTED_VALUE"""),3.95)</f>
        <v>3.95</v>
      </c>
      <c r="D3752" s="1">
        <f>IFERROR(__xludf.DUMMYFUNCTION("""COMPUTED_VALUE"""),3.88)</f>
        <v>3.88</v>
      </c>
      <c r="E3752" s="1">
        <f>IFERROR(__xludf.DUMMYFUNCTION("""COMPUTED_VALUE"""),3.89)</f>
        <v>3.89</v>
      </c>
      <c r="F3752" s="1">
        <f>IFERROR(__xludf.DUMMYFUNCTION("""COMPUTED_VALUE"""),129725.0)</f>
        <v>129725</v>
      </c>
    </row>
    <row r="3753">
      <c r="A3753" s="2">
        <f>IFERROR(__xludf.DUMMYFUNCTION("""COMPUTED_VALUE"""),44610.66666666667)</f>
        <v>44610.66667</v>
      </c>
      <c r="B3753" s="1">
        <f>IFERROR(__xludf.DUMMYFUNCTION("""COMPUTED_VALUE"""),3.88)</f>
        <v>3.88</v>
      </c>
      <c r="C3753" s="1">
        <f>IFERROR(__xludf.DUMMYFUNCTION("""COMPUTED_VALUE"""),3.94)</f>
        <v>3.94</v>
      </c>
      <c r="D3753" s="1">
        <f>IFERROR(__xludf.DUMMYFUNCTION("""COMPUTED_VALUE"""),3.85)</f>
        <v>3.85</v>
      </c>
      <c r="E3753" s="1">
        <f>IFERROR(__xludf.DUMMYFUNCTION("""COMPUTED_VALUE"""),3.92)</f>
        <v>3.92</v>
      </c>
      <c r="F3753" s="1">
        <f>IFERROR(__xludf.DUMMYFUNCTION("""COMPUTED_VALUE"""),271263.0)</f>
        <v>271263</v>
      </c>
    </row>
    <row r="3754">
      <c r="A3754" s="2">
        <f>IFERROR(__xludf.DUMMYFUNCTION("""COMPUTED_VALUE"""),44614.66666666667)</f>
        <v>44614.66667</v>
      </c>
      <c r="B3754" s="1">
        <f>IFERROR(__xludf.DUMMYFUNCTION("""COMPUTED_VALUE"""),3.89)</f>
        <v>3.89</v>
      </c>
      <c r="C3754" s="1">
        <f>IFERROR(__xludf.DUMMYFUNCTION("""COMPUTED_VALUE"""),4.02)</f>
        <v>4.02</v>
      </c>
      <c r="D3754" s="1">
        <f>IFERROR(__xludf.DUMMYFUNCTION("""COMPUTED_VALUE"""),3.83)</f>
        <v>3.83</v>
      </c>
      <c r="E3754" s="1">
        <f>IFERROR(__xludf.DUMMYFUNCTION("""COMPUTED_VALUE"""),3.92)</f>
        <v>3.92</v>
      </c>
      <c r="F3754" s="1">
        <f>IFERROR(__xludf.DUMMYFUNCTION("""COMPUTED_VALUE"""),373721.0)</f>
        <v>373721</v>
      </c>
    </row>
    <row r="3755">
      <c r="A3755" s="2">
        <f>IFERROR(__xludf.DUMMYFUNCTION("""COMPUTED_VALUE"""),44615.66666666667)</f>
        <v>44615.66667</v>
      </c>
      <c r="B3755" s="1">
        <f>IFERROR(__xludf.DUMMYFUNCTION("""COMPUTED_VALUE"""),3.94)</f>
        <v>3.94</v>
      </c>
      <c r="C3755" s="1">
        <f>IFERROR(__xludf.DUMMYFUNCTION("""COMPUTED_VALUE"""),4.0)</f>
        <v>4</v>
      </c>
      <c r="D3755" s="1">
        <f>IFERROR(__xludf.DUMMYFUNCTION("""COMPUTED_VALUE"""),3.88)</f>
        <v>3.88</v>
      </c>
      <c r="E3755" s="1">
        <f>IFERROR(__xludf.DUMMYFUNCTION("""COMPUTED_VALUE"""),3.9)</f>
        <v>3.9</v>
      </c>
      <c r="F3755" s="1">
        <f>IFERROR(__xludf.DUMMYFUNCTION("""COMPUTED_VALUE"""),280541.0)</f>
        <v>280541</v>
      </c>
    </row>
    <row r="3756">
      <c r="A3756" s="2">
        <f>IFERROR(__xludf.DUMMYFUNCTION("""COMPUTED_VALUE"""),44616.66666666667)</f>
        <v>44616.66667</v>
      </c>
      <c r="B3756" s="1">
        <f>IFERROR(__xludf.DUMMYFUNCTION("""COMPUTED_VALUE"""),3.74)</f>
        <v>3.74</v>
      </c>
      <c r="C3756" s="1">
        <f>IFERROR(__xludf.DUMMYFUNCTION("""COMPUTED_VALUE"""),3.92)</f>
        <v>3.92</v>
      </c>
      <c r="D3756" s="1">
        <f>IFERROR(__xludf.DUMMYFUNCTION("""COMPUTED_VALUE"""),3.7)</f>
        <v>3.7</v>
      </c>
      <c r="E3756" s="1">
        <f>IFERROR(__xludf.DUMMYFUNCTION("""COMPUTED_VALUE"""),3.92)</f>
        <v>3.92</v>
      </c>
      <c r="F3756" s="1">
        <f>IFERROR(__xludf.DUMMYFUNCTION("""COMPUTED_VALUE"""),232171.0)</f>
        <v>232171</v>
      </c>
    </row>
    <row r="3757">
      <c r="A3757" s="2">
        <f>IFERROR(__xludf.DUMMYFUNCTION("""COMPUTED_VALUE"""),44617.66666666667)</f>
        <v>44617.66667</v>
      </c>
      <c r="B3757" s="1">
        <f>IFERROR(__xludf.DUMMYFUNCTION("""COMPUTED_VALUE"""),3.93)</f>
        <v>3.93</v>
      </c>
      <c r="C3757" s="1">
        <f>IFERROR(__xludf.DUMMYFUNCTION("""COMPUTED_VALUE"""),4.02)</f>
        <v>4.02</v>
      </c>
      <c r="D3757" s="1">
        <f>IFERROR(__xludf.DUMMYFUNCTION("""COMPUTED_VALUE"""),3.86)</f>
        <v>3.86</v>
      </c>
      <c r="E3757" s="1">
        <f>IFERROR(__xludf.DUMMYFUNCTION("""COMPUTED_VALUE"""),4.02)</f>
        <v>4.02</v>
      </c>
      <c r="F3757" s="1">
        <f>IFERROR(__xludf.DUMMYFUNCTION("""COMPUTED_VALUE"""),317614.0)</f>
        <v>317614</v>
      </c>
    </row>
    <row r="3758">
      <c r="A3758" s="2">
        <f>IFERROR(__xludf.DUMMYFUNCTION("""COMPUTED_VALUE"""),44620.66666666667)</f>
        <v>44620.66667</v>
      </c>
      <c r="B3758" s="1">
        <f>IFERROR(__xludf.DUMMYFUNCTION("""COMPUTED_VALUE"""),3.96)</f>
        <v>3.96</v>
      </c>
      <c r="C3758" s="1">
        <f>IFERROR(__xludf.DUMMYFUNCTION("""COMPUTED_VALUE"""),4.07)</f>
        <v>4.07</v>
      </c>
      <c r="D3758" s="1">
        <f>IFERROR(__xludf.DUMMYFUNCTION("""COMPUTED_VALUE"""),3.89)</f>
        <v>3.89</v>
      </c>
      <c r="E3758" s="1">
        <f>IFERROR(__xludf.DUMMYFUNCTION("""COMPUTED_VALUE"""),3.93)</f>
        <v>3.93</v>
      </c>
      <c r="F3758" s="1">
        <f>IFERROR(__xludf.DUMMYFUNCTION("""COMPUTED_VALUE"""),312733.0)</f>
        <v>312733</v>
      </c>
    </row>
    <row r="3759">
      <c r="A3759" s="2">
        <f>IFERROR(__xludf.DUMMYFUNCTION("""COMPUTED_VALUE"""),44621.66666666667)</f>
        <v>44621.66667</v>
      </c>
      <c r="B3759" s="1">
        <f>IFERROR(__xludf.DUMMYFUNCTION("""COMPUTED_VALUE"""),3.93)</f>
        <v>3.93</v>
      </c>
      <c r="C3759" s="1">
        <f>IFERROR(__xludf.DUMMYFUNCTION("""COMPUTED_VALUE"""),4.04)</f>
        <v>4.04</v>
      </c>
      <c r="D3759" s="1">
        <f>IFERROR(__xludf.DUMMYFUNCTION("""COMPUTED_VALUE"""),3.88)</f>
        <v>3.88</v>
      </c>
      <c r="E3759" s="1">
        <f>IFERROR(__xludf.DUMMYFUNCTION("""COMPUTED_VALUE"""),3.99)</f>
        <v>3.99</v>
      </c>
      <c r="F3759" s="1">
        <f>IFERROR(__xludf.DUMMYFUNCTION("""COMPUTED_VALUE"""),362253.0)</f>
        <v>362253</v>
      </c>
    </row>
    <row r="3760">
      <c r="A3760" s="2">
        <f>IFERROR(__xludf.DUMMYFUNCTION("""COMPUTED_VALUE"""),44622.66666666667)</f>
        <v>44622.66667</v>
      </c>
      <c r="B3760" s="1">
        <f>IFERROR(__xludf.DUMMYFUNCTION("""COMPUTED_VALUE"""),4.01)</f>
        <v>4.01</v>
      </c>
      <c r="C3760" s="1">
        <f>IFERROR(__xludf.DUMMYFUNCTION("""COMPUTED_VALUE"""),4.25)</f>
        <v>4.25</v>
      </c>
      <c r="D3760" s="1">
        <f>IFERROR(__xludf.DUMMYFUNCTION("""COMPUTED_VALUE"""),4.01)</f>
        <v>4.01</v>
      </c>
      <c r="E3760" s="1">
        <f>IFERROR(__xludf.DUMMYFUNCTION("""COMPUTED_VALUE"""),4.22)</f>
        <v>4.22</v>
      </c>
      <c r="F3760" s="1">
        <f>IFERROR(__xludf.DUMMYFUNCTION("""COMPUTED_VALUE"""),260988.0)</f>
        <v>260988</v>
      </c>
    </row>
    <row r="3761">
      <c r="A3761" s="2">
        <f>IFERROR(__xludf.DUMMYFUNCTION("""COMPUTED_VALUE"""),44623.66666666667)</f>
        <v>44623.66667</v>
      </c>
      <c r="B3761" s="1">
        <f>IFERROR(__xludf.DUMMYFUNCTION("""COMPUTED_VALUE"""),4.24)</f>
        <v>4.24</v>
      </c>
      <c r="C3761" s="1">
        <f>IFERROR(__xludf.DUMMYFUNCTION("""COMPUTED_VALUE"""),4.3)</f>
        <v>4.3</v>
      </c>
      <c r="D3761" s="1">
        <f>IFERROR(__xludf.DUMMYFUNCTION("""COMPUTED_VALUE"""),4.17)</f>
        <v>4.17</v>
      </c>
      <c r="E3761" s="1">
        <f>IFERROR(__xludf.DUMMYFUNCTION("""COMPUTED_VALUE"""),4.21)</f>
        <v>4.21</v>
      </c>
      <c r="F3761" s="1">
        <f>IFERROR(__xludf.DUMMYFUNCTION("""COMPUTED_VALUE"""),171113.0)</f>
        <v>171113</v>
      </c>
    </row>
    <row r="3762">
      <c r="A3762" s="2">
        <f>IFERROR(__xludf.DUMMYFUNCTION("""COMPUTED_VALUE"""),44624.66666666667)</f>
        <v>44624.66667</v>
      </c>
      <c r="B3762" s="1">
        <f>IFERROR(__xludf.DUMMYFUNCTION("""COMPUTED_VALUE"""),4.16)</f>
        <v>4.16</v>
      </c>
      <c r="C3762" s="1">
        <f>IFERROR(__xludf.DUMMYFUNCTION("""COMPUTED_VALUE"""),4.19)</f>
        <v>4.19</v>
      </c>
      <c r="D3762" s="1">
        <f>IFERROR(__xludf.DUMMYFUNCTION("""COMPUTED_VALUE"""),4.04)</f>
        <v>4.04</v>
      </c>
      <c r="E3762" s="1">
        <f>IFERROR(__xludf.DUMMYFUNCTION("""COMPUTED_VALUE"""),4.16)</f>
        <v>4.16</v>
      </c>
      <c r="F3762" s="1">
        <f>IFERROR(__xludf.DUMMYFUNCTION("""COMPUTED_VALUE"""),174980.0)</f>
        <v>174980</v>
      </c>
    </row>
    <row r="3763">
      <c r="A3763" s="2">
        <f>IFERROR(__xludf.DUMMYFUNCTION("""COMPUTED_VALUE"""),44627.66666666667)</f>
        <v>44627.66667</v>
      </c>
      <c r="B3763" s="1">
        <f>IFERROR(__xludf.DUMMYFUNCTION("""COMPUTED_VALUE"""),4.15)</f>
        <v>4.15</v>
      </c>
      <c r="C3763" s="1">
        <f>IFERROR(__xludf.DUMMYFUNCTION("""COMPUTED_VALUE"""),4.17)</f>
        <v>4.17</v>
      </c>
      <c r="D3763" s="1">
        <f>IFERROR(__xludf.DUMMYFUNCTION("""COMPUTED_VALUE"""),4.01)</f>
        <v>4.01</v>
      </c>
      <c r="E3763" s="1">
        <f>IFERROR(__xludf.DUMMYFUNCTION("""COMPUTED_VALUE"""),4.04)</f>
        <v>4.04</v>
      </c>
      <c r="F3763" s="1">
        <f>IFERROR(__xludf.DUMMYFUNCTION("""COMPUTED_VALUE"""),225628.0)</f>
        <v>225628</v>
      </c>
    </row>
    <row r="3764">
      <c r="A3764" s="2">
        <f>IFERROR(__xludf.DUMMYFUNCTION("""COMPUTED_VALUE"""),44628.66666666667)</f>
        <v>44628.66667</v>
      </c>
      <c r="B3764" s="1">
        <f>IFERROR(__xludf.DUMMYFUNCTION("""COMPUTED_VALUE"""),4.05)</f>
        <v>4.05</v>
      </c>
      <c r="C3764" s="1">
        <f>IFERROR(__xludf.DUMMYFUNCTION("""COMPUTED_VALUE"""),4.12)</f>
        <v>4.12</v>
      </c>
      <c r="D3764" s="1">
        <f>IFERROR(__xludf.DUMMYFUNCTION("""COMPUTED_VALUE"""),4.0)</f>
        <v>4</v>
      </c>
      <c r="E3764" s="1">
        <f>IFERROR(__xludf.DUMMYFUNCTION("""COMPUTED_VALUE"""),4.05)</f>
        <v>4.05</v>
      </c>
      <c r="F3764" s="1">
        <f>IFERROR(__xludf.DUMMYFUNCTION("""COMPUTED_VALUE"""),273802.0)</f>
        <v>273802</v>
      </c>
    </row>
    <row r="3765">
      <c r="A3765" s="2">
        <f>IFERROR(__xludf.DUMMYFUNCTION("""COMPUTED_VALUE"""),44629.66666666667)</f>
        <v>44629.66667</v>
      </c>
      <c r="B3765" s="1">
        <f>IFERROR(__xludf.DUMMYFUNCTION("""COMPUTED_VALUE"""),4.11)</f>
        <v>4.11</v>
      </c>
      <c r="C3765" s="1">
        <f>IFERROR(__xludf.DUMMYFUNCTION("""COMPUTED_VALUE"""),4.19)</f>
        <v>4.19</v>
      </c>
      <c r="D3765" s="1">
        <f>IFERROR(__xludf.DUMMYFUNCTION("""COMPUTED_VALUE"""),4.09)</f>
        <v>4.09</v>
      </c>
      <c r="E3765" s="1">
        <f>IFERROR(__xludf.DUMMYFUNCTION("""COMPUTED_VALUE"""),4.16)</f>
        <v>4.16</v>
      </c>
      <c r="F3765" s="1">
        <f>IFERROR(__xludf.DUMMYFUNCTION("""COMPUTED_VALUE"""),151942.0)</f>
        <v>151942</v>
      </c>
    </row>
    <row r="3766">
      <c r="A3766" s="2">
        <f>IFERROR(__xludf.DUMMYFUNCTION("""COMPUTED_VALUE"""),44630.66666666667)</f>
        <v>44630.66667</v>
      </c>
      <c r="B3766" s="1">
        <f>IFERROR(__xludf.DUMMYFUNCTION("""COMPUTED_VALUE"""),4.11)</f>
        <v>4.11</v>
      </c>
      <c r="C3766" s="1">
        <f>IFERROR(__xludf.DUMMYFUNCTION("""COMPUTED_VALUE"""),4.2)</f>
        <v>4.2</v>
      </c>
      <c r="D3766" s="1">
        <f>IFERROR(__xludf.DUMMYFUNCTION("""COMPUTED_VALUE"""),4.08)</f>
        <v>4.08</v>
      </c>
      <c r="E3766" s="1">
        <f>IFERROR(__xludf.DUMMYFUNCTION("""COMPUTED_VALUE"""),4.12)</f>
        <v>4.12</v>
      </c>
      <c r="F3766" s="1">
        <f>IFERROR(__xludf.DUMMYFUNCTION("""COMPUTED_VALUE"""),176377.0)</f>
        <v>176377</v>
      </c>
    </row>
    <row r="3767">
      <c r="A3767" s="2">
        <f>IFERROR(__xludf.DUMMYFUNCTION("""COMPUTED_VALUE"""),44631.66666666667)</f>
        <v>44631.66667</v>
      </c>
      <c r="B3767" s="1">
        <f>IFERROR(__xludf.DUMMYFUNCTION("""COMPUTED_VALUE"""),4.16)</f>
        <v>4.16</v>
      </c>
      <c r="C3767" s="1">
        <f>IFERROR(__xludf.DUMMYFUNCTION("""COMPUTED_VALUE"""),4.2)</f>
        <v>4.2</v>
      </c>
      <c r="D3767" s="1">
        <f>IFERROR(__xludf.DUMMYFUNCTION("""COMPUTED_VALUE"""),4.09)</f>
        <v>4.09</v>
      </c>
      <c r="E3767" s="1">
        <f>IFERROR(__xludf.DUMMYFUNCTION("""COMPUTED_VALUE"""),4.16)</f>
        <v>4.16</v>
      </c>
      <c r="F3767" s="1">
        <f>IFERROR(__xludf.DUMMYFUNCTION("""COMPUTED_VALUE"""),158564.0)</f>
        <v>158564</v>
      </c>
    </row>
    <row r="3768">
      <c r="A3768" s="2">
        <f>IFERROR(__xludf.DUMMYFUNCTION("""COMPUTED_VALUE"""),44634.66666666667)</f>
        <v>44634.66667</v>
      </c>
      <c r="B3768" s="1">
        <f>IFERROR(__xludf.DUMMYFUNCTION("""COMPUTED_VALUE"""),4.16)</f>
        <v>4.16</v>
      </c>
      <c r="C3768" s="1">
        <f>IFERROR(__xludf.DUMMYFUNCTION("""COMPUTED_VALUE"""),4.18)</f>
        <v>4.18</v>
      </c>
      <c r="D3768" s="1">
        <f>IFERROR(__xludf.DUMMYFUNCTION("""COMPUTED_VALUE"""),4.02)</f>
        <v>4.02</v>
      </c>
      <c r="E3768" s="1">
        <f>IFERROR(__xludf.DUMMYFUNCTION("""COMPUTED_VALUE"""),4.05)</f>
        <v>4.05</v>
      </c>
      <c r="F3768" s="1">
        <f>IFERROR(__xludf.DUMMYFUNCTION("""COMPUTED_VALUE"""),199791.0)</f>
        <v>199791</v>
      </c>
    </row>
    <row r="3769">
      <c r="A3769" s="2">
        <f>IFERROR(__xludf.DUMMYFUNCTION("""COMPUTED_VALUE"""),44635.66666666667)</f>
        <v>44635.66667</v>
      </c>
      <c r="B3769" s="1">
        <f>IFERROR(__xludf.DUMMYFUNCTION("""COMPUTED_VALUE"""),4.07)</f>
        <v>4.07</v>
      </c>
      <c r="C3769" s="1">
        <f>IFERROR(__xludf.DUMMYFUNCTION("""COMPUTED_VALUE"""),4.19)</f>
        <v>4.19</v>
      </c>
      <c r="D3769" s="1">
        <f>IFERROR(__xludf.DUMMYFUNCTION("""COMPUTED_VALUE"""),4.03)</f>
        <v>4.03</v>
      </c>
      <c r="E3769" s="1">
        <f>IFERROR(__xludf.DUMMYFUNCTION("""COMPUTED_VALUE"""),4.18)</f>
        <v>4.18</v>
      </c>
      <c r="F3769" s="1">
        <f>IFERROR(__xludf.DUMMYFUNCTION("""COMPUTED_VALUE"""),158697.0)</f>
        <v>158697</v>
      </c>
    </row>
    <row r="3770">
      <c r="A3770" s="2">
        <f>IFERROR(__xludf.DUMMYFUNCTION("""COMPUTED_VALUE"""),44636.66666666667)</f>
        <v>44636.66667</v>
      </c>
      <c r="B3770" s="1">
        <f>IFERROR(__xludf.DUMMYFUNCTION("""COMPUTED_VALUE"""),4.2)</f>
        <v>4.2</v>
      </c>
      <c r="C3770" s="1">
        <f>IFERROR(__xludf.DUMMYFUNCTION("""COMPUTED_VALUE"""),4.3)</f>
        <v>4.3</v>
      </c>
      <c r="D3770" s="1">
        <f>IFERROR(__xludf.DUMMYFUNCTION("""COMPUTED_VALUE"""),4.17)</f>
        <v>4.17</v>
      </c>
      <c r="E3770" s="1">
        <f>IFERROR(__xludf.DUMMYFUNCTION("""COMPUTED_VALUE"""),4.28)</f>
        <v>4.28</v>
      </c>
      <c r="F3770" s="1">
        <f>IFERROR(__xludf.DUMMYFUNCTION("""COMPUTED_VALUE"""),199889.0)</f>
        <v>199889</v>
      </c>
    </row>
    <row r="3771">
      <c r="A3771" s="2">
        <f>IFERROR(__xludf.DUMMYFUNCTION("""COMPUTED_VALUE"""),44637.66666666667)</f>
        <v>44637.66667</v>
      </c>
      <c r="B3771" s="1">
        <f>IFERROR(__xludf.DUMMYFUNCTION("""COMPUTED_VALUE"""),4.25)</f>
        <v>4.25</v>
      </c>
      <c r="C3771" s="1">
        <f>IFERROR(__xludf.DUMMYFUNCTION("""COMPUTED_VALUE"""),4.28)</f>
        <v>4.28</v>
      </c>
      <c r="D3771" s="1">
        <f>IFERROR(__xludf.DUMMYFUNCTION("""COMPUTED_VALUE"""),4.18)</f>
        <v>4.18</v>
      </c>
      <c r="E3771" s="1">
        <f>IFERROR(__xludf.DUMMYFUNCTION("""COMPUTED_VALUE"""),4.19)</f>
        <v>4.19</v>
      </c>
      <c r="F3771" s="1">
        <f>IFERROR(__xludf.DUMMYFUNCTION("""COMPUTED_VALUE"""),126164.0)</f>
        <v>126164</v>
      </c>
    </row>
    <row r="3772">
      <c r="A3772" s="2">
        <f>IFERROR(__xludf.DUMMYFUNCTION("""COMPUTED_VALUE"""),44638.66666666667)</f>
        <v>44638.66667</v>
      </c>
      <c r="B3772" s="1">
        <f>IFERROR(__xludf.DUMMYFUNCTION("""COMPUTED_VALUE"""),4.2)</f>
        <v>4.2</v>
      </c>
      <c r="C3772" s="1">
        <f>IFERROR(__xludf.DUMMYFUNCTION("""COMPUTED_VALUE"""),4.32)</f>
        <v>4.32</v>
      </c>
      <c r="D3772" s="1">
        <f>IFERROR(__xludf.DUMMYFUNCTION("""COMPUTED_VALUE"""),4.16)</f>
        <v>4.16</v>
      </c>
      <c r="E3772" s="1">
        <f>IFERROR(__xludf.DUMMYFUNCTION("""COMPUTED_VALUE"""),4.29)</f>
        <v>4.29</v>
      </c>
      <c r="F3772" s="1">
        <f>IFERROR(__xludf.DUMMYFUNCTION("""COMPUTED_VALUE"""),329374.0)</f>
        <v>329374</v>
      </c>
    </row>
    <row r="3773">
      <c r="A3773" s="2">
        <f>IFERROR(__xludf.DUMMYFUNCTION("""COMPUTED_VALUE"""),44641.66666666667)</f>
        <v>44641.66667</v>
      </c>
      <c r="B3773" s="1">
        <f>IFERROR(__xludf.DUMMYFUNCTION("""COMPUTED_VALUE"""),4.25)</f>
        <v>4.25</v>
      </c>
      <c r="C3773" s="1">
        <f>IFERROR(__xludf.DUMMYFUNCTION("""COMPUTED_VALUE"""),4.36)</f>
        <v>4.36</v>
      </c>
      <c r="D3773" s="1">
        <f>IFERROR(__xludf.DUMMYFUNCTION("""COMPUTED_VALUE"""),4.25)</f>
        <v>4.25</v>
      </c>
      <c r="E3773" s="1">
        <f>IFERROR(__xludf.DUMMYFUNCTION("""COMPUTED_VALUE"""),4.3)</f>
        <v>4.3</v>
      </c>
      <c r="F3773" s="1">
        <f>IFERROR(__xludf.DUMMYFUNCTION("""COMPUTED_VALUE"""),111489.0)</f>
        <v>111489</v>
      </c>
    </row>
    <row r="3774">
      <c r="A3774" s="2">
        <f>IFERROR(__xludf.DUMMYFUNCTION("""COMPUTED_VALUE"""),44642.66666666667)</f>
        <v>44642.66667</v>
      </c>
      <c r="B3774" s="1">
        <f>IFERROR(__xludf.DUMMYFUNCTION("""COMPUTED_VALUE"""),4.31)</f>
        <v>4.31</v>
      </c>
      <c r="C3774" s="1">
        <f>IFERROR(__xludf.DUMMYFUNCTION("""COMPUTED_VALUE"""),4.36)</f>
        <v>4.36</v>
      </c>
      <c r="D3774" s="1">
        <f>IFERROR(__xludf.DUMMYFUNCTION("""COMPUTED_VALUE"""),4.27)</f>
        <v>4.27</v>
      </c>
      <c r="E3774" s="1">
        <f>IFERROR(__xludf.DUMMYFUNCTION("""COMPUTED_VALUE"""),4.3)</f>
        <v>4.3</v>
      </c>
      <c r="F3774" s="1">
        <f>IFERROR(__xludf.DUMMYFUNCTION("""COMPUTED_VALUE"""),440992.0)</f>
        <v>440992</v>
      </c>
    </row>
    <row r="3775">
      <c r="A3775" s="2">
        <f>IFERROR(__xludf.DUMMYFUNCTION("""COMPUTED_VALUE"""),44643.66666666667)</f>
        <v>44643.66667</v>
      </c>
      <c r="B3775" s="1">
        <f>IFERROR(__xludf.DUMMYFUNCTION("""COMPUTED_VALUE"""),4.28)</f>
        <v>4.28</v>
      </c>
      <c r="C3775" s="1">
        <f>IFERROR(__xludf.DUMMYFUNCTION("""COMPUTED_VALUE"""),4.3)</f>
        <v>4.3</v>
      </c>
      <c r="D3775" s="1">
        <f>IFERROR(__xludf.DUMMYFUNCTION("""COMPUTED_VALUE"""),4.12)</f>
        <v>4.12</v>
      </c>
      <c r="E3775" s="1">
        <f>IFERROR(__xludf.DUMMYFUNCTION("""COMPUTED_VALUE"""),4.23)</f>
        <v>4.23</v>
      </c>
      <c r="F3775" s="1">
        <f>IFERROR(__xludf.DUMMYFUNCTION("""COMPUTED_VALUE"""),118895.0)</f>
        <v>118895</v>
      </c>
    </row>
    <row r="3776">
      <c r="A3776" s="2">
        <f>IFERROR(__xludf.DUMMYFUNCTION("""COMPUTED_VALUE"""),44644.66666666667)</f>
        <v>44644.66667</v>
      </c>
      <c r="B3776" s="1">
        <f>IFERROR(__xludf.DUMMYFUNCTION("""COMPUTED_VALUE"""),4.26)</f>
        <v>4.26</v>
      </c>
      <c r="C3776" s="1">
        <f>IFERROR(__xludf.DUMMYFUNCTION("""COMPUTED_VALUE"""),4.3)</f>
        <v>4.3</v>
      </c>
      <c r="D3776" s="1">
        <f>IFERROR(__xludf.DUMMYFUNCTION("""COMPUTED_VALUE"""),4.22)</f>
        <v>4.22</v>
      </c>
      <c r="E3776" s="1">
        <f>IFERROR(__xludf.DUMMYFUNCTION("""COMPUTED_VALUE"""),4.25)</f>
        <v>4.25</v>
      </c>
      <c r="F3776" s="1">
        <f>IFERROR(__xludf.DUMMYFUNCTION("""COMPUTED_VALUE"""),115037.0)</f>
        <v>115037</v>
      </c>
    </row>
    <row r="3777">
      <c r="A3777" s="2">
        <f>IFERROR(__xludf.DUMMYFUNCTION("""COMPUTED_VALUE"""),44645.66666666667)</f>
        <v>44645.66667</v>
      </c>
      <c r="B3777" s="1">
        <f>IFERROR(__xludf.DUMMYFUNCTION("""COMPUTED_VALUE"""),4.26)</f>
        <v>4.26</v>
      </c>
      <c r="C3777" s="1">
        <f>IFERROR(__xludf.DUMMYFUNCTION("""COMPUTED_VALUE"""),4.26)</f>
        <v>4.26</v>
      </c>
      <c r="D3777" s="1">
        <f>IFERROR(__xludf.DUMMYFUNCTION("""COMPUTED_VALUE"""),4.17)</f>
        <v>4.17</v>
      </c>
      <c r="E3777" s="1">
        <f>IFERROR(__xludf.DUMMYFUNCTION("""COMPUTED_VALUE"""),4.2)</f>
        <v>4.2</v>
      </c>
      <c r="F3777" s="1">
        <f>IFERROR(__xludf.DUMMYFUNCTION("""COMPUTED_VALUE"""),153448.0)</f>
        <v>153448</v>
      </c>
    </row>
    <row r="3778">
      <c r="A3778" s="2">
        <f>IFERROR(__xludf.DUMMYFUNCTION("""COMPUTED_VALUE"""),44648.66666666667)</f>
        <v>44648.66667</v>
      </c>
      <c r="B3778" s="1">
        <f>IFERROR(__xludf.DUMMYFUNCTION("""COMPUTED_VALUE"""),4.2)</f>
        <v>4.2</v>
      </c>
      <c r="C3778" s="1">
        <f>IFERROR(__xludf.DUMMYFUNCTION("""COMPUTED_VALUE"""),4.22)</f>
        <v>4.22</v>
      </c>
      <c r="D3778" s="1">
        <f>IFERROR(__xludf.DUMMYFUNCTION("""COMPUTED_VALUE"""),4.11)</f>
        <v>4.11</v>
      </c>
      <c r="E3778" s="1">
        <f>IFERROR(__xludf.DUMMYFUNCTION("""COMPUTED_VALUE"""),4.19)</f>
        <v>4.19</v>
      </c>
      <c r="F3778" s="1">
        <f>IFERROR(__xludf.DUMMYFUNCTION("""COMPUTED_VALUE"""),159246.0)</f>
        <v>159246</v>
      </c>
    </row>
    <row r="3779">
      <c r="A3779" s="2">
        <f>IFERROR(__xludf.DUMMYFUNCTION("""COMPUTED_VALUE"""),44649.66666666667)</f>
        <v>44649.66667</v>
      </c>
      <c r="B3779" s="1">
        <f>IFERROR(__xludf.DUMMYFUNCTION("""COMPUTED_VALUE"""),4.23)</f>
        <v>4.23</v>
      </c>
      <c r="C3779" s="1">
        <f>IFERROR(__xludf.DUMMYFUNCTION("""COMPUTED_VALUE"""),4.3)</f>
        <v>4.3</v>
      </c>
      <c r="D3779" s="1">
        <f>IFERROR(__xludf.DUMMYFUNCTION("""COMPUTED_VALUE"""),4.21)</f>
        <v>4.21</v>
      </c>
      <c r="E3779" s="1">
        <f>IFERROR(__xludf.DUMMYFUNCTION("""COMPUTED_VALUE"""),4.25)</f>
        <v>4.25</v>
      </c>
      <c r="F3779" s="1">
        <f>IFERROR(__xludf.DUMMYFUNCTION("""COMPUTED_VALUE"""),242314.0)</f>
        <v>242314</v>
      </c>
    </row>
    <row r="3780">
      <c r="A3780" s="2">
        <f>IFERROR(__xludf.DUMMYFUNCTION("""COMPUTED_VALUE"""),44650.66666666667)</f>
        <v>44650.66667</v>
      </c>
      <c r="B3780" s="1">
        <f>IFERROR(__xludf.DUMMYFUNCTION("""COMPUTED_VALUE"""),4.24)</f>
        <v>4.24</v>
      </c>
      <c r="C3780" s="1">
        <f>IFERROR(__xludf.DUMMYFUNCTION("""COMPUTED_VALUE"""),4.31)</f>
        <v>4.31</v>
      </c>
      <c r="D3780" s="1">
        <f>IFERROR(__xludf.DUMMYFUNCTION("""COMPUTED_VALUE"""),3.94)</f>
        <v>3.94</v>
      </c>
      <c r="E3780" s="1">
        <f>IFERROR(__xludf.DUMMYFUNCTION("""COMPUTED_VALUE"""),3.96)</f>
        <v>3.96</v>
      </c>
      <c r="F3780" s="1">
        <f>IFERROR(__xludf.DUMMYFUNCTION("""COMPUTED_VALUE"""),335939.0)</f>
        <v>335939</v>
      </c>
    </row>
    <row r="3781">
      <c r="A3781" s="2">
        <f>IFERROR(__xludf.DUMMYFUNCTION("""COMPUTED_VALUE"""),44651.66666666667)</f>
        <v>44651.66667</v>
      </c>
      <c r="B3781" s="1">
        <f>IFERROR(__xludf.DUMMYFUNCTION("""COMPUTED_VALUE"""),3.96)</f>
        <v>3.96</v>
      </c>
      <c r="C3781" s="1">
        <f>IFERROR(__xludf.DUMMYFUNCTION("""COMPUTED_VALUE"""),3.98)</f>
        <v>3.98</v>
      </c>
      <c r="D3781" s="1">
        <f>IFERROR(__xludf.DUMMYFUNCTION("""COMPUTED_VALUE"""),3.8)</f>
        <v>3.8</v>
      </c>
      <c r="E3781" s="1">
        <f>IFERROR(__xludf.DUMMYFUNCTION("""COMPUTED_VALUE"""),3.81)</f>
        <v>3.81</v>
      </c>
      <c r="F3781" s="1">
        <f>IFERROR(__xludf.DUMMYFUNCTION("""COMPUTED_VALUE"""),295321.0)</f>
        <v>295321</v>
      </c>
    </row>
    <row r="3782">
      <c r="A3782" s="2">
        <f>IFERROR(__xludf.DUMMYFUNCTION("""COMPUTED_VALUE"""),44652.66666666667)</f>
        <v>44652.66667</v>
      </c>
      <c r="B3782" s="1">
        <f>IFERROR(__xludf.DUMMYFUNCTION("""COMPUTED_VALUE"""),3.83)</f>
        <v>3.83</v>
      </c>
      <c r="C3782" s="1">
        <f>IFERROR(__xludf.DUMMYFUNCTION("""COMPUTED_VALUE"""),3.9)</f>
        <v>3.9</v>
      </c>
      <c r="D3782" s="1">
        <f>IFERROR(__xludf.DUMMYFUNCTION("""COMPUTED_VALUE"""),3.69)</f>
        <v>3.69</v>
      </c>
      <c r="E3782" s="1">
        <f>IFERROR(__xludf.DUMMYFUNCTION("""COMPUTED_VALUE"""),3.79)</f>
        <v>3.79</v>
      </c>
      <c r="F3782" s="1">
        <f>IFERROR(__xludf.DUMMYFUNCTION("""COMPUTED_VALUE"""),242288.0)</f>
        <v>242288</v>
      </c>
    </row>
    <row r="3783">
      <c r="A3783" s="2">
        <f>IFERROR(__xludf.DUMMYFUNCTION("""COMPUTED_VALUE"""),44655.66666666667)</f>
        <v>44655.66667</v>
      </c>
      <c r="B3783" s="1">
        <f>IFERROR(__xludf.DUMMYFUNCTION("""COMPUTED_VALUE"""),3.77)</f>
        <v>3.77</v>
      </c>
      <c r="C3783" s="1">
        <f>IFERROR(__xludf.DUMMYFUNCTION("""COMPUTED_VALUE"""),3.8)</f>
        <v>3.8</v>
      </c>
      <c r="D3783" s="1">
        <f>IFERROR(__xludf.DUMMYFUNCTION("""COMPUTED_VALUE"""),3.72)</f>
        <v>3.72</v>
      </c>
      <c r="E3783" s="1">
        <f>IFERROR(__xludf.DUMMYFUNCTION("""COMPUTED_VALUE"""),3.77)</f>
        <v>3.77</v>
      </c>
      <c r="F3783" s="1">
        <f>IFERROR(__xludf.DUMMYFUNCTION("""COMPUTED_VALUE"""),213125.0)</f>
        <v>213125</v>
      </c>
    </row>
    <row r="3784">
      <c r="A3784" s="2">
        <f>IFERROR(__xludf.DUMMYFUNCTION("""COMPUTED_VALUE"""),44656.66666666667)</f>
        <v>44656.66667</v>
      </c>
      <c r="B3784" s="1">
        <f>IFERROR(__xludf.DUMMYFUNCTION("""COMPUTED_VALUE"""),3.76)</f>
        <v>3.76</v>
      </c>
      <c r="C3784" s="1">
        <f>IFERROR(__xludf.DUMMYFUNCTION("""COMPUTED_VALUE"""),3.79)</f>
        <v>3.79</v>
      </c>
      <c r="D3784" s="1">
        <f>IFERROR(__xludf.DUMMYFUNCTION("""COMPUTED_VALUE"""),3.64)</f>
        <v>3.64</v>
      </c>
      <c r="E3784" s="1">
        <f>IFERROR(__xludf.DUMMYFUNCTION("""COMPUTED_VALUE"""),3.64)</f>
        <v>3.64</v>
      </c>
      <c r="F3784" s="1">
        <f>IFERROR(__xludf.DUMMYFUNCTION("""COMPUTED_VALUE"""),141009.0)</f>
        <v>141009</v>
      </c>
    </row>
    <row r="3785">
      <c r="A3785" s="2">
        <f>IFERROR(__xludf.DUMMYFUNCTION("""COMPUTED_VALUE"""),44657.66666666667)</f>
        <v>44657.66667</v>
      </c>
      <c r="B3785" s="1">
        <f>IFERROR(__xludf.DUMMYFUNCTION("""COMPUTED_VALUE"""),3.61)</f>
        <v>3.61</v>
      </c>
      <c r="C3785" s="1">
        <f>IFERROR(__xludf.DUMMYFUNCTION("""COMPUTED_VALUE"""),3.63)</f>
        <v>3.63</v>
      </c>
      <c r="D3785" s="1">
        <f>IFERROR(__xludf.DUMMYFUNCTION("""COMPUTED_VALUE"""),3.53)</f>
        <v>3.53</v>
      </c>
      <c r="E3785" s="1">
        <f>IFERROR(__xludf.DUMMYFUNCTION("""COMPUTED_VALUE"""),3.54)</f>
        <v>3.54</v>
      </c>
      <c r="F3785" s="1">
        <f>IFERROR(__xludf.DUMMYFUNCTION("""COMPUTED_VALUE"""),186376.0)</f>
        <v>186376</v>
      </c>
    </row>
    <row r="3786">
      <c r="A3786" s="2">
        <f>IFERROR(__xludf.DUMMYFUNCTION("""COMPUTED_VALUE"""),44658.66666666667)</f>
        <v>44658.66667</v>
      </c>
      <c r="B3786" s="1">
        <f>IFERROR(__xludf.DUMMYFUNCTION("""COMPUTED_VALUE"""),3.53)</f>
        <v>3.53</v>
      </c>
      <c r="C3786" s="1">
        <f>IFERROR(__xludf.DUMMYFUNCTION("""COMPUTED_VALUE"""),3.57)</f>
        <v>3.57</v>
      </c>
      <c r="D3786" s="1">
        <f>IFERROR(__xludf.DUMMYFUNCTION("""COMPUTED_VALUE"""),3.47)</f>
        <v>3.47</v>
      </c>
      <c r="E3786" s="1">
        <f>IFERROR(__xludf.DUMMYFUNCTION("""COMPUTED_VALUE"""),3.54)</f>
        <v>3.54</v>
      </c>
      <c r="F3786" s="1">
        <f>IFERROR(__xludf.DUMMYFUNCTION("""COMPUTED_VALUE"""),180373.0)</f>
        <v>180373</v>
      </c>
    </row>
    <row r="3787">
      <c r="A3787" s="2">
        <f>IFERROR(__xludf.DUMMYFUNCTION("""COMPUTED_VALUE"""),44659.66666666667)</f>
        <v>44659.66667</v>
      </c>
      <c r="B3787" s="1">
        <f>IFERROR(__xludf.DUMMYFUNCTION("""COMPUTED_VALUE"""),3.48)</f>
        <v>3.48</v>
      </c>
      <c r="C3787" s="1">
        <f>IFERROR(__xludf.DUMMYFUNCTION("""COMPUTED_VALUE"""),3.56)</f>
        <v>3.56</v>
      </c>
      <c r="D3787" s="1">
        <f>IFERROR(__xludf.DUMMYFUNCTION("""COMPUTED_VALUE"""),3.41)</f>
        <v>3.41</v>
      </c>
      <c r="E3787" s="1">
        <f>IFERROR(__xludf.DUMMYFUNCTION("""COMPUTED_VALUE"""),3.53)</f>
        <v>3.53</v>
      </c>
      <c r="F3787" s="1">
        <f>IFERROR(__xludf.DUMMYFUNCTION("""COMPUTED_VALUE"""),262699.0)</f>
        <v>262699</v>
      </c>
    </row>
    <row r="3788">
      <c r="A3788" s="2">
        <f>IFERROR(__xludf.DUMMYFUNCTION("""COMPUTED_VALUE"""),44662.66666666667)</f>
        <v>44662.66667</v>
      </c>
      <c r="B3788" s="1">
        <f>IFERROR(__xludf.DUMMYFUNCTION("""COMPUTED_VALUE"""),3.5)</f>
        <v>3.5</v>
      </c>
      <c r="C3788" s="1">
        <f>IFERROR(__xludf.DUMMYFUNCTION("""COMPUTED_VALUE"""),3.57)</f>
        <v>3.57</v>
      </c>
      <c r="D3788" s="1">
        <f>IFERROR(__xludf.DUMMYFUNCTION("""COMPUTED_VALUE"""),3.45)</f>
        <v>3.45</v>
      </c>
      <c r="E3788" s="1">
        <f>IFERROR(__xludf.DUMMYFUNCTION("""COMPUTED_VALUE"""),3.52)</f>
        <v>3.52</v>
      </c>
      <c r="F3788" s="1">
        <f>IFERROR(__xludf.DUMMYFUNCTION("""COMPUTED_VALUE"""),164476.0)</f>
        <v>164476</v>
      </c>
    </row>
    <row r="3789">
      <c r="A3789" s="2">
        <f>IFERROR(__xludf.DUMMYFUNCTION("""COMPUTED_VALUE"""),44663.66666666667)</f>
        <v>44663.66667</v>
      </c>
      <c r="B3789" s="1">
        <f>IFERROR(__xludf.DUMMYFUNCTION("""COMPUTED_VALUE"""),3.53)</f>
        <v>3.53</v>
      </c>
      <c r="C3789" s="1">
        <f>IFERROR(__xludf.DUMMYFUNCTION("""COMPUTED_VALUE"""),3.62)</f>
        <v>3.62</v>
      </c>
      <c r="D3789" s="1">
        <f>IFERROR(__xludf.DUMMYFUNCTION("""COMPUTED_VALUE"""),3.48)</f>
        <v>3.48</v>
      </c>
      <c r="E3789" s="1">
        <f>IFERROR(__xludf.DUMMYFUNCTION("""COMPUTED_VALUE"""),3.48)</f>
        <v>3.48</v>
      </c>
      <c r="F3789" s="1">
        <f>IFERROR(__xludf.DUMMYFUNCTION("""COMPUTED_VALUE"""),138656.0)</f>
        <v>138656</v>
      </c>
    </row>
    <row r="3790">
      <c r="A3790" s="2">
        <f>IFERROR(__xludf.DUMMYFUNCTION("""COMPUTED_VALUE"""),44664.66666666667)</f>
        <v>44664.66667</v>
      </c>
      <c r="B3790" s="1">
        <f>IFERROR(__xludf.DUMMYFUNCTION("""COMPUTED_VALUE"""),3.51)</f>
        <v>3.51</v>
      </c>
      <c r="C3790" s="1">
        <f>IFERROR(__xludf.DUMMYFUNCTION("""COMPUTED_VALUE"""),3.58)</f>
        <v>3.58</v>
      </c>
      <c r="D3790" s="1">
        <f>IFERROR(__xludf.DUMMYFUNCTION("""COMPUTED_VALUE"""),3.48)</f>
        <v>3.48</v>
      </c>
      <c r="E3790" s="1">
        <f>IFERROR(__xludf.DUMMYFUNCTION("""COMPUTED_VALUE"""),3.56)</f>
        <v>3.56</v>
      </c>
      <c r="F3790" s="1">
        <f>IFERROR(__xludf.DUMMYFUNCTION("""COMPUTED_VALUE"""),107280.0)</f>
        <v>107280</v>
      </c>
    </row>
    <row r="3791">
      <c r="A3791" s="2">
        <f>IFERROR(__xludf.DUMMYFUNCTION("""COMPUTED_VALUE"""),44665.66666666667)</f>
        <v>44665.66667</v>
      </c>
      <c r="B3791" s="1">
        <f>IFERROR(__xludf.DUMMYFUNCTION("""COMPUTED_VALUE"""),3.58)</f>
        <v>3.58</v>
      </c>
      <c r="C3791" s="1">
        <f>IFERROR(__xludf.DUMMYFUNCTION("""COMPUTED_VALUE"""),3.67)</f>
        <v>3.67</v>
      </c>
      <c r="D3791" s="1">
        <f>IFERROR(__xludf.DUMMYFUNCTION("""COMPUTED_VALUE"""),3.57)</f>
        <v>3.57</v>
      </c>
      <c r="E3791" s="1">
        <f>IFERROR(__xludf.DUMMYFUNCTION("""COMPUTED_VALUE"""),3.65)</f>
        <v>3.65</v>
      </c>
      <c r="F3791" s="1">
        <f>IFERROR(__xludf.DUMMYFUNCTION("""COMPUTED_VALUE"""),290446.0)</f>
        <v>290446</v>
      </c>
    </row>
    <row r="3792">
      <c r="A3792" s="2">
        <f>IFERROR(__xludf.DUMMYFUNCTION("""COMPUTED_VALUE"""),44669.66666666667)</f>
        <v>44669.66667</v>
      </c>
      <c r="B3792" s="1">
        <f>IFERROR(__xludf.DUMMYFUNCTION("""COMPUTED_VALUE"""),3.62)</f>
        <v>3.62</v>
      </c>
      <c r="C3792" s="1">
        <f>IFERROR(__xludf.DUMMYFUNCTION("""COMPUTED_VALUE"""),3.68)</f>
        <v>3.68</v>
      </c>
      <c r="D3792" s="1">
        <f>IFERROR(__xludf.DUMMYFUNCTION("""COMPUTED_VALUE"""),3.62)</f>
        <v>3.62</v>
      </c>
      <c r="E3792" s="1">
        <f>IFERROR(__xludf.DUMMYFUNCTION("""COMPUTED_VALUE"""),3.66)</f>
        <v>3.66</v>
      </c>
      <c r="F3792" s="1">
        <f>IFERROR(__xludf.DUMMYFUNCTION("""COMPUTED_VALUE"""),272028.0)</f>
        <v>272028</v>
      </c>
    </row>
    <row r="3793">
      <c r="A3793" s="2">
        <f>IFERROR(__xludf.DUMMYFUNCTION("""COMPUTED_VALUE"""),44670.66666666667)</f>
        <v>44670.66667</v>
      </c>
      <c r="B3793" s="1">
        <f>IFERROR(__xludf.DUMMYFUNCTION("""COMPUTED_VALUE"""),4.2)</f>
        <v>4.2</v>
      </c>
      <c r="C3793" s="1">
        <f>IFERROR(__xludf.DUMMYFUNCTION("""COMPUTED_VALUE"""),4.49)</f>
        <v>4.49</v>
      </c>
      <c r="D3793" s="1">
        <f>IFERROR(__xludf.DUMMYFUNCTION("""COMPUTED_VALUE"""),4.11)</f>
        <v>4.11</v>
      </c>
      <c r="E3793" s="1">
        <f>IFERROR(__xludf.DUMMYFUNCTION("""COMPUTED_VALUE"""),4.47)</f>
        <v>4.47</v>
      </c>
      <c r="F3793" s="1">
        <f>IFERROR(__xludf.DUMMYFUNCTION("""COMPUTED_VALUE"""),1652207.0)</f>
        <v>1652207</v>
      </c>
    </row>
    <row r="3794">
      <c r="A3794" s="2">
        <f>IFERROR(__xludf.DUMMYFUNCTION("""COMPUTED_VALUE"""),44671.66666666667)</f>
        <v>44671.66667</v>
      </c>
      <c r="B3794" s="1">
        <f>IFERROR(__xludf.DUMMYFUNCTION("""COMPUTED_VALUE"""),4.48)</f>
        <v>4.48</v>
      </c>
      <c r="C3794" s="1">
        <f>IFERROR(__xludf.DUMMYFUNCTION("""COMPUTED_VALUE"""),4.68)</f>
        <v>4.68</v>
      </c>
      <c r="D3794" s="1">
        <f>IFERROR(__xludf.DUMMYFUNCTION("""COMPUTED_VALUE"""),4.48)</f>
        <v>4.48</v>
      </c>
      <c r="E3794" s="1">
        <f>IFERROR(__xludf.DUMMYFUNCTION("""COMPUTED_VALUE"""),4.51)</f>
        <v>4.51</v>
      </c>
      <c r="F3794" s="1">
        <f>IFERROR(__xludf.DUMMYFUNCTION("""COMPUTED_VALUE"""),563419.0)</f>
        <v>563419</v>
      </c>
    </row>
    <row r="3795">
      <c r="A3795" s="2">
        <f>IFERROR(__xludf.DUMMYFUNCTION("""COMPUTED_VALUE"""),44672.66666666667)</f>
        <v>44672.66667</v>
      </c>
      <c r="B3795" s="1">
        <f>IFERROR(__xludf.DUMMYFUNCTION("""COMPUTED_VALUE"""),4.51)</f>
        <v>4.51</v>
      </c>
      <c r="C3795" s="1">
        <f>IFERROR(__xludf.DUMMYFUNCTION("""COMPUTED_VALUE"""),4.62)</f>
        <v>4.62</v>
      </c>
      <c r="D3795" s="1">
        <f>IFERROR(__xludf.DUMMYFUNCTION("""COMPUTED_VALUE"""),4.23)</f>
        <v>4.23</v>
      </c>
      <c r="E3795" s="1">
        <f>IFERROR(__xludf.DUMMYFUNCTION("""COMPUTED_VALUE"""),4.27)</f>
        <v>4.27</v>
      </c>
      <c r="F3795" s="1">
        <f>IFERROR(__xludf.DUMMYFUNCTION("""COMPUTED_VALUE"""),632473.0)</f>
        <v>632473</v>
      </c>
    </row>
    <row r="3796">
      <c r="A3796" s="2">
        <f>IFERROR(__xludf.DUMMYFUNCTION("""COMPUTED_VALUE"""),44673.66666666667)</f>
        <v>44673.66667</v>
      </c>
      <c r="B3796" s="1">
        <f>IFERROR(__xludf.DUMMYFUNCTION("""COMPUTED_VALUE"""),4.31)</f>
        <v>4.31</v>
      </c>
      <c r="C3796" s="1">
        <f>IFERROR(__xludf.DUMMYFUNCTION("""COMPUTED_VALUE"""),4.36)</f>
        <v>4.36</v>
      </c>
      <c r="D3796" s="1">
        <f>IFERROR(__xludf.DUMMYFUNCTION("""COMPUTED_VALUE"""),4.16)</f>
        <v>4.16</v>
      </c>
      <c r="E3796" s="1">
        <f>IFERROR(__xludf.DUMMYFUNCTION("""COMPUTED_VALUE"""),4.24)</f>
        <v>4.24</v>
      </c>
      <c r="F3796" s="1">
        <f>IFERROR(__xludf.DUMMYFUNCTION("""COMPUTED_VALUE"""),363958.0)</f>
        <v>363958</v>
      </c>
    </row>
    <row r="3797">
      <c r="A3797" s="2">
        <f>IFERROR(__xludf.DUMMYFUNCTION("""COMPUTED_VALUE"""),44676.66666666667)</f>
        <v>44676.66667</v>
      </c>
      <c r="B3797" s="1">
        <f>IFERROR(__xludf.DUMMYFUNCTION("""COMPUTED_VALUE"""),4.2)</f>
        <v>4.2</v>
      </c>
      <c r="C3797" s="1">
        <f>IFERROR(__xludf.DUMMYFUNCTION("""COMPUTED_VALUE"""),4.31)</f>
        <v>4.31</v>
      </c>
      <c r="D3797" s="1">
        <f>IFERROR(__xludf.DUMMYFUNCTION("""COMPUTED_VALUE"""),4.17)</f>
        <v>4.17</v>
      </c>
      <c r="E3797" s="1">
        <f>IFERROR(__xludf.DUMMYFUNCTION("""COMPUTED_VALUE"""),4.28)</f>
        <v>4.28</v>
      </c>
      <c r="F3797" s="1">
        <f>IFERROR(__xludf.DUMMYFUNCTION("""COMPUTED_VALUE"""),178395.0)</f>
        <v>178395</v>
      </c>
    </row>
    <row r="3798">
      <c r="A3798" s="2">
        <f>IFERROR(__xludf.DUMMYFUNCTION("""COMPUTED_VALUE"""),44677.66666666667)</f>
        <v>44677.66667</v>
      </c>
      <c r="B3798" s="1">
        <f>IFERROR(__xludf.DUMMYFUNCTION("""COMPUTED_VALUE"""),4.23)</f>
        <v>4.23</v>
      </c>
      <c r="C3798" s="1">
        <f>IFERROR(__xludf.DUMMYFUNCTION("""COMPUTED_VALUE"""),4.26)</f>
        <v>4.26</v>
      </c>
      <c r="D3798" s="1">
        <f>IFERROR(__xludf.DUMMYFUNCTION("""COMPUTED_VALUE"""),4.11)</f>
        <v>4.11</v>
      </c>
      <c r="E3798" s="1">
        <f>IFERROR(__xludf.DUMMYFUNCTION("""COMPUTED_VALUE"""),4.13)</f>
        <v>4.13</v>
      </c>
      <c r="F3798" s="1">
        <f>IFERROR(__xludf.DUMMYFUNCTION("""COMPUTED_VALUE"""),245616.0)</f>
        <v>245616</v>
      </c>
    </row>
    <row r="3799">
      <c r="A3799" s="2">
        <f>IFERROR(__xludf.DUMMYFUNCTION("""COMPUTED_VALUE"""),44678.66666666667)</f>
        <v>44678.66667</v>
      </c>
      <c r="B3799" s="1">
        <f>IFERROR(__xludf.DUMMYFUNCTION("""COMPUTED_VALUE"""),4.13)</f>
        <v>4.13</v>
      </c>
      <c r="C3799" s="1">
        <f>IFERROR(__xludf.DUMMYFUNCTION("""COMPUTED_VALUE"""),4.29)</f>
        <v>4.29</v>
      </c>
      <c r="D3799" s="1">
        <f>IFERROR(__xludf.DUMMYFUNCTION("""COMPUTED_VALUE"""),4.11)</f>
        <v>4.11</v>
      </c>
      <c r="E3799" s="1">
        <f>IFERROR(__xludf.DUMMYFUNCTION("""COMPUTED_VALUE"""),4.16)</f>
        <v>4.16</v>
      </c>
      <c r="F3799" s="1">
        <f>IFERROR(__xludf.DUMMYFUNCTION("""COMPUTED_VALUE"""),229351.0)</f>
        <v>229351</v>
      </c>
    </row>
    <row r="3800">
      <c r="A3800" s="2">
        <f>IFERROR(__xludf.DUMMYFUNCTION("""COMPUTED_VALUE"""),44679.66666666667)</f>
        <v>44679.66667</v>
      </c>
      <c r="B3800" s="1">
        <f>IFERROR(__xludf.DUMMYFUNCTION("""COMPUTED_VALUE"""),4.13)</f>
        <v>4.13</v>
      </c>
      <c r="C3800" s="1">
        <f>IFERROR(__xludf.DUMMYFUNCTION("""COMPUTED_VALUE"""),4.3)</f>
        <v>4.3</v>
      </c>
      <c r="D3800" s="1">
        <f>IFERROR(__xludf.DUMMYFUNCTION("""COMPUTED_VALUE"""),4.13)</f>
        <v>4.13</v>
      </c>
      <c r="E3800" s="1">
        <f>IFERROR(__xludf.DUMMYFUNCTION("""COMPUTED_VALUE"""),4.3)</f>
        <v>4.3</v>
      </c>
      <c r="F3800" s="1">
        <f>IFERROR(__xludf.DUMMYFUNCTION("""COMPUTED_VALUE"""),206211.0)</f>
        <v>206211</v>
      </c>
    </row>
    <row r="3801">
      <c r="A3801" s="2">
        <f>IFERROR(__xludf.DUMMYFUNCTION("""COMPUTED_VALUE"""),44680.66666666667)</f>
        <v>44680.66667</v>
      </c>
      <c r="B3801" s="1">
        <f>IFERROR(__xludf.DUMMYFUNCTION("""COMPUTED_VALUE"""),4.25)</f>
        <v>4.25</v>
      </c>
      <c r="C3801" s="1">
        <f>IFERROR(__xludf.DUMMYFUNCTION("""COMPUTED_VALUE"""),4.38)</f>
        <v>4.38</v>
      </c>
      <c r="D3801" s="1">
        <f>IFERROR(__xludf.DUMMYFUNCTION("""COMPUTED_VALUE"""),4.19)</f>
        <v>4.19</v>
      </c>
      <c r="E3801" s="1">
        <f>IFERROR(__xludf.DUMMYFUNCTION("""COMPUTED_VALUE"""),4.21)</f>
        <v>4.21</v>
      </c>
      <c r="F3801" s="1">
        <f>IFERROR(__xludf.DUMMYFUNCTION("""COMPUTED_VALUE"""),246015.0)</f>
        <v>246015</v>
      </c>
    </row>
    <row r="3802">
      <c r="A3802" s="2">
        <f>IFERROR(__xludf.DUMMYFUNCTION("""COMPUTED_VALUE"""),44683.66666666667)</f>
        <v>44683.66667</v>
      </c>
      <c r="B3802" s="1">
        <f>IFERROR(__xludf.DUMMYFUNCTION("""COMPUTED_VALUE"""),4.21)</f>
        <v>4.21</v>
      </c>
      <c r="C3802" s="1">
        <f>IFERROR(__xludf.DUMMYFUNCTION("""COMPUTED_VALUE"""),4.24)</f>
        <v>4.24</v>
      </c>
      <c r="D3802" s="1">
        <f>IFERROR(__xludf.DUMMYFUNCTION("""COMPUTED_VALUE"""),4.11)</f>
        <v>4.11</v>
      </c>
      <c r="E3802" s="1">
        <f>IFERROR(__xludf.DUMMYFUNCTION("""COMPUTED_VALUE"""),4.24)</f>
        <v>4.24</v>
      </c>
      <c r="F3802" s="1">
        <f>IFERROR(__xludf.DUMMYFUNCTION("""COMPUTED_VALUE"""),324226.0)</f>
        <v>324226</v>
      </c>
    </row>
    <row r="3803">
      <c r="A3803" s="2">
        <f>IFERROR(__xludf.DUMMYFUNCTION("""COMPUTED_VALUE"""),44684.66666666667)</f>
        <v>44684.66667</v>
      </c>
      <c r="B3803" s="1">
        <f>IFERROR(__xludf.DUMMYFUNCTION("""COMPUTED_VALUE"""),4.28)</f>
        <v>4.28</v>
      </c>
      <c r="C3803" s="1">
        <f>IFERROR(__xludf.DUMMYFUNCTION("""COMPUTED_VALUE"""),4.37)</f>
        <v>4.37</v>
      </c>
      <c r="D3803" s="1">
        <f>IFERROR(__xludf.DUMMYFUNCTION("""COMPUTED_VALUE"""),4.22)</f>
        <v>4.22</v>
      </c>
      <c r="E3803" s="1">
        <f>IFERROR(__xludf.DUMMYFUNCTION("""COMPUTED_VALUE"""),4.32)</f>
        <v>4.32</v>
      </c>
      <c r="F3803" s="1">
        <f>IFERROR(__xludf.DUMMYFUNCTION("""COMPUTED_VALUE"""),411167.0)</f>
        <v>411167</v>
      </c>
    </row>
    <row r="3804">
      <c r="A3804" s="2">
        <f>IFERROR(__xludf.DUMMYFUNCTION("""COMPUTED_VALUE"""),44685.66666666667)</f>
        <v>44685.66667</v>
      </c>
      <c r="B3804" s="1">
        <f>IFERROR(__xludf.DUMMYFUNCTION("""COMPUTED_VALUE"""),4.83)</f>
        <v>4.83</v>
      </c>
      <c r="C3804" s="1">
        <f>IFERROR(__xludf.DUMMYFUNCTION("""COMPUTED_VALUE"""),5.7)</f>
        <v>5.7</v>
      </c>
      <c r="D3804" s="1">
        <f>IFERROR(__xludf.DUMMYFUNCTION("""COMPUTED_VALUE"""),4.83)</f>
        <v>4.83</v>
      </c>
      <c r="E3804" s="1">
        <f>IFERROR(__xludf.DUMMYFUNCTION("""COMPUTED_VALUE"""),5.67)</f>
        <v>5.67</v>
      </c>
      <c r="F3804" s="1">
        <f>IFERROR(__xludf.DUMMYFUNCTION("""COMPUTED_VALUE"""),2574504.0)</f>
        <v>2574504</v>
      </c>
    </row>
    <row r="3805">
      <c r="A3805" s="2">
        <f>IFERROR(__xludf.DUMMYFUNCTION("""COMPUTED_VALUE"""),44686.66666666667)</f>
        <v>44686.66667</v>
      </c>
      <c r="B3805" s="1">
        <f>IFERROR(__xludf.DUMMYFUNCTION("""COMPUTED_VALUE"""),5.67)</f>
        <v>5.67</v>
      </c>
      <c r="C3805" s="1">
        <f>IFERROR(__xludf.DUMMYFUNCTION("""COMPUTED_VALUE"""),5.83)</f>
        <v>5.83</v>
      </c>
      <c r="D3805" s="1">
        <f>IFERROR(__xludf.DUMMYFUNCTION("""COMPUTED_VALUE"""),5.13)</f>
        <v>5.13</v>
      </c>
      <c r="E3805" s="1">
        <f>IFERROR(__xludf.DUMMYFUNCTION("""COMPUTED_VALUE"""),5.3)</f>
        <v>5.3</v>
      </c>
      <c r="F3805" s="1">
        <f>IFERROR(__xludf.DUMMYFUNCTION("""COMPUTED_VALUE"""),856037.0)</f>
        <v>856037</v>
      </c>
    </row>
    <row r="3806">
      <c r="A3806" s="2">
        <f>IFERROR(__xludf.DUMMYFUNCTION("""COMPUTED_VALUE"""),44687.66666666667)</f>
        <v>44687.66667</v>
      </c>
      <c r="B3806" s="1">
        <f>IFERROR(__xludf.DUMMYFUNCTION("""COMPUTED_VALUE"""),5.24)</f>
        <v>5.24</v>
      </c>
      <c r="C3806" s="1">
        <f>IFERROR(__xludf.DUMMYFUNCTION("""COMPUTED_VALUE"""),5.28)</f>
        <v>5.28</v>
      </c>
      <c r="D3806" s="1">
        <f>IFERROR(__xludf.DUMMYFUNCTION("""COMPUTED_VALUE"""),5.0)</f>
        <v>5</v>
      </c>
      <c r="E3806" s="1">
        <f>IFERROR(__xludf.DUMMYFUNCTION("""COMPUTED_VALUE"""),5.12)</f>
        <v>5.12</v>
      </c>
      <c r="F3806" s="1">
        <f>IFERROR(__xludf.DUMMYFUNCTION("""COMPUTED_VALUE"""),755231.0)</f>
        <v>755231</v>
      </c>
    </row>
    <row r="3807">
      <c r="A3807" s="2">
        <f>IFERROR(__xludf.DUMMYFUNCTION("""COMPUTED_VALUE"""),44690.66666666667)</f>
        <v>44690.66667</v>
      </c>
      <c r="B3807" s="1">
        <f>IFERROR(__xludf.DUMMYFUNCTION("""COMPUTED_VALUE"""),5.04)</f>
        <v>5.04</v>
      </c>
      <c r="C3807" s="1">
        <f>IFERROR(__xludf.DUMMYFUNCTION("""COMPUTED_VALUE"""),5.13)</f>
        <v>5.13</v>
      </c>
      <c r="D3807" s="1">
        <f>IFERROR(__xludf.DUMMYFUNCTION("""COMPUTED_VALUE"""),4.88)</f>
        <v>4.88</v>
      </c>
      <c r="E3807" s="1">
        <f>IFERROR(__xludf.DUMMYFUNCTION("""COMPUTED_VALUE"""),4.92)</f>
        <v>4.92</v>
      </c>
      <c r="F3807" s="1">
        <f>IFERROR(__xludf.DUMMYFUNCTION("""COMPUTED_VALUE"""),460529.0)</f>
        <v>460529</v>
      </c>
    </row>
    <row r="3808">
      <c r="A3808" s="2">
        <f>IFERROR(__xludf.DUMMYFUNCTION("""COMPUTED_VALUE"""),44691.66666666667)</f>
        <v>44691.66667</v>
      </c>
      <c r="B3808" s="1">
        <f>IFERROR(__xludf.DUMMYFUNCTION("""COMPUTED_VALUE"""),4.97)</f>
        <v>4.97</v>
      </c>
      <c r="C3808" s="1">
        <f>IFERROR(__xludf.DUMMYFUNCTION("""COMPUTED_VALUE"""),5.15)</f>
        <v>5.15</v>
      </c>
      <c r="D3808" s="1">
        <f>IFERROR(__xludf.DUMMYFUNCTION("""COMPUTED_VALUE"""),4.88)</f>
        <v>4.88</v>
      </c>
      <c r="E3808" s="1">
        <f>IFERROR(__xludf.DUMMYFUNCTION("""COMPUTED_VALUE"""),5.11)</f>
        <v>5.11</v>
      </c>
      <c r="F3808" s="1">
        <f>IFERROR(__xludf.DUMMYFUNCTION("""COMPUTED_VALUE"""),412213.0)</f>
        <v>412213</v>
      </c>
    </row>
    <row r="3809">
      <c r="A3809" s="2">
        <f>IFERROR(__xludf.DUMMYFUNCTION("""COMPUTED_VALUE"""),44692.66666666667)</f>
        <v>44692.66667</v>
      </c>
      <c r="B3809" s="1">
        <f>IFERROR(__xludf.DUMMYFUNCTION("""COMPUTED_VALUE"""),5.04)</f>
        <v>5.04</v>
      </c>
      <c r="C3809" s="1">
        <f>IFERROR(__xludf.DUMMYFUNCTION("""COMPUTED_VALUE"""),5.2)</f>
        <v>5.2</v>
      </c>
      <c r="D3809" s="1">
        <f>IFERROR(__xludf.DUMMYFUNCTION("""COMPUTED_VALUE"""),4.91)</f>
        <v>4.91</v>
      </c>
      <c r="E3809" s="1">
        <f>IFERROR(__xludf.DUMMYFUNCTION("""COMPUTED_VALUE"""),4.93)</f>
        <v>4.93</v>
      </c>
      <c r="F3809" s="1">
        <f>IFERROR(__xludf.DUMMYFUNCTION("""COMPUTED_VALUE"""),350127.0)</f>
        <v>350127</v>
      </c>
    </row>
    <row r="3810">
      <c r="A3810" s="2">
        <f>IFERROR(__xludf.DUMMYFUNCTION("""COMPUTED_VALUE"""),44693.66666666667)</f>
        <v>44693.66667</v>
      </c>
      <c r="B3810" s="1">
        <f>IFERROR(__xludf.DUMMYFUNCTION("""COMPUTED_VALUE"""),4.88)</f>
        <v>4.88</v>
      </c>
      <c r="C3810" s="1">
        <f>IFERROR(__xludf.DUMMYFUNCTION("""COMPUTED_VALUE"""),5.12)</f>
        <v>5.12</v>
      </c>
      <c r="D3810" s="1">
        <f>IFERROR(__xludf.DUMMYFUNCTION("""COMPUTED_VALUE"""),4.87)</f>
        <v>4.87</v>
      </c>
      <c r="E3810" s="1">
        <f>IFERROR(__xludf.DUMMYFUNCTION("""COMPUTED_VALUE"""),5.11)</f>
        <v>5.11</v>
      </c>
      <c r="F3810" s="1">
        <f>IFERROR(__xludf.DUMMYFUNCTION("""COMPUTED_VALUE"""),478760.0)</f>
        <v>478760</v>
      </c>
    </row>
    <row r="3811">
      <c r="A3811" s="2">
        <f>IFERROR(__xludf.DUMMYFUNCTION("""COMPUTED_VALUE"""),44694.66666666667)</f>
        <v>44694.66667</v>
      </c>
      <c r="B3811" s="1">
        <f>IFERROR(__xludf.DUMMYFUNCTION("""COMPUTED_VALUE"""),5.14)</f>
        <v>5.14</v>
      </c>
      <c r="C3811" s="1">
        <f>IFERROR(__xludf.DUMMYFUNCTION("""COMPUTED_VALUE"""),5.25)</f>
        <v>5.25</v>
      </c>
      <c r="D3811" s="1">
        <f>IFERROR(__xludf.DUMMYFUNCTION("""COMPUTED_VALUE"""),5.04)</f>
        <v>5.04</v>
      </c>
      <c r="E3811" s="1">
        <f>IFERROR(__xludf.DUMMYFUNCTION("""COMPUTED_VALUE"""),5.24)</f>
        <v>5.24</v>
      </c>
      <c r="F3811" s="1">
        <f>IFERROR(__xludf.DUMMYFUNCTION("""COMPUTED_VALUE"""),415267.0)</f>
        <v>415267</v>
      </c>
    </row>
    <row r="3812">
      <c r="A3812" s="2">
        <f>IFERROR(__xludf.DUMMYFUNCTION("""COMPUTED_VALUE"""),44697.66666666667)</f>
        <v>44697.66667</v>
      </c>
      <c r="B3812" s="1">
        <f>IFERROR(__xludf.DUMMYFUNCTION("""COMPUTED_VALUE"""),5.2)</f>
        <v>5.2</v>
      </c>
      <c r="C3812" s="1">
        <f>IFERROR(__xludf.DUMMYFUNCTION("""COMPUTED_VALUE"""),5.35)</f>
        <v>5.35</v>
      </c>
      <c r="D3812" s="1">
        <f>IFERROR(__xludf.DUMMYFUNCTION("""COMPUTED_VALUE"""),5.18)</f>
        <v>5.18</v>
      </c>
      <c r="E3812" s="1">
        <f>IFERROR(__xludf.DUMMYFUNCTION("""COMPUTED_VALUE"""),5.26)</f>
        <v>5.26</v>
      </c>
      <c r="F3812" s="1">
        <f>IFERROR(__xludf.DUMMYFUNCTION("""COMPUTED_VALUE"""),302558.0)</f>
        <v>302558</v>
      </c>
    </row>
    <row r="3813">
      <c r="A3813" s="2">
        <f>IFERROR(__xludf.DUMMYFUNCTION("""COMPUTED_VALUE"""),44698.66666666667)</f>
        <v>44698.66667</v>
      </c>
      <c r="B3813" s="1">
        <f>IFERROR(__xludf.DUMMYFUNCTION("""COMPUTED_VALUE"""),5.35)</f>
        <v>5.35</v>
      </c>
      <c r="C3813" s="1">
        <f>IFERROR(__xludf.DUMMYFUNCTION("""COMPUTED_VALUE"""),5.44)</f>
        <v>5.44</v>
      </c>
      <c r="D3813" s="1">
        <f>IFERROR(__xludf.DUMMYFUNCTION("""COMPUTED_VALUE"""),5.22)</f>
        <v>5.22</v>
      </c>
      <c r="E3813" s="1">
        <f>IFERROR(__xludf.DUMMYFUNCTION("""COMPUTED_VALUE"""),5.41)</f>
        <v>5.41</v>
      </c>
      <c r="F3813" s="1">
        <f>IFERROR(__xludf.DUMMYFUNCTION("""COMPUTED_VALUE"""),391079.0)</f>
        <v>391079</v>
      </c>
    </row>
    <row r="3814">
      <c r="A3814" s="2">
        <f>IFERROR(__xludf.DUMMYFUNCTION("""COMPUTED_VALUE"""),44699.66666666667)</f>
        <v>44699.66667</v>
      </c>
      <c r="B3814" s="1">
        <f>IFERROR(__xludf.DUMMYFUNCTION("""COMPUTED_VALUE"""),5.36)</f>
        <v>5.36</v>
      </c>
      <c r="C3814" s="1">
        <f>IFERROR(__xludf.DUMMYFUNCTION("""COMPUTED_VALUE"""),5.49)</f>
        <v>5.49</v>
      </c>
      <c r="D3814" s="1">
        <f>IFERROR(__xludf.DUMMYFUNCTION("""COMPUTED_VALUE"""),5.19)</f>
        <v>5.19</v>
      </c>
      <c r="E3814" s="1">
        <f>IFERROR(__xludf.DUMMYFUNCTION("""COMPUTED_VALUE"""),5.24)</f>
        <v>5.24</v>
      </c>
      <c r="F3814" s="1">
        <f>IFERROR(__xludf.DUMMYFUNCTION("""COMPUTED_VALUE"""),341311.0)</f>
        <v>341311</v>
      </c>
    </row>
    <row r="3815">
      <c r="A3815" s="2">
        <f>IFERROR(__xludf.DUMMYFUNCTION("""COMPUTED_VALUE"""),44700.66666666667)</f>
        <v>44700.66667</v>
      </c>
      <c r="B3815" s="1">
        <f>IFERROR(__xludf.DUMMYFUNCTION("""COMPUTED_VALUE"""),5.23)</f>
        <v>5.23</v>
      </c>
      <c r="C3815" s="1">
        <f>IFERROR(__xludf.DUMMYFUNCTION("""COMPUTED_VALUE"""),5.26)</f>
        <v>5.26</v>
      </c>
      <c r="D3815" s="1">
        <f>IFERROR(__xludf.DUMMYFUNCTION("""COMPUTED_VALUE"""),5.01)</f>
        <v>5.01</v>
      </c>
      <c r="E3815" s="1">
        <f>IFERROR(__xludf.DUMMYFUNCTION("""COMPUTED_VALUE"""),5.04)</f>
        <v>5.04</v>
      </c>
      <c r="F3815" s="1">
        <f>IFERROR(__xludf.DUMMYFUNCTION("""COMPUTED_VALUE"""),402464.0)</f>
        <v>402464</v>
      </c>
    </row>
    <row r="3816">
      <c r="A3816" s="2">
        <f>IFERROR(__xludf.DUMMYFUNCTION("""COMPUTED_VALUE"""),44701.66666666667)</f>
        <v>44701.66667</v>
      </c>
      <c r="B3816" s="1">
        <f>IFERROR(__xludf.DUMMYFUNCTION("""COMPUTED_VALUE"""),5.1)</f>
        <v>5.1</v>
      </c>
      <c r="C3816" s="1">
        <f>IFERROR(__xludf.DUMMYFUNCTION("""COMPUTED_VALUE"""),5.12)</f>
        <v>5.12</v>
      </c>
      <c r="D3816" s="1">
        <f>IFERROR(__xludf.DUMMYFUNCTION("""COMPUTED_VALUE"""),4.86)</f>
        <v>4.86</v>
      </c>
      <c r="E3816" s="1">
        <f>IFERROR(__xludf.DUMMYFUNCTION("""COMPUTED_VALUE"""),4.98)</f>
        <v>4.98</v>
      </c>
      <c r="F3816" s="1">
        <f>IFERROR(__xludf.DUMMYFUNCTION("""COMPUTED_VALUE"""),449967.0)</f>
        <v>449967</v>
      </c>
    </row>
    <row r="3817">
      <c r="A3817" s="2">
        <f>IFERROR(__xludf.DUMMYFUNCTION("""COMPUTED_VALUE"""),44704.66666666667)</f>
        <v>44704.66667</v>
      </c>
      <c r="B3817" s="1">
        <f>IFERROR(__xludf.DUMMYFUNCTION("""COMPUTED_VALUE"""),5.0)</f>
        <v>5</v>
      </c>
      <c r="C3817" s="1">
        <f>IFERROR(__xludf.DUMMYFUNCTION("""COMPUTED_VALUE"""),5.02)</f>
        <v>5.02</v>
      </c>
      <c r="D3817" s="1">
        <f>IFERROR(__xludf.DUMMYFUNCTION("""COMPUTED_VALUE"""),4.88)</f>
        <v>4.88</v>
      </c>
      <c r="E3817" s="1">
        <f>IFERROR(__xludf.DUMMYFUNCTION("""COMPUTED_VALUE"""),4.93)</f>
        <v>4.93</v>
      </c>
      <c r="F3817" s="1">
        <f>IFERROR(__xludf.DUMMYFUNCTION("""COMPUTED_VALUE"""),282345.0)</f>
        <v>282345</v>
      </c>
    </row>
    <row r="3818">
      <c r="A3818" s="2">
        <f>IFERROR(__xludf.DUMMYFUNCTION("""COMPUTED_VALUE"""),44705.66666666667)</f>
        <v>44705.66667</v>
      </c>
      <c r="B3818" s="1">
        <f>IFERROR(__xludf.DUMMYFUNCTION("""COMPUTED_VALUE"""),4.89)</f>
        <v>4.89</v>
      </c>
      <c r="C3818" s="1">
        <f>IFERROR(__xludf.DUMMYFUNCTION("""COMPUTED_VALUE"""),4.93)</f>
        <v>4.93</v>
      </c>
      <c r="D3818" s="1">
        <f>IFERROR(__xludf.DUMMYFUNCTION("""COMPUTED_VALUE"""),4.67)</f>
        <v>4.67</v>
      </c>
      <c r="E3818" s="1">
        <f>IFERROR(__xludf.DUMMYFUNCTION("""COMPUTED_VALUE"""),4.75)</f>
        <v>4.75</v>
      </c>
      <c r="F3818" s="1">
        <f>IFERROR(__xludf.DUMMYFUNCTION("""COMPUTED_VALUE"""),505723.0)</f>
        <v>505723</v>
      </c>
    </row>
    <row r="3819">
      <c r="A3819" s="2">
        <f>IFERROR(__xludf.DUMMYFUNCTION("""COMPUTED_VALUE"""),44706.66666666667)</f>
        <v>44706.66667</v>
      </c>
      <c r="B3819" s="1">
        <f>IFERROR(__xludf.DUMMYFUNCTION("""COMPUTED_VALUE"""),4.72)</f>
        <v>4.72</v>
      </c>
      <c r="C3819" s="1">
        <f>IFERROR(__xludf.DUMMYFUNCTION("""COMPUTED_VALUE"""),4.88)</f>
        <v>4.88</v>
      </c>
      <c r="D3819" s="1">
        <f>IFERROR(__xludf.DUMMYFUNCTION("""COMPUTED_VALUE"""),4.72)</f>
        <v>4.72</v>
      </c>
      <c r="E3819" s="1">
        <f>IFERROR(__xludf.DUMMYFUNCTION("""COMPUTED_VALUE"""),4.88)</f>
        <v>4.88</v>
      </c>
      <c r="F3819" s="1">
        <f>IFERROR(__xludf.DUMMYFUNCTION("""COMPUTED_VALUE"""),316959.0)</f>
        <v>316959</v>
      </c>
    </row>
    <row r="3820">
      <c r="A3820" s="2">
        <f>IFERROR(__xludf.DUMMYFUNCTION("""COMPUTED_VALUE"""),44707.66666666667)</f>
        <v>44707.66667</v>
      </c>
      <c r="B3820" s="1">
        <f>IFERROR(__xludf.DUMMYFUNCTION("""COMPUTED_VALUE"""),4.82)</f>
        <v>4.82</v>
      </c>
      <c r="C3820" s="1">
        <f>IFERROR(__xludf.DUMMYFUNCTION("""COMPUTED_VALUE"""),5.01)</f>
        <v>5.01</v>
      </c>
      <c r="D3820" s="1">
        <f>IFERROR(__xludf.DUMMYFUNCTION("""COMPUTED_VALUE"""),4.82)</f>
        <v>4.82</v>
      </c>
      <c r="E3820" s="1">
        <f>IFERROR(__xludf.DUMMYFUNCTION("""COMPUTED_VALUE"""),4.93)</f>
        <v>4.93</v>
      </c>
      <c r="F3820" s="1">
        <f>IFERROR(__xludf.DUMMYFUNCTION("""COMPUTED_VALUE"""),339225.0)</f>
        <v>339225</v>
      </c>
    </row>
    <row r="3821">
      <c r="A3821" s="2">
        <f>IFERROR(__xludf.DUMMYFUNCTION("""COMPUTED_VALUE"""),44708.66666666667)</f>
        <v>44708.66667</v>
      </c>
      <c r="B3821" s="1">
        <f>IFERROR(__xludf.DUMMYFUNCTION("""COMPUTED_VALUE"""),4.97)</f>
        <v>4.97</v>
      </c>
      <c r="C3821" s="1">
        <f>IFERROR(__xludf.DUMMYFUNCTION("""COMPUTED_VALUE"""),4.99)</f>
        <v>4.99</v>
      </c>
      <c r="D3821" s="1">
        <f>IFERROR(__xludf.DUMMYFUNCTION("""COMPUTED_VALUE"""),4.91)</f>
        <v>4.91</v>
      </c>
      <c r="E3821" s="1">
        <f>IFERROR(__xludf.DUMMYFUNCTION("""COMPUTED_VALUE"""),4.95)</f>
        <v>4.95</v>
      </c>
      <c r="F3821" s="1">
        <f>IFERROR(__xludf.DUMMYFUNCTION("""COMPUTED_VALUE"""),290706.0)</f>
        <v>290706</v>
      </c>
    </row>
    <row r="3822">
      <c r="A3822" s="2">
        <f>IFERROR(__xludf.DUMMYFUNCTION("""COMPUTED_VALUE"""),44712.66666666667)</f>
        <v>44712.66667</v>
      </c>
      <c r="B3822" s="1">
        <f>IFERROR(__xludf.DUMMYFUNCTION("""COMPUTED_VALUE"""),4.95)</f>
        <v>4.95</v>
      </c>
      <c r="C3822" s="1">
        <f>IFERROR(__xludf.DUMMYFUNCTION("""COMPUTED_VALUE"""),5.06)</f>
        <v>5.06</v>
      </c>
      <c r="D3822" s="1">
        <f>IFERROR(__xludf.DUMMYFUNCTION("""COMPUTED_VALUE"""),4.85)</f>
        <v>4.85</v>
      </c>
      <c r="E3822" s="1">
        <f>IFERROR(__xludf.DUMMYFUNCTION("""COMPUTED_VALUE"""),5.01)</f>
        <v>5.01</v>
      </c>
      <c r="F3822" s="1">
        <f>IFERROR(__xludf.DUMMYFUNCTION("""COMPUTED_VALUE"""),584983.0)</f>
        <v>584983</v>
      </c>
    </row>
    <row r="3823">
      <c r="A3823" s="2">
        <f>IFERROR(__xludf.DUMMYFUNCTION("""COMPUTED_VALUE"""),44713.66666666667)</f>
        <v>44713.66667</v>
      </c>
      <c r="B3823" s="1">
        <f>IFERROR(__xludf.DUMMYFUNCTION("""COMPUTED_VALUE"""),5.06)</f>
        <v>5.06</v>
      </c>
      <c r="C3823" s="1">
        <f>IFERROR(__xludf.DUMMYFUNCTION("""COMPUTED_VALUE"""),5.22)</f>
        <v>5.22</v>
      </c>
      <c r="D3823" s="1">
        <f>IFERROR(__xludf.DUMMYFUNCTION("""COMPUTED_VALUE"""),4.93)</f>
        <v>4.93</v>
      </c>
      <c r="E3823" s="1">
        <f>IFERROR(__xludf.DUMMYFUNCTION("""COMPUTED_VALUE"""),5.17)</f>
        <v>5.17</v>
      </c>
      <c r="F3823" s="1">
        <f>IFERROR(__xludf.DUMMYFUNCTION("""COMPUTED_VALUE"""),655838.0)</f>
        <v>655838</v>
      </c>
    </row>
    <row r="3824">
      <c r="A3824" s="2">
        <f>IFERROR(__xludf.DUMMYFUNCTION("""COMPUTED_VALUE"""),44714.66666666667)</f>
        <v>44714.66667</v>
      </c>
      <c r="B3824" s="1">
        <f>IFERROR(__xludf.DUMMYFUNCTION("""COMPUTED_VALUE"""),5.23)</f>
        <v>5.23</v>
      </c>
      <c r="C3824" s="1">
        <f>IFERROR(__xludf.DUMMYFUNCTION("""COMPUTED_VALUE"""),5.61)</f>
        <v>5.61</v>
      </c>
      <c r="D3824" s="1">
        <f>IFERROR(__xludf.DUMMYFUNCTION("""COMPUTED_VALUE"""),5.21)</f>
        <v>5.21</v>
      </c>
      <c r="E3824" s="1">
        <f>IFERROR(__xludf.DUMMYFUNCTION("""COMPUTED_VALUE"""),5.55)</f>
        <v>5.55</v>
      </c>
      <c r="F3824" s="1">
        <f>IFERROR(__xludf.DUMMYFUNCTION("""COMPUTED_VALUE"""),889461.0)</f>
        <v>889461</v>
      </c>
    </row>
    <row r="3825">
      <c r="A3825" s="2">
        <f>IFERROR(__xludf.DUMMYFUNCTION("""COMPUTED_VALUE"""),44715.66666666667)</f>
        <v>44715.66667</v>
      </c>
      <c r="B3825" s="1">
        <f>IFERROR(__xludf.DUMMYFUNCTION("""COMPUTED_VALUE"""),5.48)</f>
        <v>5.48</v>
      </c>
      <c r="C3825" s="1">
        <f>IFERROR(__xludf.DUMMYFUNCTION("""COMPUTED_VALUE"""),5.65)</f>
        <v>5.65</v>
      </c>
      <c r="D3825" s="1">
        <f>IFERROR(__xludf.DUMMYFUNCTION("""COMPUTED_VALUE"""),5.37)</f>
        <v>5.37</v>
      </c>
      <c r="E3825" s="1">
        <f>IFERROR(__xludf.DUMMYFUNCTION("""COMPUTED_VALUE"""),5.48)</f>
        <v>5.48</v>
      </c>
      <c r="F3825" s="1">
        <f>IFERROR(__xludf.DUMMYFUNCTION("""COMPUTED_VALUE"""),570152.0)</f>
        <v>570152</v>
      </c>
    </row>
    <row r="3826">
      <c r="A3826" s="2">
        <f>IFERROR(__xludf.DUMMYFUNCTION("""COMPUTED_VALUE"""),44718.66666666667)</f>
        <v>44718.66667</v>
      </c>
      <c r="B3826" s="1">
        <f>IFERROR(__xludf.DUMMYFUNCTION("""COMPUTED_VALUE"""),5.56)</f>
        <v>5.56</v>
      </c>
      <c r="C3826" s="1">
        <f>IFERROR(__xludf.DUMMYFUNCTION("""COMPUTED_VALUE"""),5.77)</f>
        <v>5.77</v>
      </c>
      <c r="D3826" s="1">
        <f>IFERROR(__xludf.DUMMYFUNCTION("""COMPUTED_VALUE"""),5.44)</f>
        <v>5.44</v>
      </c>
      <c r="E3826" s="1">
        <f>IFERROR(__xludf.DUMMYFUNCTION("""COMPUTED_VALUE"""),5.5)</f>
        <v>5.5</v>
      </c>
      <c r="F3826" s="1">
        <f>IFERROR(__xludf.DUMMYFUNCTION("""COMPUTED_VALUE"""),640639.0)</f>
        <v>640639</v>
      </c>
    </row>
    <row r="3827">
      <c r="A3827" s="2">
        <f>IFERROR(__xludf.DUMMYFUNCTION("""COMPUTED_VALUE"""),44719.66666666667)</f>
        <v>44719.66667</v>
      </c>
      <c r="B3827" s="1">
        <f>IFERROR(__xludf.DUMMYFUNCTION("""COMPUTED_VALUE"""),5.41)</f>
        <v>5.41</v>
      </c>
      <c r="C3827" s="1">
        <f>IFERROR(__xludf.DUMMYFUNCTION("""COMPUTED_VALUE"""),5.69)</f>
        <v>5.69</v>
      </c>
      <c r="D3827" s="1">
        <f>IFERROR(__xludf.DUMMYFUNCTION("""COMPUTED_VALUE"""),5.36)</f>
        <v>5.36</v>
      </c>
      <c r="E3827" s="1">
        <f>IFERROR(__xludf.DUMMYFUNCTION("""COMPUTED_VALUE"""),5.62)</f>
        <v>5.62</v>
      </c>
      <c r="F3827" s="1">
        <f>IFERROR(__xludf.DUMMYFUNCTION("""COMPUTED_VALUE"""),502424.0)</f>
        <v>502424</v>
      </c>
    </row>
    <row r="3828">
      <c r="A3828" s="2">
        <f>IFERROR(__xludf.DUMMYFUNCTION("""COMPUTED_VALUE"""),44720.66666666667)</f>
        <v>44720.66667</v>
      </c>
      <c r="B3828" s="1">
        <f>IFERROR(__xludf.DUMMYFUNCTION("""COMPUTED_VALUE"""),5.6)</f>
        <v>5.6</v>
      </c>
      <c r="C3828" s="1">
        <f>IFERROR(__xludf.DUMMYFUNCTION("""COMPUTED_VALUE"""),5.67)</f>
        <v>5.67</v>
      </c>
      <c r="D3828" s="1">
        <f>IFERROR(__xludf.DUMMYFUNCTION("""COMPUTED_VALUE"""),5.39)</f>
        <v>5.39</v>
      </c>
      <c r="E3828" s="1">
        <f>IFERROR(__xludf.DUMMYFUNCTION("""COMPUTED_VALUE"""),5.43)</f>
        <v>5.43</v>
      </c>
      <c r="F3828" s="1">
        <f>IFERROR(__xludf.DUMMYFUNCTION("""COMPUTED_VALUE"""),441943.0)</f>
        <v>441943</v>
      </c>
    </row>
    <row r="3829">
      <c r="A3829" s="2">
        <f>IFERROR(__xludf.DUMMYFUNCTION("""COMPUTED_VALUE"""),44721.66666666667)</f>
        <v>44721.66667</v>
      </c>
      <c r="B3829" s="1">
        <f>IFERROR(__xludf.DUMMYFUNCTION("""COMPUTED_VALUE"""),5.4)</f>
        <v>5.4</v>
      </c>
      <c r="C3829" s="1">
        <f>IFERROR(__xludf.DUMMYFUNCTION("""COMPUTED_VALUE"""),5.43)</f>
        <v>5.43</v>
      </c>
      <c r="D3829" s="1">
        <f>IFERROR(__xludf.DUMMYFUNCTION("""COMPUTED_VALUE"""),5.01)</f>
        <v>5.01</v>
      </c>
      <c r="E3829" s="1">
        <f>IFERROR(__xludf.DUMMYFUNCTION("""COMPUTED_VALUE"""),5.02)</f>
        <v>5.02</v>
      </c>
      <c r="F3829" s="1">
        <f>IFERROR(__xludf.DUMMYFUNCTION("""COMPUTED_VALUE"""),471108.0)</f>
        <v>471108</v>
      </c>
    </row>
    <row r="3830">
      <c r="A3830" s="2">
        <f>IFERROR(__xludf.DUMMYFUNCTION("""COMPUTED_VALUE"""),44722.66666666667)</f>
        <v>44722.66667</v>
      </c>
      <c r="B3830" s="1">
        <f>IFERROR(__xludf.DUMMYFUNCTION("""COMPUTED_VALUE"""),4.96)</f>
        <v>4.96</v>
      </c>
      <c r="C3830" s="1">
        <f>IFERROR(__xludf.DUMMYFUNCTION("""COMPUTED_VALUE"""),4.96)</f>
        <v>4.96</v>
      </c>
      <c r="D3830" s="1">
        <f>IFERROR(__xludf.DUMMYFUNCTION("""COMPUTED_VALUE"""),4.8)</f>
        <v>4.8</v>
      </c>
      <c r="E3830" s="1">
        <f>IFERROR(__xludf.DUMMYFUNCTION("""COMPUTED_VALUE"""),4.88)</f>
        <v>4.88</v>
      </c>
      <c r="F3830" s="1">
        <f>IFERROR(__xludf.DUMMYFUNCTION("""COMPUTED_VALUE"""),427912.0)</f>
        <v>427912</v>
      </c>
    </row>
    <row r="3831">
      <c r="A3831" s="2">
        <f>IFERROR(__xludf.DUMMYFUNCTION("""COMPUTED_VALUE"""),44725.66666666667)</f>
        <v>44725.66667</v>
      </c>
      <c r="B3831" s="1">
        <f>IFERROR(__xludf.DUMMYFUNCTION("""COMPUTED_VALUE"""),4.72)</f>
        <v>4.72</v>
      </c>
      <c r="C3831" s="1">
        <f>IFERROR(__xludf.DUMMYFUNCTION("""COMPUTED_VALUE"""),4.78)</f>
        <v>4.78</v>
      </c>
      <c r="D3831" s="1">
        <f>IFERROR(__xludf.DUMMYFUNCTION("""COMPUTED_VALUE"""),4.55)</f>
        <v>4.55</v>
      </c>
      <c r="E3831" s="1">
        <f>IFERROR(__xludf.DUMMYFUNCTION("""COMPUTED_VALUE"""),4.69)</f>
        <v>4.69</v>
      </c>
      <c r="F3831" s="1">
        <f>IFERROR(__xludf.DUMMYFUNCTION("""COMPUTED_VALUE"""),615942.0)</f>
        <v>615942</v>
      </c>
    </row>
    <row r="3832">
      <c r="A3832" s="2">
        <f>IFERROR(__xludf.DUMMYFUNCTION("""COMPUTED_VALUE"""),44726.66666666667)</f>
        <v>44726.66667</v>
      </c>
      <c r="B3832" s="1">
        <f>IFERROR(__xludf.DUMMYFUNCTION("""COMPUTED_VALUE"""),4.69)</f>
        <v>4.69</v>
      </c>
      <c r="C3832" s="1">
        <f>IFERROR(__xludf.DUMMYFUNCTION("""COMPUTED_VALUE"""),4.71)</f>
        <v>4.71</v>
      </c>
      <c r="D3832" s="1">
        <f>IFERROR(__xludf.DUMMYFUNCTION("""COMPUTED_VALUE"""),4.6)</f>
        <v>4.6</v>
      </c>
      <c r="E3832" s="1">
        <f>IFERROR(__xludf.DUMMYFUNCTION("""COMPUTED_VALUE"""),4.64)</f>
        <v>4.64</v>
      </c>
      <c r="F3832" s="1">
        <f>IFERROR(__xludf.DUMMYFUNCTION("""COMPUTED_VALUE"""),298448.0)</f>
        <v>298448</v>
      </c>
    </row>
    <row r="3833">
      <c r="A3833" s="2">
        <f>IFERROR(__xludf.DUMMYFUNCTION("""COMPUTED_VALUE"""),44727.66666666667)</f>
        <v>44727.66667</v>
      </c>
      <c r="B3833" s="1">
        <f>IFERROR(__xludf.DUMMYFUNCTION("""COMPUTED_VALUE"""),4.68)</f>
        <v>4.68</v>
      </c>
      <c r="C3833" s="1">
        <f>IFERROR(__xludf.DUMMYFUNCTION("""COMPUTED_VALUE"""),4.8)</f>
        <v>4.8</v>
      </c>
      <c r="D3833" s="1">
        <f>IFERROR(__xludf.DUMMYFUNCTION("""COMPUTED_VALUE"""),4.53)</f>
        <v>4.53</v>
      </c>
      <c r="E3833" s="1">
        <f>IFERROR(__xludf.DUMMYFUNCTION("""COMPUTED_VALUE"""),4.72)</f>
        <v>4.72</v>
      </c>
      <c r="F3833" s="1">
        <f>IFERROR(__xludf.DUMMYFUNCTION("""COMPUTED_VALUE"""),374900.0)</f>
        <v>374900</v>
      </c>
    </row>
    <row r="3834">
      <c r="A3834" s="2">
        <f>IFERROR(__xludf.DUMMYFUNCTION("""COMPUTED_VALUE"""),44728.66666666667)</f>
        <v>44728.66667</v>
      </c>
      <c r="B3834" s="1">
        <f>IFERROR(__xludf.DUMMYFUNCTION("""COMPUTED_VALUE"""),4.57)</f>
        <v>4.57</v>
      </c>
      <c r="C3834" s="1">
        <f>IFERROR(__xludf.DUMMYFUNCTION("""COMPUTED_VALUE"""),4.63)</f>
        <v>4.63</v>
      </c>
      <c r="D3834" s="1">
        <f>IFERROR(__xludf.DUMMYFUNCTION("""COMPUTED_VALUE"""),4.28)</f>
        <v>4.28</v>
      </c>
      <c r="E3834" s="1">
        <f>IFERROR(__xludf.DUMMYFUNCTION("""COMPUTED_VALUE"""),4.29)</f>
        <v>4.29</v>
      </c>
      <c r="F3834" s="1">
        <f>IFERROR(__xludf.DUMMYFUNCTION("""COMPUTED_VALUE"""),606780.0)</f>
        <v>606780</v>
      </c>
    </row>
    <row r="3835">
      <c r="A3835" s="2">
        <f>IFERROR(__xludf.DUMMYFUNCTION("""COMPUTED_VALUE"""),44729.66666666667)</f>
        <v>44729.66667</v>
      </c>
      <c r="B3835" s="1">
        <f>IFERROR(__xludf.DUMMYFUNCTION("""COMPUTED_VALUE"""),4.28)</f>
        <v>4.28</v>
      </c>
      <c r="C3835" s="1">
        <f>IFERROR(__xludf.DUMMYFUNCTION("""COMPUTED_VALUE"""),4.41)</f>
        <v>4.41</v>
      </c>
      <c r="D3835" s="1">
        <f>IFERROR(__xludf.DUMMYFUNCTION("""COMPUTED_VALUE"""),4.24)</f>
        <v>4.24</v>
      </c>
      <c r="E3835" s="1">
        <f>IFERROR(__xludf.DUMMYFUNCTION("""COMPUTED_VALUE"""),4.31)</f>
        <v>4.31</v>
      </c>
      <c r="F3835" s="1">
        <f>IFERROR(__xludf.DUMMYFUNCTION("""COMPUTED_VALUE"""),568265.0)</f>
        <v>568265</v>
      </c>
    </row>
    <row r="3836">
      <c r="A3836" s="2">
        <f>IFERROR(__xludf.DUMMYFUNCTION("""COMPUTED_VALUE"""),44733.66666666667)</f>
        <v>44733.66667</v>
      </c>
      <c r="B3836" s="1">
        <f>IFERROR(__xludf.DUMMYFUNCTION("""COMPUTED_VALUE"""),4.43)</f>
        <v>4.43</v>
      </c>
      <c r="C3836" s="1">
        <f>IFERROR(__xludf.DUMMYFUNCTION("""COMPUTED_VALUE"""),4.55)</f>
        <v>4.55</v>
      </c>
      <c r="D3836" s="1">
        <f>IFERROR(__xludf.DUMMYFUNCTION("""COMPUTED_VALUE"""),4.35)</f>
        <v>4.35</v>
      </c>
      <c r="E3836" s="1">
        <f>IFERROR(__xludf.DUMMYFUNCTION("""COMPUTED_VALUE"""),4.5)</f>
        <v>4.5</v>
      </c>
      <c r="F3836" s="1">
        <f>IFERROR(__xludf.DUMMYFUNCTION("""COMPUTED_VALUE"""),401263.0)</f>
        <v>401263</v>
      </c>
    </row>
    <row r="3837">
      <c r="A3837" s="2">
        <f>IFERROR(__xludf.DUMMYFUNCTION("""COMPUTED_VALUE"""),44734.66666666667)</f>
        <v>44734.66667</v>
      </c>
      <c r="B3837" s="1">
        <f>IFERROR(__xludf.DUMMYFUNCTION("""COMPUTED_VALUE"""),4.39)</f>
        <v>4.39</v>
      </c>
      <c r="C3837" s="1">
        <f>IFERROR(__xludf.DUMMYFUNCTION("""COMPUTED_VALUE"""),4.51)</f>
        <v>4.51</v>
      </c>
      <c r="D3837" s="1">
        <f>IFERROR(__xludf.DUMMYFUNCTION("""COMPUTED_VALUE"""),4.31)</f>
        <v>4.31</v>
      </c>
      <c r="E3837" s="1">
        <f>IFERROR(__xludf.DUMMYFUNCTION("""COMPUTED_VALUE"""),4.34)</f>
        <v>4.34</v>
      </c>
      <c r="F3837" s="1">
        <f>IFERROR(__xludf.DUMMYFUNCTION("""COMPUTED_VALUE"""),388938.0)</f>
        <v>388938</v>
      </c>
    </row>
    <row r="3838">
      <c r="A3838" s="2">
        <f>IFERROR(__xludf.DUMMYFUNCTION("""COMPUTED_VALUE"""),44735.66666666667)</f>
        <v>44735.66667</v>
      </c>
      <c r="B3838" s="1">
        <f>IFERROR(__xludf.DUMMYFUNCTION("""COMPUTED_VALUE"""),4.34)</f>
        <v>4.34</v>
      </c>
      <c r="C3838" s="1">
        <f>IFERROR(__xludf.DUMMYFUNCTION("""COMPUTED_VALUE"""),4.36)</f>
        <v>4.36</v>
      </c>
      <c r="D3838" s="1">
        <f>IFERROR(__xludf.DUMMYFUNCTION("""COMPUTED_VALUE"""),4.14)</f>
        <v>4.14</v>
      </c>
      <c r="E3838" s="1">
        <f>IFERROR(__xludf.DUMMYFUNCTION("""COMPUTED_VALUE"""),4.17)</f>
        <v>4.17</v>
      </c>
      <c r="F3838" s="1">
        <f>IFERROR(__xludf.DUMMYFUNCTION("""COMPUTED_VALUE"""),475718.0)</f>
        <v>475718</v>
      </c>
    </row>
    <row r="3839">
      <c r="A3839" s="2">
        <f>IFERROR(__xludf.DUMMYFUNCTION("""COMPUTED_VALUE"""),44736.66666666667)</f>
        <v>44736.66667</v>
      </c>
      <c r="B3839" s="1">
        <f>IFERROR(__xludf.DUMMYFUNCTION("""COMPUTED_VALUE"""),4.23)</f>
        <v>4.23</v>
      </c>
      <c r="C3839" s="1">
        <f>IFERROR(__xludf.DUMMYFUNCTION("""COMPUTED_VALUE"""),4.32)</f>
        <v>4.32</v>
      </c>
      <c r="D3839" s="1">
        <f>IFERROR(__xludf.DUMMYFUNCTION("""COMPUTED_VALUE"""),4.13)</f>
        <v>4.13</v>
      </c>
      <c r="E3839" s="1">
        <f>IFERROR(__xludf.DUMMYFUNCTION("""COMPUTED_VALUE"""),4.27)</f>
        <v>4.27</v>
      </c>
      <c r="F3839" s="1">
        <f>IFERROR(__xludf.DUMMYFUNCTION("""COMPUTED_VALUE"""),1697975.0)</f>
        <v>1697975</v>
      </c>
    </row>
    <row r="3840">
      <c r="A3840" s="2">
        <f>IFERROR(__xludf.DUMMYFUNCTION("""COMPUTED_VALUE"""),44739.66666666667)</f>
        <v>44739.66667</v>
      </c>
      <c r="B3840" s="1">
        <f>IFERROR(__xludf.DUMMYFUNCTION("""COMPUTED_VALUE"""),4.32)</f>
        <v>4.32</v>
      </c>
      <c r="C3840" s="1">
        <f>IFERROR(__xludf.DUMMYFUNCTION("""COMPUTED_VALUE"""),4.44)</f>
        <v>4.44</v>
      </c>
      <c r="D3840" s="1">
        <f>IFERROR(__xludf.DUMMYFUNCTION("""COMPUTED_VALUE"""),4.25)</f>
        <v>4.25</v>
      </c>
      <c r="E3840" s="1">
        <f>IFERROR(__xludf.DUMMYFUNCTION("""COMPUTED_VALUE"""),4.33)</f>
        <v>4.33</v>
      </c>
      <c r="F3840" s="1">
        <f>IFERROR(__xludf.DUMMYFUNCTION("""COMPUTED_VALUE"""),357693.0)</f>
        <v>357693</v>
      </c>
    </row>
    <row r="3841">
      <c r="A3841" s="2">
        <f>IFERROR(__xludf.DUMMYFUNCTION("""COMPUTED_VALUE"""),44740.66666666667)</f>
        <v>44740.66667</v>
      </c>
      <c r="B3841" s="1">
        <f>IFERROR(__xludf.DUMMYFUNCTION("""COMPUTED_VALUE"""),4.38)</f>
        <v>4.38</v>
      </c>
      <c r="C3841" s="1">
        <f>IFERROR(__xludf.DUMMYFUNCTION("""COMPUTED_VALUE"""),4.47)</f>
        <v>4.47</v>
      </c>
      <c r="D3841" s="1">
        <f>IFERROR(__xludf.DUMMYFUNCTION("""COMPUTED_VALUE"""),4.18)</f>
        <v>4.18</v>
      </c>
      <c r="E3841" s="1">
        <f>IFERROR(__xludf.DUMMYFUNCTION("""COMPUTED_VALUE"""),4.18)</f>
        <v>4.18</v>
      </c>
      <c r="F3841" s="1">
        <f>IFERROR(__xludf.DUMMYFUNCTION("""COMPUTED_VALUE"""),331167.0)</f>
        <v>331167</v>
      </c>
    </row>
    <row r="3842">
      <c r="A3842" s="2">
        <f>IFERROR(__xludf.DUMMYFUNCTION("""COMPUTED_VALUE"""),44741.66666666667)</f>
        <v>44741.66667</v>
      </c>
      <c r="B3842" s="1">
        <f>IFERROR(__xludf.DUMMYFUNCTION("""COMPUTED_VALUE"""),4.16)</f>
        <v>4.16</v>
      </c>
      <c r="C3842" s="1">
        <f>IFERROR(__xludf.DUMMYFUNCTION("""COMPUTED_VALUE"""),4.2)</f>
        <v>4.2</v>
      </c>
      <c r="D3842" s="1">
        <f>IFERROR(__xludf.DUMMYFUNCTION("""COMPUTED_VALUE"""),4.0)</f>
        <v>4</v>
      </c>
      <c r="E3842" s="1">
        <f>IFERROR(__xludf.DUMMYFUNCTION("""COMPUTED_VALUE"""),4.11)</f>
        <v>4.11</v>
      </c>
      <c r="F3842" s="1">
        <f>IFERROR(__xludf.DUMMYFUNCTION("""COMPUTED_VALUE"""),406887.0)</f>
        <v>406887</v>
      </c>
    </row>
    <row r="3843">
      <c r="A3843" s="2">
        <f>IFERROR(__xludf.DUMMYFUNCTION("""COMPUTED_VALUE"""),44742.66666666667)</f>
        <v>44742.66667</v>
      </c>
      <c r="B3843" s="1">
        <f>IFERROR(__xludf.DUMMYFUNCTION("""COMPUTED_VALUE"""),4.04)</f>
        <v>4.04</v>
      </c>
      <c r="C3843" s="1">
        <f>IFERROR(__xludf.DUMMYFUNCTION("""COMPUTED_VALUE"""),4.13)</f>
        <v>4.13</v>
      </c>
      <c r="D3843" s="1">
        <f>IFERROR(__xludf.DUMMYFUNCTION("""COMPUTED_VALUE"""),3.98)</f>
        <v>3.98</v>
      </c>
      <c r="E3843" s="1">
        <f>IFERROR(__xludf.DUMMYFUNCTION("""COMPUTED_VALUE"""),4.04)</f>
        <v>4.04</v>
      </c>
      <c r="F3843" s="1">
        <f>IFERROR(__xludf.DUMMYFUNCTION("""COMPUTED_VALUE"""),446380.0)</f>
        <v>446380</v>
      </c>
    </row>
    <row r="3844">
      <c r="A3844" s="2">
        <f>IFERROR(__xludf.DUMMYFUNCTION("""COMPUTED_VALUE"""),44743.66666666667)</f>
        <v>44743.66667</v>
      </c>
      <c r="B3844" s="1">
        <f>IFERROR(__xludf.DUMMYFUNCTION("""COMPUTED_VALUE"""),4.01)</f>
        <v>4.01</v>
      </c>
      <c r="C3844" s="1">
        <f>IFERROR(__xludf.DUMMYFUNCTION("""COMPUTED_VALUE"""),4.08)</f>
        <v>4.08</v>
      </c>
      <c r="D3844" s="1">
        <f>IFERROR(__xludf.DUMMYFUNCTION("""COMPUTED_VALUE"""),3.79)</f>
        <v>3.79</v>
      </c>
      <c r="E3844" s="1">
        <f>IFERROR(__xludf.DUMMYFUNCTION("""COMPUTED_VALUE"""),3.91)</f>
        <v>3.91</v>
      </c>
      <c r="F3844" s="1">
        <f>IFERROR(__xludf.DUMMYFUNCTION("""COMPUTED_VALUE"""),799646.0)</f>
        <v>799646</v>
      </c>
    </row>
    <row r="3845">
      <c r="A3845" s="2">
        <f>IFERROR(__xludf.DUMMYFUNCTION("""COMPUTED_VALUE"""),44747.66666666667)</f>
        <v>44747.66667</v>
      </c>
      <c r="B3845" s="1">
        <f>IFERROR(__xludf.DUMMYFUNCTION("""COMPUTED_VALUE"""),3.83)</f>
        <v>3.83</v>
      </c>
      <c r="C3845" s="1">
        <f>IFERROR(__xludf.DUMMYFUNCTION("""COMPUTED_VALUE"""),3.9)</f>
        <v>3.9</v>
      </c>
      <c r="D3845" s="1">
        <f>IFERROR(__xludf.DUMMYFUNCTION("""COMPUTED_VALUE"""),3.7)</f>
        <v>3.7</v>
      </c>
      <c r="E3845" s="1">
        <f>IFERROR(__xludf.DUMMYFUNCTION("""COMPUTED_VALUE"""),3.9)</f>
        <v>3.9</v>
      </c>
      <c r="F3845" s="1">
        <f>IFERROR(__xludf.DUMMYFUNCTION("""COMPUTED_VALUE"""),401769.0)</f>
        <v>401769</v>
      </c>
    </row>
    <row r="3846">
      <c r="A3846" s="2">
        <f>IFERROR(__xludf.DUMMYFUNCTION("""COMPUTED_VALUE"""),44748.66666666667)</f>
        <v>44748.66667</v>
      </c>
      <c r="B3846" s="1">
        <f>IFERROR(__xludf.DUMMYFUNCTION("""COMPUTED_VALUE"""),3.88)</f>
        <v>3.88</v>
      </c>
      <c r="C3846" s="1">
        <f>IFERROR(__xludf.DUMMYFUNCTION("""COMPUTED_VALUE"""),3.93)</f>
        <v>3.93</v>
      </c>
      <c r="D3846" s="1">
        <f>IFERROR(__xludf.DUMMYFUNCTION("""COMPUTED_VALUE"""),3.78)</f>
        <v>3.78</v>
      </c>
      <c r="E3846" s="1">
        <f>IFERROR(__xludf.DUMMYFUNCTION("""COMPUTED_VALUE"""),3.91)</f>
        <v>3.91</v>
      </c>
      <c r="F3846" s="1">
        <f>IFERROR(__xludf.DUMMYFUNCTION("""COMPUTED_VALUE"""),350080.0)</f>
        <v>350080</v>
      </c>
    </row>
    <row r="3847">
      <c r="A3847" s="2">
        <f>IFERROR(__xludf.DUMMYFUNCTION("""COMPUTED_VALUE"""),44749.66666666667)</f>
        <v>44749.66667</v>
      </c>
      <c r="B3847" s="1">
        <f>IFERROR(__xludf.DUMMYFUNCTION("""COMPUTED_VALUE"""),3.96)</f>
        <v>3.96</v>
      </c>
      <c r="C3847" s="1">
        <f>IFERROR(__xludf.DUMMYFUNCTION("""COMPUTED_VALUE"""),4.07)</f>
        <v>4.07</v>
      </c>
      <c r="D3847" s="1">
        <f>IFERROR(__xludf.DUMMYFUNCTION("""COMPUTED_VALUE"""),3.96)</f>
        <v>3.96</v>
      </c>
      <c r="E3847" s="1">
        <f>IFERROR(__xludf.DUMMYFUNCTION("""COMPUTED_VALUE"""),4.04)</f>
        <v>4.04</v>
      </c>
      <c r="F3847" s="1">
        <f>IFERROR(__xludf.DUMMYFUNCTION("""COMPUTED_VALUE"""),331263.0)</f>
        <v>331263</v>
      </c>
    </row>
    <row r="3848">
      <c r="A3848" s="2">
        <f>IFERROR(__xludf.DUMMYFUNCTION("""COMPUTED_VALUE"""),44750.66666666667)</f>
        <v>44750.66667</v>
      </c>
      <c r="B3848" s="1">
        <f>IFERROR(__xludf.DUMMYFUNCTION("""COMPUTED_VALUE"""),4.02)</f>
        <v>4.02</v>
      </c>
      <c r="C3848" s="1">
        <f>IFERROR(__xludf.DUMMYFUNCTION("""COMPUTED_VALUE"""),4.09)</f>
        <v>4.09</v>
      </c>
      <c r="D3848" s="1">
        <f>IFERROR(__xludf.DUMMYFUNCTION("""COMPUTED_VALUE"""),3.98)</f>
        <v>3.98</v>
      </c>
      <c r="E3848" s="1">
        <f>IFERROR(__xludf.DUMMYFUNCTION("""COMPUTED_VALUE"""),4.05)</f>
        <v>4.05</v>
      </c>
      <c r="F3848" s="1">
        <f>IFERROR(__xludf.DUMMYFUNCTION("""COMPUTED_VALUE"""),230733.0)</f>
        <v>230733</v>
      </c>
    </row>
    <row r="3849">
      <c r="A3849" s="2">
        <f>IFERROR(__xludf.DUMMYFUNCTION("""COMPUTED_VALUE"""),44753.66666666667)</f>
        <v>44753.66667</v>
      </c>
      <c r="B3849" s="1">
        <f>IFERROR(__xludf.DUMMYFUNCTION("""COMPUTED_VALUE"""),4.03)</f>
        <v>4.03</v>
      </c>
      <c r="C3849" s="1">
        <f>IFERROR(__xludf.DUMMYFUNCTION("""COMPUTED_VALUE"""),4.07)</f>
        <v>4.07</v>
      </c>
      <c r="D3849" s="1">
        <f>IFERROR(__xludf.DUMMYFUNCTION("""COMPUTED_VALUE"""),4.0)</f>
        <v>4</v>
      </c>
      <c r="E3849" s="1">
        <f>IFERROR(__xludf.DUMMYFUNCTION("""COMPUTED_VALUE"""),4.04)</f>
        <v>4.04</v>
      </c>
      <c r="F3849" s="1">
        <f>IFERROR(__xludf.DUMMYFUNCTION("""COMPUTED_VALUE"""),218723.0)</f>
        <v>218723</v>
      </c>
    </row>
    <row r="3850">
      <c r="A3850" s="2">
        <f>IFERROR(__xludf.DUMMYFUNCTION("""COMPUTED_VALUE"""),44754.66666666667)</f>
        <v>44754.66667</v>
      </c>
      <c r="B3850" s="1">
        <f>IFERROR(__xludf.DUMMYFUNCTION("""COMPUTED_VALUE"""),4.03)</f>
        <v>4.03</v>
      </c>
      <c r="C3850" s="1">
        <f>IFERROR(__xludf.DUMMYFUNCTION("""COMPUTED_VALUE"""),4.12)</f>
        <v>4.12</v>
      </c>
      <c r="D3850" s="1">
        <f>IFERROR(__xludf.DUMMYFUNCTION("""COMPUTED_VALUE"""),4.03)</f>
        <v>4.03</v>
      </c>
      <c r="E3850" s="1">
        <f>IFERROR(__xludf.DUMMYFUNCTION("""COMPUTED_VALUE"""),4.07)</f>
        <v>4.07</v>
      </c>
      <c r="F3850" s="1">
        <f>IFERROR(__xludf.DUMMYFUNCTION("""COMPUTED_VALUE"""),251828.0)</f>
        <v>251828</v>
      </c>
    </row>
    <row r="3851">
      <c r="A3851" s="2">
        <f>IFERROR(__xludf.DUMMYFUNCTION("""COMPUTED_VALUE"""),44755.66666666667)</f>
        <v>44755.66667</v>
      </c>
      <c r="B3851" s="1">
        <f>IFERROR(__xludf.DUMMYFUNCTION("""COMPUTED_VALUE"""),4.04)</f>
        <v>4.04</v>
      </c>
      <c r="C3851" s="1">
        <f>IFERROR(__xludf.DUMMYFUNCTION("""COMPUTED_VALUE"""),4.14)</f>
        <v>4.14</v>
      </c>
      <c r="D3851" s="1">
        <f>IFERROR(__xludf.DUMMYFUNCTION("""COMPUTED_VALUE"""),4.0)</f>
        <v>4</v>
      </c>
      <c r="E3851" s="1">
        <f>IFERROR(__xludf.DUMMYFUNCTION("""COMPUTED_VALUE"""),4.11)</f>
        <v>4.11</v>
      </c>
      <c r="F3851" s="1">
        <f>IFERROR(__xludf.DUMMYFUNCTION("""COMPUTED_VALUE"""),221228.0)</f>
        <v>221228</v>
      </c>
    </row>
    <row r="3852">
      <c r="A3852" s="2">
        <f>IFERROR(__xludf.DUMMYFUNCTION("""COMPUTED_VALUE"""),44756.66666666667)</f>
        <v>44756.66667</v>
      </c>
      <c r="B3852" s="1">
        <f>IFERROR(__xludf.DUMMYFUNCTION("""COMPUTED_VALUE"""),4.06)</f>
        <v>4.06</v>
      </c>
      <c r="C3852" s="1">
        <f>IFERROR(__xludf.DUMMYFUNCTION("""COMPUTED_VALUE"""),4.11)</f>
        <v>4.11</v>
      </c>
      <c r="D3852" s="1">
        <f>IFERROR(__xludf.DUMMYFUNCTION("""COMPUTED_VALUE"""),3.96)</f>
        <v>3.96</v>
      </c>
      <c r="E3852" s="1">
        <f>IFERROR(__xludf.DUMMYFUNCTION("""COMPUTED_VALUE"""),4.11)</f>
        <v>4.11</v>
      </c>
      <c r="F3852" s="1">
        <f>IFERROR(__xludf.DUMMYFUNCTION("""COMPUTED_VALUE"""),257142.0)</f>
        <v>257142</v>
      </c>
    </row>
    <row r="3853">
      <c r="A3853" s="2">
        <f>IFERROR(__xludf.DUMMYFUNCTION("""COMPUTED_VALUE"""),44757.66666666667)</f>
        <v>44757.66667</v>
      </c>
      <c r="B3853" s="1">
        <f>IFERROR(__xludf.DUMMYFUNCTION("""COMPUTED_VALUE"""),4.23)</f>
        <v>4.23</v>
      </c>
      <c r="C3853" s="1">
        <f>IFERROR(__xludf.DUMMYFUNCTION("""COMPUTED_VALUE"""),4.27)</f>
        <v>4.27</v>
      </c>
      <c r="D3853" s="1">
        <f>IFERROR(__xludf.DUMMYFUNCTION("""COMPUTED_VALUE"""),4.13)</f>
        <v>4.13</v>
      </c>
      <c r="E3853" s="1">
        <f>IFERROR(__xludf.DUMMYFUNCTION("""COMPUTED_VALUE"""),4.22)</f>
        <v>4.22</v>
      </c>
      <c r="F3853" s="1">
        <f>IFERROR(__xludf.DUMMYFUNCTION("""COMPUTED_VALUE"""),378878.0)</f>
        <v>378878</v>
      </c>
    </row>
    <row r="3854">
      <c r="A3854" s="2">
        <f>IFERROR(__xludf.DUMMYFUNCTION("""COMPUTED_VALUE"""),44760.66666666667)</f>
        <v>44760.66667</v>
      </c>
      <c r="B3854" s="1">
        <f>IFERROR(__xludf.DUMMYFUNCTION("""COMPUTED_VALUE"""),4.27)</f>
        <v>4.27</v>
      </c>
      <c r="C3854" s="1">
        <f>IFERROR(__xludf.DUMMYFUNCTION("""COMPUTED_VALUE"""),4.35)</f>
        <v>4.35</v>
      </c>
      <c r="D3854" s="1">
        <f>IFERROR(__xludf.DUMMYFUNCTION("""COMPUTED_VALUE"""),4.24)</f>
        <v>4.24</v>
      </c>
      <c r="E3854" s="1">
        <f>IFERROR(__xludf.DUMMYFUNCTION("""COMPUTED_VALUE"""),4.25)</f>
        <v>4.25</v>
      </c>
      <c r="F3854" s="1">
        <f>IFERROR(__xludf.DUMMYFUNCTION("""COMPUTED_VALUE"""),373157.0)</f>
        <v>373157</v>
      </c>
    </row>
    <row r="3855">
      <c r="A3855" s="2">
        <f>IFERROR(__xludf.DUMMYFUNCTION("""COMPUTED_VALUE"""),44761.66666666667)</f>
        <v>44761.66667</v>
      </c>
      <c r="B3855" s="1">
        <f>IFERROR(__xludf.DUMMYFUNCTION("""COMPUTED_VALUE"""),4.31)</f>
        <v>4.31</v>
      </c>
      <c r="C3855" s="1">
        <f>IFERROR(__xludf.DUMMYFUNCTION("""COMPUTED_VALUE"""),4.46)</f>
        <v>4.46</v>
      </c>
      <c r="D3855" s="1">
        <f>IFERROR(__xludf.DUMMYFUNCTION("""COMPUTED_VALUE"""),4.28)</f>
        <v>4.28</v>
      </c>
      <c r="E3855" s="1">
        <f>IFERROR(__xludf.DUMMYFUNCTION("""COMPUTED_VALUE"""),4.38)</f>
        <v>4.38</v>
      </c>
      <c r="F3855" s="1">
        <f>IFERROR(__xludf.DUMMYFUNCTION("""COMPUTED_VALUE"""),326738.0)</f>
        <v>326738</v>
      </c>
    </row>
    <row r="3856">
      <c r="A3856" s="2">
        <f>IFERROR(__xludf.DUMMYFUNCTION("""COMPUTED_VALUE"""),44762.66666666667)</f>
        <v>44762.66667</v>
      </c>
      <c r="B3856" s="1">
        <f>IFERROR(__xludf.DUMMYFUNCTION("""COMPUTED_VALUE"""),4.43)</f>
        <v>4.43</v>
      </c>
      <c r="C3856" s="1">
        <f>IFERROR(__xludf.DUMMYFUNCTION("""COMPUTED_VALUE"""),4.58)</f>
        <v>4.58</v>
      </c>
      <c r="D3856" s="1">
        <f>IFERROR(__xludf.DUMMYFUNCTION("""COMPUTED_VALUE"""),4.36)</f>
        <v>4.36</v>
      </c>
      <c r="E3856" s="1">
        <f>IFERROR(__xludf.DUMMYFUNCTION("""COMPUTED_VALUE"""),4.56)</f>
        <v>4.56</v>
      </c>
      <c r="F3856" s="1">
        <f>IFERROR(__xludf.DUMMYFUNCTION("""COMPUTED_VALUE"""),479007.0)</f>
        <v>479007</v>
      </c>
    </row>
    <row r="3857">
      <c r="A3857" s="2">
        <f>IFERROR(__xludf.DUMMYFUNCTION("""COMPUTED_VALUE"""),44763.66666666667)</f>
        <v>44763.66667</v>
      </c>
      <c r="B3857" s="1">
        <f>IFERROR(__xludf.DUMMYFUNCTION("""COMPUTED_VALUE"""),5.38)</f>
        <v>5.38</v>
      </c>
      <c r="C3857" s="1">
        <f>IFERROR(__xludf.DUMMYFUNCTION("""COMPUTED_VALUE"""),5.4)</f>
        <v>5.4</v>
      </c>
      <c r="D3857" s="1">
        <f>IFERROR(__xludf.DUMMYFUNCTION("""COMPUTED_VALUE"""),5.02)</f>
        <v>5.02</v>
      </c>
      <c r="E3857" s="1">
        <f>IFERROR(__xludf.DUMMYFUNCTION("""COMPUTED_VALUE"""),5.16)</f>
        <v>5.16</v>
      </c>
      <c r="F3857" s="1">
        <f>IFERROR(__xludf.DUMMYFUNCTION("""COMPUTED_VALUE"""),2105882.0)</f>
        <v>2105882</v>
      </c>
    </row>
    <row r="3858">
      <c r="A3858" s="2">
        <f>IFERROR(__xludf.DUMMYFUNCTION("""COMPUTED_VALUE"""),44764.66666666667)</f>
        <v>44764.66667</v>
      </c>
      <c r="B3858" s="1">
        <f>IFERROR(__xludf.DUMMYFUNCTION("""COMPUTED_VALUE"""),5.09)</f>
        <v>5.09</v>
      </c>
      <c r="C3858" s="1">
        <f>IFERROR(__xludf.DUMMYFUNCTION("""COMPUTED_VALUE"""),5.23)</f>
        <v>5.23</v>
      </c>
      <c r="D3858" s="1">
        <f>IFERROR(__xludf.DUMMYFUNCTION("""COMPUTED_VALUE"""),5.04)</f>
        <v>5.04</v>
      </c>
      <c r="E3858" s="1">
        <f>IFERROR(__xludf.DUMMYFUNCTION("""COMPUTED_VALUE"""),5.07)</f>
        <v>5.07</v>
      </c>
      <c r="F3858" s="1">
        <f>IFERROR(__xludf.DUMMYFUNCTION("""COMPUTED_VALUE"""),621677.0)</f>
        <v>621677</v>
      </c>
    </row>
    <row r="3859">
      <c r="A3859" s="2">
        <f>IFERROR(__xludf.DUMMYFUNCTION("""COMPUTED_VALUE"""),44767.66666666667)</f>
        <v>44767.66667</v>
      </c>
      <c r="B3859" s="1">
        <f>IFERROR(__xludf.DUMMYFUNCTION("""COMPUTED_VALUE"""),5.11)</f>
        <v>5.11</v>
      </c>
      <c r="C3859" s="1">
        <f>IFERROR(__xludf.DUMMYFUNCTION("""COMPUTED_VALUE"""),5.26)</f>
        <v>5.26</v>
      </c>
      <c r="D3859" s="1">
        <f>IFERROR(__xludf.DUMMYFUNCTION("""COMPUTED_VALUE"""),5.06)</f>
        <v>5.06</v>
      </c>
      <c r="E3859" s="1">
        <f>IFERROR(__xludf.DUMMYFUNCTION("""COMPUTED_VALUE"""),5.25)</f>
        <v>5.25</v>
      </c>
      <c r="F3859" s="1">
        <f>IFERROR(__xludf.DUMMYFUNCTION("""COMPUTED_VALUE"""),443945.0)</f>
        <v>443945</v>
      </c>
    </row>
    <row r="3860">
      <c r="A3860" s="2">
        <f>IFERROR(__xludf.DUMMYFUNCTION("""COMPUTED_VALUE"""),44768.66666666667)</f>
        <v>44768.66667</v>
      </c>
      <c r="B3860" s="1">
        <f>IFERROR(__xludf.DUMMYFUNCTION("""COMPUTED_VALUE"""),5.24)</f>
        <v>5.24</v>
      </c>
      <c r="C3860" s="1">
        <f>IFERROR(__xludf.DUMMYFUNCTION("""COMPUTED_VALUE"""),5.35)</f>
        <v>5.35</v>
      </c>
      <c r="D3860" s="1">
        <f>IFERROR(__xludf.DUMMYFUNCTION("""COMPUTED_VALUE"""),5.13)</f>
        <v>5.13</v>
      </c>
      <c r="E3860" s="1">
        <f>IFERROR(__xludf.DUMMYFUNCTION("""COMPUTED_VALUE"""),5.17)</f>
        <v>5.17</v>
      </c>
      <c r="F3860" s="1">
        <f>IFERROR(__xludf.DUMMYFUNCTION("""COMPUTED_VALUE"""),405042.0)</f>
        <v>405042</v>
      </c>
    </row>
    <row r="3861">
      <c r="A3861" s="2">
        <f>IFERROR(__xludf.DUMMYFUNCTION("""COMPUTED_VALUE"""),44769.66666666667)</f>
        <v>44769.66667</v>
      </c>
      <c r="B3861" s="1">
        <f>IFERROR(__xludf.DUMMYFUNCTION("""COMPUTED_VALUE"""),5.17)</f>
        <v>5.17</v>
      </c>
      <c r="C3861" s="1">
        <f>IFERROR(__xludf.DUMMYFUNCTION("""COMPUTED_VALUE"""),5.18)</f>
        <v>5.18</v>
      </c>
      <c r="D3861" s="1">
        <f>IFERROR(__xludf.DUMMYFUNCTION("""COMPUTED_VALUE"""),5.09)</f>
        <v>5.09</v>
      </c>
      <c r="E3861" s="1">
        <f>IFERROR(__xludf.DUMMYFUNCTION("""COMPUTED_VALUE"""),5.14)</f>
        <v>5.14</v>
      </c>
      <c r="F3861" s="1">
        <f>IFERROR(__xludf.DUMMYFUNCTION("""COMPUTED_VALUE"""),417300.0)</f>
        <v>417300</v>
      </c>
    </row>
    <row r="3862">
      <c r="A3862" s="2">
        <f>IFERROR(__xludf.DUMMYFUNCTION("""COMPUTED_VALUE"""),44770.66666666667)</f>
        <v>44770.66667</v>
      </c>
      <c r="B3862" s="1">
        <f>IFERROR(__xludf.DUMMYFUNCTION("""COMPUTED_VALUE"""),5.18)</f>
        <v>5.18</v>
      </c>
      <c r="C3862" s="1">
        <f>IFERROR(__xludf.DUMMYFUNCTION("""COMPUTED_VALUE"""),5.33)</f>
        <v>5.33</v>
      </c>
      <c r="D3862" s="1">
        <f>IFERROR(__xludf.DUMMYFUNCTION("""COMPUTED_VALUE"""),5.03)</f>
        <v>5.03</v>
      </c>
      <c r="E3862" s="1">
        <f>IFERROR(__xludf.DUMMYFUNCTION("""COMPUTED_VALUE"""),5.31)</f>
        <v>5.31</v>
      </c>
      <c r="F3862" s="1">
        <f>IFERROR(__xludf.DUMMYFUNCTION("""COMPUTED_VALUE"""),380335.0)</f>
        <v>380335</v>
      </c>
    </row>
    <row r="3863">
      <c r="A3863" s="2">
        <f>IFERROR(__xludf.DUMMYFUNCTION("""COMPUTED_VALUE"""),44771.66666666667)</f>
        <v>44771.66667</v>
      </c>
      <c r="B3863" s="1">
        <f>IFERROR(__xludf.DUMMYFUNCTION("""COMPUTED_VALUE"""),5.33)</f>
        <v>5.33</v>
      </c>
      <c r="C3863" s="1">
        <f>IFERROR(__xludf.DUMMYFUNCTION("""COMPUTED_VALUE"""),5.52)</f>
        <v>5.52</v>
      </c>
      <c r="D3863" s="1">
        <f>IFERROR(__xludf.DUMMYFUNCTION("""COMPUTED_VALUE"""),5.26)</f>
        <v>5.26</v>
      </c>
      <c r="E3863" s="1">
        <f>IFERROR(__xludf.DUMMYFUNCTION("""COMPUTED_VALUE"""),5.4)</f>
        <v>5.4</v>
      </c>
      <c r="F3863" s="1">
        <f>IFERROR(__xludf.DUMMYFUNCTION("""COMPUTED_VALUE"""),548187.0)</f>
        <v>548187</v>
      </c>
    </row>
    <row r="3864">
      <c r="A3864" s="2">
        <f>IFERROR(__xludf.DUMMYFUNCTION("""COMPUTED_VALUE"""),44774.66666666667)</f>
        <v>44774.66667</v>
      </c>
      <c r="B3864" s="1">
        <f>IFERROR(__xludf.DUMMYFUNCTION("""COMPUTED_VALUE"""),5.39)</f>
        <v>5.39</v>
      </c>
      <c r="C3864" s="1">
        <f>IFERROR(__xludf.DUMMYFUNCTION("""COMPUTED_VALUE"""),5.66)</f>
        <v>5.66</v>
      </c>
      <c r="D3864" s="1">
        <f>IFERROR(__xludf.DUMMYFUNCTION("""COMPUTED_VALUE"""),5.35)</f>
        <v>5.35</v>
      </c>
      <c r="E3864" s="1">
        <f>IFERROR(__xludf.DUMMYFUNCTION("""COMPUTED_VALUE"""),5.52)</f>
        <v>5.52</v>
      </c>
      <c r="F3864" s="1">
        <f>IFERROR(__xludf.DUMMYFUNCTION("""COMPUTED_VALUE"""),530297.0)</f>
        <v>530297</v>
      </c>
    </row>
    <row r="3865">
      <c r="A3865" s="2">
        <f>IFERROR(__xludf.DUMMYFUNCTION("""COMPUTED_VALUE"""),44775.66666666667)</f>
        <v>44775.66667</v>
      </c>
      <c r="B3865" s="1">
        <f>IFERROR(__xludf.DUMMYFUNCTION("""COMPUTED_VALUE"""),5.48)</f>
        <v>5.48</v>
      </c>
      <c r="C3865" s="1">
        <f>IFERROR(__xludf.DUMMYFUNCTION("""COMPUTED_VALUE"""),5.64)</f>
        <v>5.64</v>
      </c>
      <c r="D3865" s="1">
        <f>IFERROR(__xludf.DUMMYFUNCTION("""COMPUTED_VALUE"""),5.41)</f>
        <v>5.41</v>
      </c>
      <c r="E3865" s="1">
        <f>IFERROR(__xludf.DUMMYFUNCTION("""COMPUTED_VALUE"""),5.62)</f>
        <v>5.62</v>
      </c>
      <c r="F3865" s="1">
        <f>IFERROR(__xludf.DUMMYFUNCTION("""COMPUTED_VALUE"""),422432.0)</f>
        <v>422432</v>
      </c>
    </row>
    <row r="3866">
      <c r="A3866" s="2">
        <f>IFERROR(__xludf.DUMMYFUNCTION("""COMPUTED_VALUE"""),44776.66666666667)</f>
        <v>44776.66667</v>
      </c>
      <c r="B3866" s="1">
        <f>IFERROR(__xludf.DUMMYFUNCTION("""COMPUTED_VALUE"""),5.64)</f>
        <v>5.64</v>
      </c>
      <c r="C3866" s="1">
        <f>IFERROR(__xludf.DUMMYFUNCTION("""COMPUTED_VALUE"""),5.81)</f>
        <v>5.81</v>
      </c>
      <c r="D3866" s="1">
        <f>IFERROR(__xludf.DUMMYFUNCTION("""COMPUTED_VALUE"""),5.58)</f>
        <v>5.58</v>
      </c>
      <c r="E3866" s="1">
        <f>IFERROR(__xludf.DUMMYFUNCTION("""COMPUTED_VALUE"""),5.73)</f>
        <v>5.73</v>
      </c>
      <c r="F3866" s="1">
        <f>IFERROR(__xludf.DUMMYFUNCTION("""COMPUTED_VALUE"""),439959.0)</f>
        <v>439959</v>
      </c>
    </row>
    <row r="3867">
      <c r="A3867" s="2">
        <f>IFERROR(__xludf.DUMMYFUNCTION("""COMPUTED_VALUE"""),44777.66666666667)</f>
        <v>44777.66667</v>
      </c>
      <c r="B3867" s="1">
        <f>IFERROR(__xludf.DUMMYFUNCTION("""COMPUTED_VALUE"""),5.76)</f>
        <v>5.76</v>
      </c>
      <c r="C3867" s="1">
        <f>IFERROR(__xludf.DUMMYFUNCTION("""COMPUTED_VALUE"""),5.97)</f>
        <v>5.97</v>
      </c>
      <c r="D3867" s="1">
        <f>IFERROR(__xludf.DUMMYFUNCTION("""COMPUTED_VALUE"""),5.7)</f>
        <v>5.7</v>
      </c>
      <c r="E3867" s="1">
        <f>IFERROR(__xludf.DUMMYFUNCTION("""COMPUTED_VALUE"""),5.91)</f>
        <v>5.91</v>
      </c>
      <c r="F3867" s="1">
        <f>IFERROR(__xludf.DUMMYFUNCTION("""COMPUTED_VALUE"""),509811.0)</f>
        <v>509811</v>
      </c>
    </row>
    <row r="3868">
      <c r="A3868" s="2">
        <f>IFERROR(__xludf.DUMMYFUNCTION("""COMPUTED_VALUE"""),44778.66666666667)</f>
        <v>44778.66667</v>
      </c>
      <c r="B3868" s="1">
        <f>IFERROR(__xludf.DUMMYFUNCTION("""COMPUTED_VALUE"""),5.85)</f>
        <v>5.85</v>
      </c>
      <c r="C3868" s="1">
        <f>IFERROR(__xludf.DUMMYFUNCTION("""COMPUTED_VALUE"""),6.03)</f>
        <v>6.03</v>
      </c>
      <c r="D3868" s="1">
        <f>IFERROR(__xludf.DUMMYFUNCTION("""COMPUTED_VALUE"""),5.8)</f>
        <v>5.8</v>
      </c>
      <c r="E3868" s="1">
        <f>IFERROR(__xludf.DUMMYFUNCTION("""COMPUTED_VALUE"""),5.91)</f>
        <v>5.91</v>
      </c>
      <c r="F3868" s="1">
        <f>IFERROR(__xludf.DUMMYFUNCTION("""COMPUTED_VALUE"""),573736.0)</f>
        <v>573736</v>
      </c>
    </row>
    <row r="3869">
      <c r="A3869" s="2">
        <f>IFERROR(__xludf.DUMMYFUNCTION("""COMPUTED_VALUE"""),44781.66666666667)</f>
        <v>44781.66667</v>
      </c>
      <c r="B3869" s="1">
        <f>IFERROR(__xludf.DUMMYFUNCTION("""COMPUTED_VALUE"""),5.94)</f>
        <v>5.94</v>
      </c>
      <c r="C3869" s="1">
        <f>IFERROR(__xludf.DUMMYFUNCTION("""COMPUTED_VALUE"""),6.2)</f>
        <v>6.2</v>
      </c>
      <c r="D3869" s="1">
        <f>IFERROR(__xludf.DUMMYFUNCTION("""COMPUTED_VALUE"""),5.93)</f>
        <v>5.93</v>
      </c>
      <c r="E3869" s="1">
        <f>IFERROR(__xludf.DUMMYFUNCTION("""COMPUTED_VALUE"""),6.11)</f>
        <v>6.11</v>
      </c>
      <c r="F3869" s="1">
        <f>IFERROR(__xludf.DUMMYFUNCTION("""COMPUTED_VALUE"""),731545.0)</f>
        <v>731545</v>
      </c>
    </row>
    <row r="3870">
      <c r="A3870" s="2">
        <f>IFERROR(__xludf.DUMMYFUNCTION("""COMPUTED_VALUE"""),44782.66666666667)</f>
        <v>44782.66667</v>
      </c>
      <c r="B3870" s="1">
        <f>IFERROR(__xludf.DUMMYFUNCTION("""COMPUTED_VALUE"""),6.05)</f>
        <v>6.05</v>
      </c>
      <c r="C3870" s="1">
        <f>IFERROR(__xludf.DUMMYFUNCTION("""COMPUTED_VALUE"""),6.08)</f>
        <v>6.08</v>
      </c>
      <c r="D3870" s="1">
        <f>IFERROR(__xludf.DUMMYFUNCTION("""COMPUTED_VALUE"""),5.71)</f>
        <v>5.71</v>
      </c>
      <c r="E3870" s="1">
        <f>IFERROR(__xludf.DUMMYFUNCTION("""COMPUTED_VALUE"""),5.82)</f>
        <v>5.82</v>
      </c>
      <c r="F3870" s="1">
        <f>IFERROR(__xludf.DUMMYFUNCTION("""COMPUTED_VALUE"""),753780.0)</f>
        <v>753780</v>
      </c>
    </row>
    <row r="3871">
      <c r="A3871" s="2">
        <f>IFERROR(__xludf.DUMMYFUNCTION("""COMPUTED_VALUE"""),44783.66666666667)</f>
        <v>44783.66667</v>
      </c>
      <c r="B3871" s="1">
        <f>IFERROR(__xludf.DUMMYFUNCTION("""COMPUTED_VALUE"""),6.38)</f>
        <v>6.38</v>
      </c>
      <c r="C3871" s="1">
        <f>IFERROR(__xludf.DUMMYFUNCTION("""COMPUTED_VALUE"""),6.88)</f>
        <v>6.88</v>
      </c>
      <c r="D3871" s="1">
        <f>IFERROR(__xludf.DUMMYFUNCTION("""COMPUTED_VALUE"""),6.31)</f>
        <v>6.31</v>
      </c>
      <c r="E3871" s="1">
        <f>IFERROR(__xludf.DUMMYFUNCTION("""COMPUTED_VALUE"""),6.37)</f>
        <v>6.37</v>
      </c>
      <c r="F3871" s="1">
        <f>IFERROR(__xludf.DUMMYFUNCTION("""COMPUTED_VALUE"""),1748953.0)</f>
        <v>1748953</v>
      </c>
    </row>
    <row r="3872">
      <c r="A3872" s="2">
        <f>IFERROR(__xludf.DUMMYFUNCTION("""COMPUTED_VALUE"""),44784.66666666667)</f>
        <v>44784.66667</v>
      </c>
      <c r="B3872" s="1">
        <f>IFERROR(__xludf.DUMMYFUNCTION("""COMPUTED_VALUE"""),6.45)</f>
        <v>6.45</v>
      </c>
      <c r="C3872" s="1">
        <f>IFERROR(__xludf.DUMMYFUNCTION("""COMPUTED_VALUE"""),6.8)</f>
        <v>6.8</v>
      </c>
      <c r="D3872" s="1">
        <f>IFERROR(__xludf.DUMMYFUNCTION("""COMPUTED_VALUE"""),6.41)</f>
        <v>6.41</v>
      </c>
      <c r="E3872" s="1">
        <f>IFERROR(__xludf.DUMMYFUNCTION("""COMPUTED_VALUE"""),6.42)</f>
        <v>6.42</v>
      </c>
      <c r="F3872" s="1">
        <f>IFERROR(__xludf.DUMMYFUNCTION("""COMPUTED_VALUE"""),755516.0)</f>
        <v>755516</v>
      </c>
    </row>
    <row r="3873">
      <c r="A3873" s="2">
        <f>IFERROR(__xludf.DUMMYFUNCTION("""COMPUTED_VALUE"""),44785.66666666667)</f>
        <v>44785.66667</v>
      </c>
      <c r="B3873" s="1">
        <f>IFERROR(__xludf.DUMMYFUNCTION("""COMPUTED_VALUE"""),6.34)</f>
        <v>6.34</v>
      </c>
      <c r="C3873" s="1">
        <f>IFERROR(__xludf.DUMMYFUNCTION("""COMPUTED_VALUE"""),6.7)</f>
        <v>6.7</v>
      </c>
      <c r="D3873" s="1">
        <f>IFERROR(__xludf.DUMMYFUNCTION("""COMPUTED_VALUE"""),6.25)</f>
        <v>6.25</v>
      </c>
      <c r="E3873" s="1">
        <f>IFERROR(__xludf.DUMMYFUNCTION("""COMPUTED_VALUE"""),6.53)</f>
        <v>6.53</v>
      </c>
      <c r="F3873" s="1">
        <f>IFERROR(__xludf.DUMMYFUNCTION("""COMPUTED_VALUE"""),1032551.0)</f>
        <v>1032551</v>
      </c>
    </row>
    <row r="3874">
      <c r="A3874" s="2">
        <f>IFERROR(__xludf.DUMMYFUNCTION("""COMPUTED_VALUE"""),44788.66666666667)</f>
        <v>44788.66667</v>
      </c>
      <c r="B3874" s="1">
        <f>IFERROR(__xludf.DUMMYFUNCTION("""COMPUTED_VALUE"""),6.52)</f>
        <v>6.52</v>
      </c>
      <c r="C3874" s="1">
        <f>IFERROR(__xludf.DUMMYFUNCTION("""COMPUTED_VALUE"""),6.75)</f>
        <v>6.75</v>
      </c>
      <c r="D3874" s="1">
        <f>IFERROR(__xludf.DUMMYFUNCTION("""COMPUTED_VALUE"""),6.45)</f>
        <v>6.45</v>
      </c>
      <c r="E3874" s="1">
        <f>IFERROR(__xludf.DUMMYFUNCTION("""COMPUTED_VALUE"""),6.7)</f>
        <v>6.7</v>
      </c>
      <c r="F3874" s="1">
        <f>IFERROR(__xludf.DUMMYFUNCTION("""COMPUTED_VALUE"""),641740.0)</f>
        <v>641740</v>
      </c>
    </row>
    <row r="3875">
      <c r="A3875" s="2">
        <f>IFERROR(__xludf.DUMMYFUNCTION("""COMPUTED_VALUE"""),44789.66666666667)</f>
        <v>44789.66667</v>
      </c>
      <c r="B3875" s="1">
        <f>IFERROR(__xludf.DUMMYFUNCTION("""COMPUTED_VALUE"""),6.65)</f>
        <v>6.65</v>
      </c>
      <c r="C3875" s="1">
        <f>IFERROR(__xludf.DUMMYFUNCTION("""COMPUTED_VALUE"""),6.69)</f>
        <v>6.69</v>
      </c>
      <c r="D3875" s="1">
        <f>IFERROR(__xludf.DUMMYFUNCTION("""COMPUTED_VALUE"""),6.55)</f>
        <v>6.55</v>
      </c>
      <c r="E3875" s="1">
        <f>IFERROR(__xludf.DUMMYFUNCTION("""COMPUTED_VALUE"""),6.61)</f>
        <v>6.61</v>
      </c>
      <c r="F3875" s="1">
        <f>IFERROR(__xludf.DUMMYFUNCTION("""COMPUTED_VALUE"""),598765.0)</f>
        <v>598765</v>
      </c>
    </row>
    <row r="3876">
      <c r="A3876" s="2">
        <f>IFERROR(__xludf.DUMMYFUNCTION("""COMPUTED_VALUE"""),44790.66666666667)</f>
        <v>44790.66667</v>
      </c>
      <c r="B3876" s="1">
        <f>IFERROR(__xludf.DUMMYFUNCTION("""COMPUTED_VALUE"""),6.64)</f>
        <v>6.64</v>
      </c>
      <c r="C3876" s="1">
        <f>IFERROR(__xludf.DUMMYFUNCTION("""COMPUTED_VALUE"""),6.85)</f>
        <v>6.85</v>
      </c>
      <c r="D3876" s="1">
        <f>IFERROR(__xludf.DUMMYFUNCTION("""COMPUTED_VALUE"""),6.54)</f>
        <v>6.54</v>
      </c>
      <c r="E3876" s="1">
        <f>IFERROR(__xludf.DUMMYFUNCTION("""COMPUTED_VALUE"""),6.76)</f>
        <v>6.76</v>
      </c>
      <c r="F3876" s="1">
        <f>IFERROR(__xludf.DUMMYFUNCTION("""COMPUTED_VALUE"""),722237.0)</f>
        <v>722237</v>
      </c>
    </row>
    <row r="3877">
      <c r="A3877" s="2">
        <f>IFERROR(__xludf.DUMMYFUNCTION("""COMPUTED_VALUE"""),44791.66666666667)</f>
        <v>44791.66667</v>
      </c>
      <c r="B3877" s="1">
        <f>IFERROR(__xludf.DUMMYFUNCTION("""COMPUTED_VALUE"""),6.79)</f>
        <v>6.79</v>
      </c>
      <c r="C3877" s="1">
        <f>IFERROR(__xludf.DUMMYFUNCTION("""COMPUTED_VALUE"""),7.26)</f>
        <v>7.26</v>
      </c>
      <c r="D3877" s="1">
        <f>IFERROR(__xludf.DUMMYFUNCTION("""COMPUTED_VALUE"""),6.77)</f>
        <v>6.77</v>
      </c>
      <c r="E3877" s="1">
        <f>IFERROR(__xludf.DUMMYFUNCTION("""COMPUTED_VALUE"""),7.2)</f>
        <v>7.2</v>
      </c>
      <c r="F3877" s="1">
        <f>IFERROR(__xludf.DUMMYFUNCTION("""COMPUTED_VALUE"""),1150278.0)</f>
        <v>1150278</v>
      </c>
    </row>
    <row r="3878">
      <c r="A3878" s="2">
        <f>IFERROR(__xludf.DUMMYFUNCTION("""COMPUTED_VALUE"""),44792.66666666667)</f>
        <v>44792.66667</v>
      </c>
      <c r="B3878" s="1">
        <f>IFERROR(__xludf.DUMMYFUNCTION("""COMPUTED_VALUE"""),7.11)</f>
        <v>7.11</v>
      </c>
      <c r="C3878" s="1">
        <f>IFERROR(__xludf.DUMMYFUNCTION("""COMPUTED_VALUE"""),7.11)</f>
        <v>7.11</v>
      </c>
      <c r="D3878" s="1">
        <f>IFERROR(__xludf.DUMMYFUNCTION("""COMPUTED_VALUE"""),6.92)</f>
        <v>6.92</v>
      </c>
      <c r="E3878" s="1">
        <f>IFERROR(__xludf.DUMMYFUNCTION("""COMPUTED_VALUE"""),6.98)</f>
        <v>6.98</v>
      </c>
      <c r="F3878" s="1">
        <f>IFERROR(__xludf.DUMMYFUNCTION("""COMPUTED_VALUE"""),726938.0)</f>
        <v>726938</v>
      </c>
    </row>
    <row r="3879">
      <c r="A3879" s="2">
        <f>IFERROR(__xludf.DUMMYFUNCTION("""COMPUTED_VALUE"""),44795.66666666667)</f>
        <v>44795.66667</v>
      </c>
      <c r="B3879" s="1">
        <f>IFERROR(__xludf.DUMMYFUNCTION("""COMPUTED_VALUE"""),6.89)</f>
        <v>6.89</v>
      </c>
      <c r="C3879" s="1">
        <f>IFERROR(__xludf.DUMMYFUNCTION("""COMPUTED_VALUE"""),7.01)</f>
        <v>7.01</v>
      </c>
      <c r="D3879" s="1">
        <f>IFERROR(__xludf.DUMMYFUNCTION("""COMPUTED_VALUE"""),6.77)</f>
        <v>6.77</v>
      </c>
      <c r="E3879" s="1">
        <f>IFERROR(__xludf.DUMMYFUNCTION("""COMPUTED_VALUE"""),6.8)</f>
        <v>6.8</v>
      </c>
      <c r="F3879" s="1">
        <f>IFERROR(__xludf.DUMMYFUNCTION("""COMPUTED_VALUE"""),829181.0)</f>
        <v>829181</v>
      </c>
    </row>
    <row r="3880">
      <c r="A3880" s="2">
        <f>IFERROR(__xludf.DUMMYFUNCTION("""COMPUTED_VALUE"""),44796.66666666667)</f>
        <v>44796.66667</v>
      </c>
      <c r="B3880" s="1">
        <f>IFERROR(__xludf.DUMMYFUNCTION("""COMPUTED_VALUE"""),6.83)</f>
        <v>6.83</v>
      </c>
      <c r="C3880" s="1">
        <f>IFERROR(__xludf.DUMMYFUNCTION("""COMPUTED_VALUE"""),7.0)</f>
        <v>7</v>
      </c>
      <c r="D3880" s="1">
        <f>IFERROR(__xludf.DUMMYFUNCTION("""COMPUTED_VALUE"""),6.77)</f>
        <v>6.77</v>
      </c>
      <c r="E3880" s="1">
        <f>IFERROR(__xludf.DUMMYFUNCTION("""COMPUTED_VALUE"""),6.77)</f>
        <v>6.77</v>
      </c>
      <c r="F3880" s="1">
        <f>IFERROR(__xludf.DUMMYFUNCTION("""COMPUTED_VALUE"""),416859.0)</f>
        <v>416859</v>
      </c>
    </row>
    <row r="3881">
      <c r="A3881" s="2">
        <f>IFERROR(__xludf.DUMMYFUNCTION("""COMPUTED_VALUE"""),44797.66666666667)</f>
        <v>44797.66667</v>
      </c>
      <c r="B3881" s="1">
        <f>IFERROR(__xludf.DUMMYFUNCTION("""COMPUTED_VALUE"""),6.77)</f>
        <v>6.77</v>
      </c>
      <c r="C3881" s="1">
        <f>IFERROR(__xludf.DUMMYFUNCTION("""COMPUTED_VALUE"""),7.2)</f>
        <v>7.2</v>
      </c>
      <c r="D3881" s="1">
        <f>IFERROR(__xludf.DUMMYFUNCTION("""COMPUTED_VALUE"""),6.65)</f>
        <v>6.65</v>
      </c>
      <c r="E3881" s="1">
        <f>IFERROR(__xludf.DUMMYFUNCTION("""COMPUTED_VALUE"""),7.03)</f>
        <v>7.03</v>
      </c>
      <c r="F3881" s="1">
        <f>IFERROR(__xludf.DUMMYFUNCTION("""COMPUTED_VALUE"""),787098.0)</f>
        <v>787098</v>
      </c>
    </row>
    <row r="3882">
      <c r="A3882" s="2">
        <f>IFERROR(__xludf.DUMMYFUNCTION("""COMPUTED_VALUE"""),44798.66666666667)</f>
        <v>44798.66667</v>
      </c>
      <c r="B3882" s="1">
        <f>IFERROR(__xludf.DUMMYFUNCTION("""COMPUTED_VALUE"""),7.15)</f>
        <v>7.15</v>
      </c>
      <c r="C3882" s="1">
        <f>IFERROR(__xludf.DUMMYFUNCTION("""COMPUTED_VALUE"""),7.49)</f>
        <v>7.49</v>
      </c>
      <c r="D3882" s="1">
        <f>IFERROR(__xludf.DUMMYFUNCTION("""COMPUTED_VALUE"""),7.1)</f>
        <v>7.1</v>
      </c>
      <c r="E3882" s="1">
        <f>IFERROR(__xludf.DUMMYFUNCTION("""COMPUTED_VALUE"""),7.44)</f>
        <v>7.44</v>
      </c>
      <c r="F3882" s="1">
        <f>IFERROR(__xludf.DUMMYFUNCTION("""COMPUTED_VALUE"""),813353.0)</f>
        <v>813353</v>
      </c>
    </row>
    <row r="3883">
      <c r="A3883" s="2">
        <f>IFERROR(__xludf.DUMMYFUNCTION("""COMPUTED_VALUE"""),44799.66666666667)</f>
        <v>44799.66667</v>
      </c>
      <c r="B3883" s="1">
        <f>IFERROR(__xludf.DUMMYFUNCTION("""COMPUTED_VALUE"""),7.41)</f>
        <v>7.41</v>
      </c>
      <c r="C3883" s="1">
        <f>IFERROR(__xludf.DUMMYFUNCTION("""COMPUTED_VALUE"""),7.41)</f>
        <v>7.41</v>
      </c>
      <c r="D3883" s="1">
        <f>IFERROR(__xludf.DUMMYFUNCTION("""COMPUTED_VALUE"""),6.94)</f>
        <v>6.94</v>
      </c>
      <c r="E3883" s="1">
        <f>IFERROR(__xludf.DUMMYFUNCTION("""COMPUTED_VALUE"""),6.98)</f>
        <v>6.98</v>
      </c>
      <c r="F3883" s="1">
        <f>IFERROR(__xludf.DUMMYFUNCTION("""COMPUTED_VALUE"""),745978.0)</f>
        <v>745978</v>
      </c>
    </row>
    <row r="3884">
      <c r="A3884" s="2">
        <f>IFERROR(__xludf.DUMMYFUNCTION("""COMPUTED_VALUE"""),44802.66666666667)</f>
        <v>44802.66667</v>
      </c>
      <c r="B3884" s="1">
        <f>IFERROR(__xludf.DUMMYFUNCTION("""COMPUTED_VALUE"""),6.84)</f>
        <v>6.84</v>
      </c>
      <c r="C3884" s="1">
        <f>IFERROR(__xludf.DUMMYFUNCTION("""COMPUTED_VALUE"""),7.12)</f>
        <v>7.12</v>
      </c>
      <c r="D3884" s="1">
        <f>IFERROR(__xludf.DUMMYFUNCTION("""COMPUTED_VALUE"""),6.8)</f>
        <v>6.8</v>
      </c>
      <c r="E3884" s="1">
        <f>IFERROR(__xludf.DUMMYFUNCTION("""COMPUTED_VALUE"""),6.93)</f>
        <v>6.93</v>
      </c>
      <c r="F3884" s="1">
        <f>IFERROR(__xludf.DUMMYFUNCTION("""COMPUTED_VALUE"""),765676.0)</f>
        <v>765676</v>
      </c>
    </row>
    <row r="3885">
      <c r="A3885" s="2">
        <f>IFERROR(__xludf.DUMMYFUNCTION("""COMPUTED_VALUE"""),44803.66666666667)</f>
        <v>44803.66667</v>
      </c>
      <c r="B3885" s="1">
        <f>IFERROR(__xludf.DUMMYFUNCTION("""COMPUTED_VALUE"""),6.96)</f>
        <v>6.96</v>
      </c>
      <c r="C3885" s="1">
        <f>IFERROR(__xludf.DUMMYFUNCTION("""COMPUTED_VALUE"""),7.0)</f>
        <v>7</v>
      </c>
      <c r="D3885" s="1">
        <f>IFERROR(__xludf.DUMMYFUNCTION("""COMPUTED_VALUE"""),6.43)</f>
        <v>6.43</v>
      </c>
      <c r="E3885" s="1">
        <f>IFERROR(__xludf.DUMMYFUNCTION("""COMPUTED_VALUE"""),6.46)</f>
        <v>6.46</v>
      </c>
      <c r="F3885" s="1">
        <f>IFERROR(__xludf.DUMMYFUNCTION("""COMPUTED_VALUE"""),890521.0)</f>
        <v>890521</v>
      </c>
    </row>
    <row r="3886">
      <c r="A3886" s="2">
        <f>IFERROR(__xludf.DUMMYFUNCTION("""COMPUTED_VALUE"""),44804.66666666667)</f>
        <v>44804.66667</v>
      </c>
      <c r="B3886" s="1">
        <f>IFERROR(__xludf.DUMMYFUNCTION("""COMPUTED_VALUE"""),6.49)</f>
        <v>6.49</v>
      </c>
      <c r="C3886" s="1">
        <f>IFERROR(__xludf.DUMMYFUNCTION("""COMPUTED_VALUE"""),6.61)</f>
        <v>6.61</v>
      </c>
      <c r="D3886" s="1">
        <f>IFERROR(__xludf.DUMMYFUNCTION("""COMPUTED_VALUE"""),6.37)</f>
        <v>6.37</v>
      </c>
      <c r="E3886" s="1">
        <f>IFERROR(__xludf.DUMMYFUNCTION("""COMPUTED_VALUE"""),6.51)</f>
        <v>6.51</v>
      </c>
      <c r="F3886" s="1">
        <f>IFERROR(__xludf.DUMMYFUNCTION("""COMPUTED_VALUE"""),938077.0)</f>
        <v>938077</v>
      </c>
    </row>
    <row r="3887">
      <c r="A3887" s="2">
        <f>IFERROR(__xludf.DUMMYFUNCTION("""COMPUTED_VALUE"""),44805.66666666667)</f>
        <v>44805.66667</v>
      </c>
      <c r="B3887" s="1">
        <f>IFERROR(__xludf.DUMMYFUNCTION("""COMPUTED_VALUE"""),6.39)</f>
        <v>6.39</v>
      </c>
      <c r="C3887" s="1">
        <f>IFERROR(__xludf.DUMMYFUNCTION("""COMPUTED_VALUE"""),6.43)</f>
        <v>6.43</v>
      </c>
      <c r="D3887" s="1">
        <f>IFERROR(__xludf.DUMMYFUNCTION("""COMPUTED_VALUE"""),6.19)</f>
        <v>6.19</v>
      </c>
      <c r="E3887" s="1">
        <f>IFERROR(__xludf.DUMMYFUNCTION("""COMPUTED_VALUE"""),6.33)</f>
        <v>6.33</v>
      </c>
      <c r="F3887" s="1">
        <f>IFERROR(__xludf.DUMMYFUNCTION("""COMPUTED_VALUE"""),845157.0)</f>
        <v>845157</v>
      </c>
    </row>
    <row r="3888">
      <c r="A3888" s="2">
        <f>IFERROR(__xludf.DUMMYFUNCTION("""COMPUTED_VALUE"""),44806.66666666667)</f>
        <v>44806.66667</v>
      </c>
      <c r="B3888" s="1">
        <f>IFERROR(__xludf.DUMMYFUNCTION("""COMPUTED_VALUE"""),6.44)</f>
        <v>6.44</v>
      </c>
      <c r="C3888" s="1">
        <f>IFERROR(__xludf.DUMMYFUNCTION("""COMPUTED_VALUE"""),6.68)</f>
        <v>6.68</v>
      </c>
      <c r="D3888" s="1">
        <f>IFERROR(__xludf.DUMMYFUNCTION("""COMPUTED_VALUE"""),6.4)</f>
        <v>6.4</v>
      </c>
      <c r="E3888" s="1">
        <f>IFERROR(__xludf.DUMMYFUNCTION("""COMPUTED_VALUE"""),6.45)</f>
        <v>6.45</v>
      </c>
      <c r="F3888" s="1">
        <f>IFERROR(__xludf.DUMMYFUNCTION("""COMPUTED_VALUE"""),579166.0)</f>
        <v>579166</v>
      </c>
    </row>
    <row r="3889">
      <c r="A3889" s="2">
        <f>IFERROR(__xludf.DUMMYFUNCTION("""COMPUTED_VALUE"""),44810.66666666667)</f>
        <v>44810.66667</v>
      </c>
      <c r="B3889" s="1">
        <f>IFERROR(__xludf.DUMMYFUNCTION("""COMPUTED_VALUE"""),6.46)</f>
        <v>6.46</v>
      </c>
      <c r="C3889" s="1">
        <f>IFERROR(__xludf.DUMMYFUNCTION("""COMPUTED_VALUE"""),6.53)</f>
        <v>6.53</v>
      </c>
      <c r="D3889" s="1">
        <f>IFERROR(__xludf.DUMMYFUNCTION("""COMPUTED_VALUE"""),6.11)</f>
        <v>6.11</v>
      </c>
      <c r="E3889" s="1">
        <f>IFERROR(__xludf.DUMMYFUNCTION("""COMPUTED_VALUE"""),6.16)</f>
        <v>6.16</v>
      </c>
      <c r="F3889" s="1">
        <f>IFERROR(__xludf.DUMMYFUNCTION("""COMPUTED_VALUE"""),592956.0)</f>
        <v>592956</v>
      </c>
    </row>
    <row r="3890">
      <c r="A3890" s="2">
        <f>IFERROR(__xludf.DUMMYFUNCTION("""COMPUTED_VALUE"""),44811.66666666667)</f>
        <v>44811.66667</v>
      </c>
      <c r="B3890" s="1">
        <f>IFERROR(__xludf.DUMMYFUNCTION("""COMPUTED_VALUE"""),6.14)</f>
        <v>6.14</v>
      </c>
      <c r="C3890" s="1">
        <f>IFERROR(__xludf.DUMMYFUNCTION("""COMPUTED_VALUE"""),6.36)</f>
        <v>6.36</v>
      </c>
      <c r="D3890" s="1">
        <f>IFERROR(__xludf.DUMMYFUNCTION("""COMPUTED_VALUE"""),6.08)</f>
        <v>6.08</v>
      </c>
      <c r="E3890" s="1">
        <f>IFERROR(__xludf.DUMMYFUNCTION("""COMPUTED_VALUE"""),6.33)</f>
        <v>6.33</v>
      </c>
      <c r="F3890" s="1">
        <f>IFERROR(__xludf.DUMMYFUNCTION("""COMPUTED_VALUE"""),577769.0)</f>
        <v>577769</v>
      </c>
    </row>
    <row r="3891">
      <c r="A3891" s="2">
        <f>IFERROR(__xludf.DUMMYFUNCTION("""COMPUTED_VALUE"""),44812.66666666667)</f>
        <v>44812.66667</v>
      </c>
      <c r="B3891" s="1">
        <f>IFERROR(__xludf.DUMMYFUNCTION("""COMPUTED_VALUE"""),6.27)</f>
        <v>6.27</v>
      </c>
      <c r="C3891" s="1">
        <f>IFERROR(__xludf.DUMMYFUNCTION("""COMPUTED_VALUE"""),6.51)</f>
        <v>6.51</v>
      </c>
      <c r="D3891" s="1">
        <f>IFERROR(__xludf.DUMMYFUNCTION("""COMPUTED_VALUE"""),6.23)</f>
        <v>6.23</v>
      </c>
      <c r="E3891" s="1">
        <f>IFERROR(__xludf.DUMMYFUNCTION("""COMPUTED_VALUE"""),6.5)</f>
        <v>6.5</v>
      </c>
      <c r="F3891" s="1">
        <f>IFERROR(__xludf.DUMMYFUNCTION("""COMPUTED_VALUE"""),382448.0)</f>
        <v>382448</v>
      </c>
    </row>
    <row r="3892">
      <c r="A3892" s="2">
        <f>IFERROR(__xludf.DUMMYFUNCTION("""COMPUTED_VALUE"""),44813.66666666667)</f>
        <v>44813.66667</v>
      </c>
      <c r="B3892" s="1">
        <f>IFERROR(__xludf.DUMMYFUNCTION("""COMPUTED_VALUE"""),6.63)</f>
        <v>6.63</v>
      </c>
      <c r="C3892" s="1">
        <f>IFERROR(__xludf.DUMMYFUNCTION("""COMPUTED_VALUE"""),6.71)</f>
        <v>6.71</v>
      </c>
      <c r="D3892" s="1">
        <f>IFERROR(__xludf.DUMMYFUNCTION("""COMPUTED_VALUE"""),6.53)</f>
        <v>6.53</v>
      </c>
      <c r="E3892" s="1">
        <f>IFERROR(__xludf.DUMMYFUNCTION("""COMPUTED_VALUE"""),6.69)</f>
        <v>6.69</v>
      </c>
      <c r="F3892" s="1">
        <f>IFERROR(__xludf.DUMMYFUNCTION("""COMPUTED_VALUE"""),457126.0)</f>
        <v>457126</v>
      </c>
    </row>
    <row r="3893">
      <c r="A3893" s="2">
        <f>IFERROR(__xludf.DUMMYFUNCTION("""COMPUTED_VALUE"""),44816.66666666667)</f>
        <v>44816.66667</v>
      </c>
      <c r="B3893" s="1">
        <f>IFERROR(__xludf.DUMMYFUNCTION("""COMPUTED_VALUE"""),6.71)</f>
        <v>6.71</v>
      </c>
      <c r="C3893" s="1">
        <f>IFERROR(__xludf.DUMMYFUNCTION("""COMPUTED_VALUE"""),6.82)</f>
        <v>6.82</v>
      </c>
      <c r="D3893" s="1">
        <f>IFERROR(__xludf.DUMMYFUNCTION("""COMPUTED_VALUE"""),6.5)</f>
        <v>6.5</v>
      </c>
      <c r="E3893" s="1">
        <f>IFERROR(__xludf.DUMMYFUNCTION("""COMPUTED_VALUE"""),6.67)</f>
        <v>6.67</v>
      </c>
      <c r="F3893" s="1">
        <f>IFERROR(__xludf.DUMMYFUNCTION("""COMPUTED_VALUE"""),551766.0)</f>
        <v>551766</v>
      </c>
    </row>
    <row r="3894">
      <c r="A3894" s="2">
        <f>IFERROR(__xludf.DUMMYFUNCTION("""COMPUTED_VALUE"""),44817.66666666667)</f>
        <v>44817.66667</v>
      </c>
      <c r="B3894" s="1">
        <f>IFERROR(__xludf.DUMMYFUNCTION("""COMPUTED_VALUE"""),6.4)</f>
        <v>6.4</v>
      </c>
      <c r="C3894" s="1">
        <f>IFERROR(__xludf.DUMMYFUNCTION("""COMPUTED_VALUE"""),6.5)</f>
        <v>6.5</v>
      </c>
      <c r="D3894" s="1">
        <f>IFERROR(__xludf.DUMMYFUNCTION("""COMPUTED_VALUE"""),6.26)</f>
        <v>6.26</v>
      </c>
      <c r="E3894" s="1">
        <f>IFERROR(__xludf.DUMMYFUNCTION("""COMPUTED_VALUE"""),6.34)</f>
        <v>6.34</v>
      </c>
      <c r="F3894" s="1">
        <f>IFERROR(__xludf.DUMMYFUNCTION("""COMPUTED_VALUE"""),503125.0)</f>
        <v>503125</v>
      </c>
    </row>
    <row r="3895">
      <c r="A3895" s="2">
        <f>IFERROR(__xludf.DUMMYFUNCTION("""COMPUTED_VALUE"""),44818.66666666667)</f>
        <v>44818.66667</v>
      </c>
      <c r="B3895" s="1">
        <f>IFERROR(__xludf.DUMMYFUNCTION("""COMPUTED_VALUE"""),6.36)</f>
        <v>6.36</v>
      </c>
      <c r="C3895" s="1">
        <f>IFERROR(__xludf.DUMMYFUNCTION("""COMPUTED_VALUE"""),6.45)</f>
        <v>6.45</v>
      </c>
      <c r="D3895" s="1">
        <f>IFERROR(__xludf.DUMMYFUNCTION("""COMPUTED_VALUE"""),6.25)</f>
        <v>6.25</v>
      </c>
      <c r="E3895" s="1">
        <f>IFERROR(__xludf.DUMMYFUNCTION("""COMPUTED_VALUE"""),6.44)</f>
        <v>6.44</v>
      </c>
      <c r="F3895" s="1">
        <f>IFERROR(__xludf.DUMMYFUNCTION("""COMPUTED_VALUE"""),402308.0)</f>
        <v>402308</v>
      </c>
    </row>
    <row r="3896">
      <c r="A3896" s="2">
        <f>IFERROR(__xludf.DUMMYFUNCTION("""COMPUTED_VALUE"""),44819.66666666667)</f>
        <v>44819.66667</v>
      </c>
      <c r="B3896" s="1">
        <f>IFERROR(__xludf.DUMMYFUNCTION("""COMPUTED_VALUE"""),6.41)</f>
        <v>6.41</v>
      </c>
      <c r="C3896" s="1">
        <f>IFERROR(__xludf.DUMMYFUNCTION("""COMPUTED_VALUE"""),6.59)</f>
        <v>6.59</v>
      </c>
      <c r="D3896" s="1">
        <f>IFERROR(__xludf.DUMMYFUNCTION("""COMPUTED_VALUE"""),6.36)</f>
        <v>6.36</v>
      </c>
      <c r="E3896" s="1">
        <f>IFERROR(__xludf.DUMMYFUNCTION("""COMPUTED_VALUE"""),6.54)</f>
        <v>6.54</v>
      </c>
      <c r="F3896" s="1">
        <f>IFERROR(__xludf.DUMMYFUNCTION("""COMPUTED_VALUE"""),536570.0)</f>
        <v>536570</v>
      </c>
    </row>
    <row r="3897">
      <c r="A3897" s="2">
        <f>IFERROR(__xludf.DUMMYFUNCTION("""COMPUTED_VALUE"""),44820.66666666667)</f>
        <v>44820.66667</v>
      </c>
      <c r="B3897" s="1">
        <f>IFERROR(__xludf.DUMMYFUNCTION("""COMPUTED_VALUE"""),6.47)</f>
        <v>6.47</v>
      </c>
      <c r="C3897" s="1">
        <f>IFERROR(__xludf.DUMMYFUNCTION("""COMPUTED_VALUE"""),6.47)</f>
        <v>6.47</v>
      </c>
      <c r="D3897" s="1">
        <f>IFERROR(__xludf.DUMMYFUNCTION("""COMPUTED_VALUE"""),6.04)</f>
        <v>6.04</v>
      </c>
      <c r="E3897" s="1">
        <f>IFERROR(__xludf.DUMMYFUNCTION("""COMPUTED_VALUE"""),6.23)</f>
        <v>6.23</v>
      </c>
      <c r="F3897" s="1">
        <f>IFERROR(__xludf.DUMMYFUNCTION("""COMPUTED_VALUE"""),753449.0)</f>
        <v>753449</v>
      </c>
    </row>
    <row r="3898">
      <c r="A3898" s="2">
        <f>IFERROR(__xludf.DUMMYFUNCTION("""COMPUTED_VALUE"""),44823.66666666667)</f>
        <v>44823.66667</v>
      </c>
      <c r="B3898" s="1">
        <f>IFERROR(__xludf.DUMMYFUNCTION("""COMPUTED_VALUE"""),5.81)</f>
        <v>5.81</v>
      </c>
      <c r="C3898" s="1">
        <f>IFERROR(__xludf.DUMMYFUNCTION("""COMPUTED_VALUE"""),5.98)</f>
        <v>5.98</v>
      </c>
      <c r="D3898" s="1">
        <f>IFERROR(__xludf.DUMMYFUNCTION("""COMPUTED_VALUE"""),5.6)</f>
        <v>5.6</v>
      </c>
      <c r="E3898" s="1">
        <f>IFERROR(__xludf.DUMMYFUNCTION("""COMPUTED_VALUE"""),5.8)</f>
        <v>5.8</v>
      </c>
      <c r="F3898" s="1">
        <f>IFERROR(__xludf.DUMMYFUNCTION("""COMPUTED_VALUE"""),1036033.0)</f>
        <v>1036033</v>
      </c>
    </row>
    <row r="3899">
      <c r="A3899" s="2">
        <f>IFERROR(__xludf.DUMMYFUNCTION("""COMPUTED_VALUE"""),44824.66666666667)</f>
        <v>44824.66667</v>
      </c>
      <c r="B3899" s="1">
        <f>IFERROR(__xludf.DUMMYFUNCTION("""COMPUTED_VALUE"""),5.72)</f>
        <v>5.72</v>
      </c>
      <c r="C3899" s="1">
        <f>IFERROR(__xludf.DUMMYFUNCTION("""COMPUTED_VALUE"""),5.76)</f>
        <v>5.76</v>
      </c>
      <c r="D3899" s="1">
        <f>IFERROR(__xludf.DUMMYFUNCTION("""COMPUTED_VALUE"""),5.57)</f>
        <v>5.57</v>
      </c>
      <c r="E3899" s="1">
        <f>IFERROR(__xludf.DUMMYFUNCTION("""COMPUTED_VALUE"""),5.58)</f>
        <v>5.58</v>
      </c>
      <c r="F3899" s="1">
        <f>IFERROR(__xludf.DUMMYFUNCTION("""COMPUTED_VALUE"""),740738.0)</f>
        <v>740738</v>
      </c>
    </row>
    <row r="3900">
      <c r="A3900" s="2">
        <f>IFERROR(__xludf.DUMMYFUNCTION("""COMPUTED_VALUE"""),44825.66666666667)</f>
        <v>44825.66667</v>
      </c>
      <c r="B3900" s="1">
        <f>IFERROR(__xludf.DUMMYFUNCTION("""COMPUTED_VALUE"""),5.63)</f>
        <v>5.63</v>
      </c>
      <c r="C3900" s="1">
        <f>IFERROR(__xludf.DUMMYFUNCTION("""COMPUTED_VALUE"""),5.72)</f>
        <v>5.72</v>
      </c>
      <c r="D3900" s="1">
        <f>IFERROR(__xludf.DUMMYFUNCTION("""COMPUTED_VALUE"""),5.48)</f>
        <v>5.48</v>
      </c>
      <c r="E3900" s="1">
        <f>IFERROR(__xludf.DUMMYFUNCTION("""COMPUTED_VALUE"""),5.5)</f>
        <v>5.5</v>
      </c>
      <c r="F3900" s="1">
        <f>IFERROR(__xludf.DUMMYFUNCTION("""COMPUTED_VALUE"""),587790.0)</f>
        <v>587790</v>
      </c>
    </row>
    <row r="3901">
      <c r="A3901" s="2">
        <f>IFERROR(__xludf.DUMMYFUNCTION("""COMPUTED_VALUE"""),44826.66666666667)</f>
        <v>44826.66667</v>
      </c>
      <c r="B3901" s="1">
        <f>IFERROR(__xludf.DUMMYFUNCTION("""COMPUTED_VALUE"""),5.5)</f>
        <v>5.5</v>
      </c>
      <c r="C3901" s="1">
        <f>IFERROR(__xludf.DUMMYFUNCTION("""COMPUTED_VALUE"""),5.52)</f>
        <v>5.52</v>
      </c>
      <c r="D3901" s="1">
        <f>IFERROR(__xludf.DUMMYFUNCTION("""COMPUTED_VALUE"""),5.28)</f>
        <v>5.28</v>
      </c>
      <c r="E3901" s="1">
        <f>IFERROR(__xludf.DUMMYFUNCTION("""COMPUTED_VALUE"""),5.42)</f>
        <v>5.42</v>
      </c>
      <c r="F3901" s="1">
        <f>IFERROR(__xludf.DUMMYFUNCTION("""COMPUTED_VALUE"""),541729.0)</f>
        <v>541729</v>
      </c>
    </row>
    <row r="3902">
      <c r="A3902" s="2">
        <f>IFERROR(__xludf.DUMMYFUNCTION("""COMPUTED_VALUE"""),44827.66666666667)</f>
        <v>44827.66667</v>
      </c>
      <c r="B3902" s="1">
        <f>IFERROR(__xludf.DUMMYFUNCTION("""COMPUTED_VALUE"""),5.27)</f>
        <v>5.27</v>
      </c>
      <c r="C3902" s="1">
        <f>IFERROR(__xludf.DUMMYFUNCTION("""COMPUTED_VALUE"""),5.36)</f>
        <v>5.36</v>
      </c>
      <c r="D3902" s="1">
        <f>IFERROR(__xludf.DUMMYFUNCTION("""COMPUTED_VALUE"""),5.16)</f>
        <v>5.16</v>
      </c>
      <c r="E3902" s="1">
        <f>IFERROR(__xludf.DUMMYFUNCTION("""COMPUTED_VALUE"""),5.34)</f>
        <v>5.34</v>
      </c>
      <c r="F3902" s="1">
        <f>IFERROR(__xludf.DUMMYFUNCTION("""COMPUTED_VALUE"""),642180.0)</f>
        <v>642180</v>
      </c>
    </row>
    <row r="3903">
      <c r="A3903" s="2">
        <f>IFERROR(__xludf.DUMMYFUNCTION("""COMPUTED_VALUE"""),44830.66666666667)</f>
        <v>44830.66667</v>
      </c>
      <c r="B3903" s="1">
        <f>IFERROR(__xludf.DUMMYFUNCTION("""COMPUTED_VALUE"""),5.32)</f>
        <v>5.32</v>
      </c>
      <c r="C3903" s="1">
        <f>IFERROR(__xludf.DUMMYFUNCTION("""COMPUTED_VALUE"""),5.4)</f>
        <v>5.4</v>
      </c>
      <c r="D3903" s="1">
        <f>IFERROR(__xludf.DUMMYFUNCTION("""COMPUTED_VALUE"""),5.17)</f>
        <v>5.17</v>
      </c>
      <c r="E3903" s="1">
        <f>IFERROR(__xludf.DUMMYFUNCTION("""COMPUTED_VALUE"""),5.22)</f>
        <v>5.22</v>
      </c>
      <c r="F3903" s="1">
        <f>IFERROR(__xludf.DUMMYFUNCTION("""COMPUTED_VALUE"""),433058.0)</f>
        <v>433058</v>
      </c>
    </row>
    <row r="3904">
      <c r="A3904" s="2">
        <f>IFERROR(__xludf.DUMMYFUNCTION("""COMPUTED_VALUE"""),44831.66666666667)</f>
        <v>44831.66667</v>
      </c>
      <c r="B3904" s="1">
        <f>IFERROR(__xludf.DUMMYFUNCTION("""COMPUTED_VALUE"""),5.31)</f>
        <v>5.31</v>
      </c>
      <c r="C3904" s="1">
        <f>IFERROR(__xludf.DUMMYFUNCTION("""COMPUTED_VALUE"""),5.37)</f>
        <v>5.37</v>
      </c>
      <c r="D3904" s="1">
        <f>IFERROR(__xludf.DUMMYFUNCTION("""COMPUTED_VALUE"""),5.23)</f>
        <v>5.23</v>
      </c>
      <c r="E3904" s="1">
        <f>IFERROR(__xludf.DUMMYFUNCTION("""COMPUTED_VALUE"""),5.35)</f>
        <v>5.35</v>
      </c>
      <c r="F3904" s="1">
        <f>IFERROR(__xludf.DUMMYFUNCTION("""COMPUTED_VALUE"""),284718.0)</f>
        <v>284718</v>
      </c>
    </row>
    <row r="3905">
      <c r="A3905" s="2">
        <f>IFERROR(__xludf.DUMMYFUNCTION("""COMPUTED_VALUE"""),44832.66666666667)</f>
        <v>44832.66667</v>
      </c>
      <c r="B3905" s="1">
        <f>IFERROR(__xludf.DUMMYFUNCTION("""COMPUTED_VALUE"""),5.35)</f>
        <v>5.35</v>
      </c>
      <c r="C3905" s="1">
        <f>IFERROR(__xludf.DUMMYFUNCTION("""COMPUTED_VALUE"""),5.59)</f>
        <v>5.59</v>
      </c>
      <c r="D3905" s="1">
        <f>IFERROR(__xludf.DUMMYFUNCTION("""COMPUTED_VALUE"""),5.32)</f>
        <v>5.32</v>
      </c>
      <c r="E3905" s="1">
        <f>IFERROR(__xludf.DUMMYFUNCTION("""COMPUTED_VALUE"""),5.57)</f>
        <v>5.57</v>
      </c>
      <c r="F3905" s="1">
        <f>IFERROR(__xludf.DUMMYFUNCTION("""COMPUTED_VALUE"""),356785.0)</f>
        <v>356785</v>
      </c>
    </row>
    <row r="3906">
      <c r="A3906" s="2">
        <f>IFERROR(__xludf.DUMMYFUNCTION("""COMPUTED_VALUE"""),44833.66666666667)</f>
        <v>44833.66667</v>
      </c>
      <c r="B3906" s="1">
        <f>IFERROR(__xludf.DUMMYFUNCTION("""COMPUTED_VALUE"""),5.49)</f>
        <v>5.49</v>
      </c>
      <c r="C3906" s="1">
        <f>IFERROR(__xludf.DUMMYFUNCTION("""COMPUTED_VALUE"""),5.49)</f>
        <v>5.49</v>
      </c>
      <c r="D3906" s="1">
        <f>IFERROR(__xludf.DUMMYFUNCTION("""COMPUTED_VALUE"""),5.32)</f>
        <v>5.32</v>
      </c>
      <c r="E3906" s="1">
        <f>IFERROR(__xludf.DUMMYFUNCTION("""COMPUTED_VALUE"""),5.45)</f>
        <v>5.45</v>
      </c>
      <c r="F3906" s="1">
        <f>IFERROR(__xludf.DUMMYFUNCTION("""COMPUTED_VALUE"""),253088.0)</f>
        <v>253088</v>
      </c>
    </row>
    <row r="3907">
      <c r="A3907" s="2">
        <f>IFERROR(__xludf.DUMMYFUNCTION("""COMPUTED_VALUE"""),44834.66666666667)</f>
        <v>44834.66667</v>
      </c>
      <c r="B3907" s="1">
        <f>IFERROR(__xludf.DUMMYFUNCTION("""COMPUTED_VALUE"""),5.41)</f>
        <v>5.41</v>
      </c>
      <c r="C3907" s="1">
        <f>IFERROR(__xludf.DUMMYFUNCTION("""COMPUTED_VALUE"""),5.72)</f>
        <v>5.72</v>
      </c>
      <c r="D3907" s="1">
        <f>IFERROR(__xludf.DUMMYFUNCTION("""COMPUTED_VALUE"""),5.4)</f>
        <v>5.4</v>
      </c>
      <c r="E3907" s="1">
        <f>IFERROR(__xludf.DUMMYFUNCTION("""COMPUTED_VALUE"""),5.51)</f>
        <v>5.51</v>
      </c>
      <c r="F3907" s="1">
        <f>IFERROR(__xludf.DUMMYFUNCTION("""COMPUTED_VALUE"""),565211.0)</f>
        <v>565211</v>
      </c>
    </row>
    <row r="3908">
      <c r="A3908" s="2">
        <f>IFERROR(__xludf.DUMMYFUNCTION("""COMPUTED_VALUE"""),44837.66666666667)</f>
        <v>44837.66667</v>
      </c>
      <c r="B3908" s="1">
        <f>IFERROR(__xludf.DUMMYFUNCTION("""COMPUTED_VALUE"""),5.66)</f>
        <v>5.66</v>
      </c>
      <c r="C3908" s="1">
        <f>IFERROR(__xludf.DUMMYFUNCTION("""COMPUTED_VALUE"""),5.78)</f>
        <v>5.78</v>
      </c>
      <c r="D3908" s="1">
        <f>IFERROR(__xludf.DUMMYFUNCTION("""COMPUTED_VALUE"""),5.52)</f>
        <v>5.52</v>
      </c>
      <c r="E3908" s="1">
        <f>IFERROR(__xludf.DUMMYFUNCTION("""COMPUTED_VALUE"""),5.71)</f>
        <v>5.71</v>
      </c>
      <c r="F3908" s="1">
        <f>IFERROR(__xludf.DUMMYFUNCTION("""COMPUTED_VALUE"""),456552.0)</f>
        <v>456552</v>
      </c>
    </row>
    <row r="3909">
      <c r="A3909" s="2">
        <f>IFERROR(__xludf.DUMMYFUNCTION("""COMPUTED_VALUE"""),44838.66666666667)</f>
        <v>44838.66667</v>
      </c>
      <c r="B3909" s="1">
        <f>IFERROR(__xludf.DUMMYFUNCTION("""COMPUTED_VALUE"""),5.89)</f>
        <v>5.89</v>
      </c>
      <c r="C3909" s="1">
        <f>IFERROR(__xludf.DUMMYFUNCTION("""COMPUTED_VALUE"""),6.07)</f>
        <v>6.07</v>
      </c>
      <c r="D3909" s="1">
        <f>IFERROR(__xludf.DUMMYFUNCTION("""COMPUTED_VALUE"""),5.87)</f>
        <v>5.87</v>
      </c>
      <c r="E3909" s="1">
        <f>IFERROR(__xludf.DUMMYFUNCTION("""COMPUTED_VALUE"""),6.03)</f>
        <v>6.03</v>
      </c>
      <c r="F3909" s="1">
        <f>IFERROR(__xludf.DUMMYFUNCTION("""COMPUTED_VALUE"""),559808.0)</f>
        <v>559808</v>
      </c>
    </row>
    <row r="3910">
      <c r="A3910" s="2">
        <f>IFERROR(__xludf.DUMMYFUNCTION("""COMPUTED_VALUE"""),44839.66666666667)</f>
        <v>44839.66667</v>
      </c>
      <c r="B3910" s="1">
        <f>IFERROR(__xludf.DUMMYFUNCTION("""COMPUTED_VALUE"""),5.97)</f>
        <v>5.97</v>
      </c>
      <c r="C3910" s="1">
        <f>IFERROR(__xludf.DUMMYFUNCTION("""COMPUTED_VALUE"""),6.17)</f>
        <v>6.17</v>
      </c>
      <c r="D3910" s="1">
        <f>IFERROR(__xludf.DUMMYFUNCTION("""COMPUTED_VALUE"""),5.88)</f>
        <v>5.88</v>
      </c>
      <c r="E3910" s="1">
        <f>IFERROR(__xludf.DUMMYFUNCTION("""COMPUTED_VALUE"""),6.05)</f>
        <v>6.05</v>
      </c>
      <c r="F3910" s="1">
        <f>IFERROR(__xludf.DUMMYFUNCTION("""COMPUTED_VALUE"""),656200.0)</f>
        <v>656200</v>
      </c>
    </row>
    <row r="3911">
      <c r="A3911" s="2">
        <f>IFERROR(__xludf.DUMMYFUNCTION("""COMPUTED_VALUE"""),44840.66666666667)</f>
        <v>44840.66667</v>
      </c>
      <c r="B3911" s="1">
        <f>IFERROR(__xludf.DUMMYFUNCTION("""COMPUTED_VALUE"""),6.02)</f>
        <v>6.02</v>
      </c>
      <c r="C3911" s="1">
        <f>IFERROR(__xludf.DUMMYFUNCTION("""COMPUTED_VALUE"""),6.19)</f>
        <v>6.19</v>
      </c>
      <c r="D3911" s="1">
        <f>IFERROR(__xludf.DUMMYFUNCTION("""COMPUTED_VALUE"""),6.01)</f>
        <v>6.01</v>
      </c>
      <c r="E3911" s="1">
        <f>IFERROR(__xludf.DUMMYFUNCTION("""COMPUTED_VALUE"""),6.15)</f>
        <v>6.15</v>
      </c>
      <c r="F3911" s="1">
        <f>IFERROR(__xludf.DUMMYFUNCTION("""COMPUTED_VALUE"""),398129.0)</f>
        <v>398129</v>
      </c>
    </row>
    <row r="3912">
      <c r="A3912" s="2">
        <f>IFERROR(__xludf.DUMMYFUNCTION("""COMPUTED_VALUE"""),44841.66666666667)</f>
        <v>44841.66667</v>
      </c>
      <c r="B3912" s="1">
        <f>IFERROR(__xludf.DUMMYFUNCTION("""COMPUTED_VALUE"""),6.0)</f>
        <v>6</v>
      </c>
      <c r="C3912" s="1">
        <f>IFERROR(__xludf.DUMMYFUNCTION("""COMPUTED_VALUE"""),6.03)</f>
        <v>6.03</v>
      </c>
      <c r="D3912" s="1">
        <f>IFERROR(__xludf.DUMMYFUNCTION("""COMPUTED_VALUE"""),5.84)</f>
        <v>5.84</v>
      </c>
      <c r="E3912" s="1">
        <f>IFERROR(__xludf.DUMMYFUNCTION("""COMPUTED_VALUE"""),5.89)</f>
        <v>5.89</v>
      </c>
      <c r="F3912" s="1">
        <f>IFERROR(__xludf.DUMMYFUNCTION("""COMPUTED_VALUE"""),473860.0)</f>
        <v>473860</v>
      </c>
    </row>
    <row r="3913">
      <c r="A3913" s="2">
        <f>IFERROR(__xludf.DUMMYFUNCTION("""COMPUTED_VALUE"""),44844.66666666667)</f>
        <v>44844.66667</v>
      </c>
      <c r="B3913" s="1">
        <f>IFERROR(__xludf.DUMMYFUNCTION("""COMPUTED_VALUE"""),5.99)</f>
        <v>5.99</v>
      </c>
      <c r="C3913" s="1">
        <f>IFERROR(__xludf.DUMMYFUNCTION("""COMPUTED_VALUE"""),6.0)</f>
        <v>6</v>
      </c>
      <c r="D3913" s="1">
        <f>IFERROR(__xludf.DUMMYFUNCTION("""COMPUTED_VALUE"""),5.61)</f>
        <v>5.61</v>
      </c>
      <c r="E3913" s="1">
        <f>IFERROR(__xludf.DUMMYFUNCTION("""COMPUTED_VALUE"""),5.63)</f>
        <v>5.63</v>
      </c>
      <c r="F3913" s="1">
        <f>IFERROR(__xludf.DUMMYFUNCTION("""COMPUTED_VALUE"""),381428.0)</f>
        <v>381428</v>
      </c>
    </row>
    <row r="3914">
      <c r="A3914" s="2">
        <f>IFERROR(__xludf.DUMMYFUNCTION("""COMPUTED_VALUE"""),44845.66666666667)</f>
        <v>44845.66667</v>
      </c>
      <c r="B3914" s="1">
        <f>IFERROR(__xludf.DUMMYFUNCTION("""COMPUTED_VALUE"""),5.55)</f>
        <v>5.55</v>
      </c>
      <c r="C3914" s="1">
        <f>IFERROR(__xludf.DUMMYFUNCTION("""COMPUTED_VALUE"""),5.69)</f>
        <v>5.69</v>
      </c>
      <c r="D3914" s="1">
        <f>IFERROR(__xludf.DUMMYFUNCTION("""COMPUTED_VALUE"""),5.48)</f>
        <v>5.48</v>
      </c>
      <c r="E3914" s="1">
        <f>IFERROR(__xludf.DUMMYFUNCTION("""COMPUTED_VALUE"""),5.57)</f>
        <v>5.57</v>
      </c>
      <c r="F3914" s="1">
        <f>IFERROR(__xludf.DUMMYFUNCTION("""COMPUTED_VALUE"""),359582.0)</f>
        <v>359582</v>
      </c>
    </row>
    <row r="3915">
      <c r="A3915" s="2">
        <f>IFERROR(__xludf.DUMMYFUNCTION("""COMPUTED_VALUE"""),44846.66666666667)</f>
        <v>44846.66667</v>
      </c>
      <c r="B3915" s="1">
        <f>IFERROR(__xludf.DUMMYFUNCTION("""COMPUTED_VALUE"""),5.5)</f>
        <v>5.5</v>
      </c>
      <c r="C3915" s="1">
        <f>IFERROR(__xludf.DUMMYFUNCTION("""COMPUTED_VALUE"""),5.52)</f>
        <v>5.52</v>
      </c>
      <c r="D3915" s="1">
        <f>IFERROR(__xludf.DUMMYFUNCTION("""COMPUTED_VALUE"""),5.23)</f>
        <v>5.23</v>
      </c>
      <c r="E3915" s="1">
        <f>IFERROR(__xludf.DUMMYFUNCTION("""COMPUTED_VALUE"""),5.24)</f>
        <v>5.24</v>
      </c>
      <c r="F3915" s="1">
        <f>IFERROR(__xludf.DUMMYFUNCTION("""COMPUTED_VALUE"""),443767.0)</f>
        <v>443767</v>
      </c>
    </row>
    <row r="3916">
      <c r="A3916" s="2">
        <f>IFERROR(__xludf.DUMMYFUNCTION("""COMPUTED_VALUE"""),44847.66666666667)</f>
        <v>44847.66667</v>
      </c>
      <c r="B3916" s="1">
        <f>IFERROR(__xludf.DUMMYFUNCTION("""COMPUTED_VALUE"""),5.18)</f>
        <v>5.18</v>
      </c>
      <c r="C3916" s="1">
        <f>IFERROR(__xludf.DUMMYFUNCTION("""COMPUTED_VALUE"""),5.54)</f>
        <v>5.54</v>
      </c>
      <c r="D3916" s="1">
        <f>IFERROR(__xludf.DUMMYFUNCTION("""COMPUTED_VALUE"""),5.03)</f>
        <v>5.03</v>
      </c>
      <c r="E3916" s="1">
        <f>IFERROR(__xludf.DUMMYFUNCTION("""COMPUTED_VALUE"""),5.52)</f>
        <v>5.52</v>
      </c>
      <c r="F3916" s="1">
        <f>IFERROR(__xludf.DUMMYFUNCTION("""COMPUTED_VALUE"""),567802.0)</f>
        <v>567802</v>
      </c>
    </row>
    <row r="3917">
      <c r="A3917" s="2">
        <f>IFERROR(__xludf.DUMMYFUNCTION("""COMPUTED_VALUE"""),44848.66666666667)</f>
        <v>44848.66667</v>
      </c>
      <c r="B3917" s="1">
        <f>IFERROR(__xludf.DUMMYFUNCTION("""COMPUTED_VALUE"""),5.61)</f>
        <v>5.61</v>
      </c>
      <c r="C3917" s="1">
        <f>IFERROR(__xludf.DUMMYFUNCTION("""COMPUTED_VALUE"""),5.61)</f>
        <v>5.61</v>
      </c>
      <c r="D3917" s="1">
        <f>IFERROR(__xludf.DUMMYFUNCTION("""COMPUTED_VALUE"""),5.31)</f>
        <v>5.31</v>
      </c>
      <c r="E3917" s="1">
        <f>IFERROR(__xludf.DUMMYFUNCTION("""COMPUTED_VALUE"""),5.4)</f>
        <v>5.4</v>
      </c>
      <c r="F3917" s="1">
        <f>IFERROR(__xludf.DUMMYFUNCTION("""COMPUTED_VALUE"""),373069.0)</f>
        <v>373069</v>
      </c>
    </row>
    <row r="3918">
      <c r="A3918" s="2">
        <f>IFERROR(__xludf.DUMMYFUNCTION("""COMPUTED_VALUE"""),44851.66666666667)</f>
        <v>44851.66667</v>
      </c>
      <c r="B3918" s="1">
        <f>IFERROR(__xludf.DUMMYFUNCTION("""COMPUTED_VALUE"""),5.54)</f>
        <v>5.54</v>
      </c>
      <c r="C3918" s="1">
        <f>IFERROR(__xludf.DUMMYFUNCTION("""COMPUTED_VALUE"""),5.64)</f>
        <v>5.64</v>
      </c>
      <c r="D3918" s="1">
        <f>IFERROR(__xludf.DUMMYFUNCTION("""COMPUTED_VALUE"""),5.48)</f>
        <v>5.48</v>
      </c>
      <c r="E3918" s="1">
        <f>IFERROR(__xludf.DUMMYFUNCTION("""COMPUTED_VALUE"""),5.61)</f>
        <v>5.61</v>
      </c>
      <c r="F3918" s="1">
        <f>IFERROR(__xludf.DUMMYFUNCTION("""COMPUTED_VALUE"""),352234.0)</f>
        <v>352234</v>
      </c>
    </row>
    <row r="3919">
      <c r="A3919" s="2">
        <f>IFERROR(__xludf.DUMMYFUNCTION("""COMPUTED_VALUE"""),44852.66666666667)</f>
        <v>44852.66667</v>
      </c>
      <c r="B3919" s="1">
        <f>IFERROR(__xludf.DUMMYFUNCTION("""COMPUTED_VALUE"""),5.79)</f>
        <v>5.79</v>
      </c>
      <c r="C3919" s="1">
        <f>IFERROR(__xludf.DUMMYFUNCTION("""COMPUTED_VALUE"""),5.8)</f>
        <v>5.8</v>
      </c>
      <c r="D3919" s="1">
        <f>IFERROR(__xludf.DUMMYFUNCTION("""COMPUTED_VALUE"""),5.44)</f>
        <v>5.44</v>
      </c>
      <c r="E3919" s="1">
        <f>IFERROR(__xludf.DUMMYFUNCTION("""COMPUTED_VALUE"""),5.54)</f>
        <v>5.54</v>
      </c>
      <c r="F3919" s="1">
        <f>IFERROR(__xludf.DUMMYFUNCTION("""COMPUTED_VALUE"""),344832.0)</f>
        <v>344832</v>
      </c>
    </row>
    <row r="3920">
      <c r="A3920" s="2">
        <f>IFERROR(__xludf.DUMMYFUNCTION("""COMPUTED_VALUE"""),44853.66666666667)</f>
        <v>44853.66667</v>
      </c>
      <c r="B3920" s="1">
        <f>IFERROR(__xludf.DUMMYFUNCTION("""COMPUTED_VALUE"""),5.47)</f>
        <v>5.47</v>
      </c>
      <c r="C3920" s="1">
        <f>IFERROR(__xludf.DUMMYFUNCTION("""COMPUTED_VALUE"""),5.61)</f>
        <v>5.61</v>
      </c>
      <c r="D3920" s="1">
        <f>IFERROR(__xludf.DUMMYFUNCTION("""COMPUTED_VALUE"""),5.46)</f>
        <v>5.46</v>
      </c>
      <c r="E3920" s="1">
        <f>IFERROR(__xludf.DUMMYFUNCTION("""COMPUTED_VALUE"""),5.56)</f>
        <v>5.56</v>
      </c>
      <c r="F3920" s="1">
        <f>IFERROR(__xludf.DUMMYFUNCTION("""COMPUTED_VALUE"""),261700.0)</f>
        <v>261700</v>
      </c>
    </row>
    <row r="3921">
      <c r="A3921" s="2">
        <f>IFERROR(__xludf.DUMMYFUNCTION("""COMPUTED_VALUE"""),44854.66666666667)</f>
        <v>44854.66667</v>
      </c>
      <c r="B3921" s="1">
        <f>IFERROR(__xludf.DUMMYFUNCTION("""COMPUTED_VALUE"""),6.44)</f>
        <v>6.44</v>
      </c>
      <c r="C3921" s="1">
        <f>IFERROR(__xludf.DUMMYFUNCTION("""COMPUTED_VALUE"""),6.5)</f>
        <v>6.5</v>
      </c>
      <c r="D3921" s="1">
        <f>IFERROR(__xludf.DUMMYFUNCTION("""COMPUTED_VALUE"""),6.01)</f>
        <v>6.01</v>
      </c>
      <c r="E3921" s="1">
        <f>IFERROR(__xludf.DUMMYFUNCTION("""COMPUTED_VALUE"""),6.13)</f>
        <v>6.13</v>
      </c>
      <c r="F3921" s="1">
        <f>IFERROR(__xludf.DUMMYFUNCTION("""COMPUTED_VALUE"""),1791306.0)</f>
        <v>1791306</v>
      </c>
    </row>
    <row r="3922">
      <c r="A3922" s="2">
        <f>IFERROR(__xludf.DUMMYFUNCTION("""COMPUTED_VALUE"""),44855.66666666667)</f>
        <v>44855.66667</v>
      </c>
      <c r="B3922" s="1">
        <f>IFERROR(__xludf.DUMMYFUNCTION("""COMPUTED_VALUE"""),6.06)</f>
        <v>6.06</v>
      </c>
      <c r="C3922" s="1">
        <f>IFERROR(__xludf.DUMMYFUNCTION("""COMPUTED_VALUE"""),6.54)</f>
        <v>6.54</v>
      </c>
      <c r="D3922" s="1">
        <f>IFERROR(__xludf.DUMMYFUNCTION("""COMPUTED_VALUE"""),6.06)</f>
        <v>6.06</v>
      </c>
      <c r="E3922" s="1">
        <f>IFERROR(__xludf.DUMMYFUNCTION("""COMPUTED_VALUE"""),6.45)</f>
        <v>6.45</v>
      </c>
      <c r="F3922" s="1">
        <f>IFERROR(__xludf.DUMMYFUNCTION("""COMPUTED_VALUE"""),993458.0)</f>
        <v>993458</v>
      </c>
    </row>
    <row r="3923">
      <c r="A3923" s="2">
        <f>IFERROR(__xludf.DUMMYFUNCTION("""COMPUTED_VALUE"""),44858.66666666667)</f>
        <v>44858.66667</v>
      </c>
      <c r="B3923" s="1">
        <f>IFERROR(__xludf.DUMMYFUNCTION("""COMPUTED_VALUE"""),6.51)</f>
        <v>6.51</v>
      </c>
      <c r="C3923" s="1">
        <f>IFERROR(__xludf.DUMMYFUNCTION("""COMPUTED_VALUE"""),6.56)</f>
        <v>6.56</v>
      </c>
      <c r="D3923" s="1">
        <f>IFERROR(__xludf.DUMMYFUNCTION("""COMPUTED_VALUE"""),6.28)</f>
        <v>6.28</v>
      </c>
      <c r="E3923" s="1">
        <f>IFERROR(__xludf.DUMMYFUNCTION("""COMPUTED_VALUE"""),6.3)</f>
        <v>6.3</v>
      </c>
      <c r="F3923" s="1">
        <f>IFERROR(__xludf.DUMMYFUNCTION("""COMPUTED_VALUE"""),516718.0)</f>
        <v>516718</v>
      </c>
    </row>
    <row r="3924">
      <c r="A3924" s="2">
        <f>IFERROR(__xludf.DUMMYFUNCTION("""COMPUTED_VALUE"""),44859.66666666667)</f>
        <v>44859.66667</v>
      </c>
      <c r="B3924" s="1">
        <f>IFERROR(__xludf.DUMMYFUNCTION("""COMPUTED_VALUE"""),6.31)</f>
        <v>6.31</v>
      </c>
      <c r="C3924" s="1">
        <f>IFERROR(__xludf.DUMMYFUNCTION("""COMPUTED_VALUE"""),6.72)</f>
        <v>6.72</v>
      </c>
      <c r="D3924" s="1">
        <f>IFERROR(__xludf.DUMMYFUNCTION("""COMPUTED_VALUE"""),6.31)</f>
        <v>6.31</v>
      </c>
      <c r="E3924" s="1">
        <f>IFERROR(__xludf.DUMMYFUNCTION("""COMPUTED_VALUE"""),6.7)</f>
        <v>6.7</v>
      </c>
      <c r="F3924" s="1">
        <f>IFERROR(__xludf.DUMMYFUNCTION("""COMPUTED_VALUE"""),650607.0)</f>
        <v>650607</v>
      </c>
    </row>
    <row r="3925">
      <c r="A3925" s="2">
        <f>IFERROR(__xludf.DUMMYFUNCTION("""COMPUTED_VALUE"""),44860.66666666667)</f>
        <v>44860.66667</v>
      </c>
      <c r="B3925" s="1">
        <f>IFERROR(__xludf.DUMMYFUNCTION("""COMPUTED_VALUE"""),6.65)</f>
        <v>6.65</v>
      </c>
      <c r="C3925" s="1">
        <f>IFERROR(__xludf.DUMMYFUNCTION("""COMPUTED_VALUE"""),6.82)</f>
        <v>6.82</v>
      </c>
      <c r="D3925" s="1">
        <f>IFERROR(__xludf.DUMMYFUNCTION("""COMPUTED_VALUE"""),6.55)</f>
        <v>6.55</v>
      </c>
      <c r="E3925" s="1">
        <f>IFERROR(__xludf.DUMMYFUNCTION("""COMPUTED_VALUE"""),6.57)</f>
        <v>6.57</v>
      </c>
      <c r="F3925" s="1">
        <f>IFERROR(__xludf.DUMMYFUNCTION("""COMPUTED_VALUE"""),400904.0)</f>
        <v>400904</v>
      </c>
    </row>
    <row r="3926">
      <c r="A3926" s="2">
        <f>IFERROR(__xludf.DUMMYFUNCTION("""COMPUTED_VALUE"""),44861.66666666667)</f>
        <v>44861.66667</v>
      </c>
      <c r="B3926" s="1">
        <f>IFERROR(__xludf.DUMMYFUNCTION("""COMPUTED_VALUE"""),6.7)</f>
        <v>6.7</v>
      </c>
      <c r="C3926" s="1">
        <f>IFERROR(__xludf.DUMMYFUNCTION("""COMPUTED_VALUE"""),6.83)</f>
        <v>6.83</v>
      </c>
      <c r="D3926" s="1">
        <f>IFERROR(__xludf.DUMMYFUNCTION("""COMPUTED_VALUE"""),6.66)</f>
        <v>6.66</v>
      </c>
      <c r="E3926" s="1">
        <f>IFERROR(__xludf.DUMMYFUNCTION("""COMPUTED_VALUE"""),6.68)</f>
        <v>6.68</v>
      </c>
      <c r="F3926" s="1">
        <f>IFERROR(__xludf.DUMMYFUNCTION("""COMPUTED_VALUE"""),535841.0)</f>
        <v>535841</v>
      </c>
    </row>
    <row r="3927">
      <c r="A3927" s="2">
        <f>IFERROR(__xludf.DUMMYFUNCTION("""COMPUTED_VALUE"""),44862.66666666667)</f>
        <v>44862.66667</v>
      </c>
      <c r="B3927" s="1">
        <f>IFERROR(__xludf.DUMMYFUNCTION("""COMPUTED_VALUE"""),6.68)</f>
        <v>6.68</v>
      </c>
      <c r="C3927" s="1">
        <f>IFERROR(__xludf.DUMMYFUNCTION("""COMPUTED_VALUE"""),6.89)</f>
        <v>6.89</v>
      </c>
      <c r="D3927" s="1">
        <f>IFERROR(__xludf.DUMMYFUNCTION("""COMPUTED_VALUE"""),6.66)</f>
        <v>6.66</v>
      </c>
      <c r="E3927" s="1">
        <f>IFERROR(__xludf.DUMMYFUNCTION("""COMPUTED_VALUE"""),6.87)</f>
        <v>6.87</v>
      </c>
      <c r="F3927" s="1">
        <f>IFERROR(__xludf.DUMMYFUNCTION("""COMPUTED_VALUE"""),488982.0)</f>
        <v>488982</v>
      </c>
    </row>
    <row r="3928">
      <c r="A3928" s="2">
        <f>IFERROR(__xludf.DUMMYFUNCTION("""COMPUTED_VALUE"""),44865.66666666667)</f>
        <v>44865.66667</v>
      </c>
      <c r="B3928" s="1">
        <f>IFERROR(__xludf.DUMMYFUNCTION("""COMPUTED_VALUE"""),6.86)</f>
        <v>6.86</v>
      </c>
      <c r="C3928" s="1">
        <f>IFERROR(__xludf.DUMMYFUNCTION("""COMPUTED_VALUE"""),7.02)</f>
        <v>7.02</v>
      </c>
      <c r="D3928" s="1">
        <f>IFERROR(__xludf.DUMMYFUNCTION("""COMPUTED_VALUE"""),6.78)</f>
        <v>6.78</v>
      </c>
      <c r="E3928" s="1">
        <f>IFERROR(__xludf.DUMMYFUNCTION("""COMPUTED_VALUE"""),6.96)</f>
        <v>6.96</v>
      </c>
      <c r="F3928" s="1">
        <f>IFERROR(__xludf.DUMMYFUNCTION("""COMPUTED_VALUE"""),647542.0)</f>
        <v>647542</v>
      </c>
    </row>
    <row r="3929">
      <c r="A3929" s="2">
        <f>IFERROR(__xludf.DUMMYFUNCTION("""COMPUTED_VALUE"""),44866.66666666667)</f>
        <v>44866.66667</v>
      </c>
      <c r="B3929" s="1">
        <f>IFERROR(__xludf.DUMMYFUNCTION("""COMPUTED_VALUE"""),7.02)</f>
        <v>7.02</v>
      </c>
      <c r="C3929" s="1">
        <f>IFERROR(__xludf.DUMMYFUNCTION("""COMPUTED_VALUE"""),7.22)</f>
        <v>7.22</v>
      </c>
      <c r="D3929" s="1">
        <f>IFERROR(__xludf.DUMMYFUNCTION("""COMPUTED_VALUE"""),6.92)</f>
        <v>6.92</v>
      </c>
      <c r="E3929" s="1">
        <f>IFERROR(__xludf.DUMMYFUNCTION("""COMPUTED_VALUE"""),7.19)</f>
        <v>7.19</v>
      </c>
      <c r="F3929" s="1">
        <f>IFERROR(__xludf.DUMMYFUNCTION("""COMPUTED_VALUE"""),914464.0)</f>
        <v>914464</v>
      </c>
    </row>
    <row r="3930">
      <c r="A3930" s="2">
        <f>IFERROR(__xludf.DUMMYFUNCTION("""COMPUTED_VALUE"""),44867.66666666667)</f>
        <v>44867.66667</v>
      </c>
      <c r="B3930" s="1">
        <f>IFERROR(__xludf.DUMMYFUNCTION("""COMPUTED_VALUE"""),7.5)</f>
        <v>7.5</v>
      </c>
      <c r="C3930" s="1">
        <f>IFERROR(__xludf.DUMMYFUNCTION("""COMPUTED_VALUE"""),8.6)</f>
        <v>8.6</v>
      </c>
      <c r="D3930" s="1">
        <f>IFERROR(__xludf.DUMMYFUNCTION("""COMPUTED_VALUE"""),7.42)</f>
        <v>7.42</v>
      </c>
      <c r="E3930" s="1">
        <f>IFERROR(__xludf.DUMMYFUNCTION("""COMPUTED_VALUE"""),8.08)</f>
        <v>8.08</v>
      </c>
      <c r="F3930" s="1">
        <f>IFERROR(__xludf.DUMMYFUNCTION("""COMPUTED_VALUE"""),3850915.0)</f>
        <v>3850915</v>
      </c>
    </row>
    <row r="3931">
      <c r="A3931" s="2">
        <f>IFERROR(__xludf.DUMMYFUNCTION("""COMPUTED_VALUE"""),44868.66666666667)</f>
        <v>44868.66667</v>
      </c>
      <c r="B3931" s="1">
        <f>IFERROR(__xludf.DUMMYFUNCTION("""COMPUTED_VALUE"""),7.87)</f>
        <v>7.87</v>
      </c>
      <c r="C3931" s="1">
        <f>IFERROR(__xludf.DUMMYFUNCTION("""COMPUTED_VALUE"""),8.14)</f>
        <v>8.14</v>
      </c>
      <c r="D3931" s="1">
        <f>IFERROR(__xludf.DUMMYFUNCTION("""COMPUTED_VALUE"""),7.52)</f>
        <v>7.52</v>
      </c>
      <c r="E3931" s="1">
        <f>IFERROR(__xludf.DUMMYFUNCTION("""COMPUTED_VALUE"""),7.97)</f>
        <v>7.97</v>
      </c>
      <c r="F3931" s="1">
        <f>IFERROR(__xludf.DUMMYFUNCTION("""COMPUTED_VALUE"""),1173424.0)</f>
        <v>1173424</v>
      </c>
    </row>
    <row r="3932">
      <c r="A3932" s="2">
        <f>IFERROR(__xludf.DUMMYFUNCTION("""COMPUTED_VALUE"""),44869.66666666667)</f>
        <v>44869.66667</v>
      </c>
      <c r="B3932" s="1">
        <f>IFERROR(__xludf.DUMMYFUNCTION("""COMPUTED_VALUE"""),8.03)</f>
        <v>8.03</v>
      </c>
      <c r="C3932" s="1">
        <f>IFERROR(__xludf.DUMMYFUNCTION("""COMPUTED_VALUE"""),8.29)</f>
        <v>8.29</v>
      </c>
      <c r="D3932" s="1">
        <f>IFERROR(__xludf.DUMMYFUNCTION("""COMPUTED_VALUE"""),7.54)</f>
        <v>7.54</v>
      </c>
      <c r="E3932" s="1">
        <f>IFERROR(__xludf.DUMMYFUNCTION("""COMPUTED_VALUE"""),7.66)</f>
        <v>7.66</v>
      </c>
      <c r="F3932" s="1">
        <f>IFERROR(__xludf.DUMMYFUNCTION("""COMPUTED_VALUE"""),1196246.0)</f>
        <v>1196246</v>
      </c>
    </row>
    <row r="3933">
      <c r="A3933" s="2">
        <f>IFERROR(__xludf.DUMMYFUNCTION("""COMPUTED_VALUE"""),44872.66666666667)</f>
        <v>44872.66667</v>
      </c>
      <c r="B3933" s="1">
        <f>IFERROR(__xludf.DUMMYFUNCTION("""COMPUTED_VALUE"""),7.7)</f>
        <v>7.7</v>
      </c>
      <c r="C3933" s="1">
        <f>IFERROR(__xludf.DUMMYFUNCTION("""COMPUTED_VALUE"""),7.87)</f>
        <v>7.87</v>
      </c>
      <c r="D3933" s="1">
        <f>IFERROR(__xludf.DUMMYFUNCTION("""COMPUTED_VALUE"""),7.69)</f>
        <v>7.69</v>
      </c>
      <c r="E3933" s="1">
        <f>IFERROR(__xludf.DUMMYFUNCTION("""COMPUTED_VALUE"""),7.72)</f>
        <v>7.72</v>
      </c>
      <c r="F3933" s="1">
        <f>IFERROR(__xludf.DUMMYFUNCTION("""COMPUTED_VALUE"""),621525.0)</f>
        <v>621525</v>
      </c>
    </row>
    <row r="3934">
      <c r="A3934" s="2">
        <f>IFERROR(__xludf.DUMMYFUNCTION("""COMPUTED_VALUE"""),44873.66666666667)</f>
        <v>44873.66667</v>
      </c>
      <c r="B3934" s="1">
        <f>IFERROR(__xludf.DUMMYFUNCTION("""COMPUTED_VALUE"""),7.85)</f>
        <v>7.85</v>
      </c>
      <c r="C3934" s="1">
        <f>IFERROR(__xludf.DUMMYFUNCTION("""COMPUTED_VALUE"""),7.99)</f>
        <v>7.99</v>
      </c>
      <c r="D3934" s="1">
        <f>IFERROR(__xludf.DUMMYFUNCTION("""COMPUTED_VALUE"""),7.71)</f>
        <v>7.71</v>
      </c>
      <c r="E3934" s="1">
        <f>IFERROR(__xludf.DUMMYFUNCTION("""COMPUTED_VALUE"""),7.83)</f>
        <v>7.83</v>
      </c>
      <c r="F3934" s="1">
        <f>IFERROR(__xludf.DUMMYFUNCTION("""COMPUTED_VALUE"""),740033.0)</f>
        <v>740033</v>
      </c>
    </row>
    <row r="3935">
      <c r="A3935" s="2">
        <f>IFERROR(__xludf.DUMMYFUNCTION("""COMPUTED_VALUE"""),44874.66666666667)</f>
        <v>44874.66667</v>
      </c>
      <c r="B3935" s="1">
        <f>IFERROR(__xludf.DUMMYFUNCTION("""COMPUTED_VALUE"""),7.86)</f>
        <v>7.86</v>
      </c>
      <c r="C3935" s="1">
        <f>IFERROR(__xludf.DUMMYFUNCTION("""COMPUTED_VALUE"""),8.11)</f>
        <v>8.11</v>
      </c>
      <c r="D3935" s="1">
        <f>IFERROR(__xludf.DUMMYFUNCTION("""COMPUTED_VALUE"""),7.62)</f>
        <v>7.62</v>
      </c>
      <c r="E3935" s="1">
        <f>IFERROR(__xludf.DUMMYFUNCTION("""COMPUTED_VALUE"""),7.65)</f>
        <v>7.65</v>
      </c>
      <c r="F3935" s="1">
        <f>IFERROR(__xludf.DUMMYFUNCTION("""COMPUTED_VALUE"""),595324.0)</f>
        <v>595324</v>
      </c>
    </row>
    <row r="3936">
      <c r="A3936" s="2">
        <f>IFERROR(__xludf.DUMMYFUNCTION("""COMPUTED_VALUE"""),44875.66666666667)</f>
        <v>44875.66667</v>
      </c>
      <c r="B3936" s="1">
        <f>IFERROR(__xludf.DUMMYFUNCTION("""COMPUTED_VALUE"""),8.09)</f>
        <v>8.09</v>
      </c>
      <c r="C3936" s="1">
        <f>IFERROR(__xludf.DUMMYFUNCTION("""COMPUTED_VALUE"""),8.11)</f>
        <v>8.11</v>
      </c>
      <c r="D3936" s="1">
        <f>IFERROR(__xludf.DUMMYFUNCTION("""COMPUTED_VALUE"""),7.85)</f>
        <v>7.85</v>
      </c>
      <c r="E3936" s="1">
        <f>IFERROR(__xludf.DUMMYFUNCTION("""COMPUTED_VALUE"""),8.07)</f>
        <v>8.07</v>
      </c>
      <c r="F3936" s="1">
        <f>IFERROR(__xludf.DUMMYFUNCTION("""COMPUTED_VALUE"""),796588.0)</f>
        <v>796588</v>
      </c>
    </row>
    <row r="3937">
      <c r="A3937" s="2">
        <f>IFERROR(__xludf.DUMMYFUNCTION("""COMPUTED_VALUE"""),44876.66666666667)</f>
        <v>44876.66667</v>
      </c>
      <c r="B3937" s="1">
        <f>IFERROR(__xludf.DUMMYFUNCTION("""COMPUTED_VALUE"""),8.19)</f>
        <v>8.19</v>
      </c>
      <c r="C3937" s="1">
        <f>IFERROR(__xludf.DUMMYFUNCTION("""COMPUTED_VALUE"""),8.62)</f>
        <v>8.62</v>
      </c>
      <c r="D3937" s="1">
        <f>IFERROR(__xludf.DUMMYFUNCTION("""COMPUTED_VALUE"""),8.14)</f>
        <v>8.14</v>
      </c>
      <c r="E3937" s="1">
        <f>IFERROR(__xludf.DUMMYFUNCTION("""COMPUTED_VALUE"""),8.35)</f>
        <v>8.35</v>
      </c>
      <c r="F3937" s="1">
        <f>IFERROR(__xludf.DUMMYFUNCTION("""COMPUTED_VALUE"""),1395021.0)</f>
        <v>1395021</v>
      </c>
    </row>
    <row r="3938">
      <c r="A3938" s="2">
        <f>IFERROR(__xludf.DUMMYFUNCTION("""COMPUTED_VALUE"""),44879.66666666667)</f>
        <v>44879.66667</v>
      </c>
      <c r="B3938" s="1">
        <f>IFERROR(__xludf.DUMMYFUNCTION("""COMPUTED_VALUE"""),8.29)</f>
        <v>8.29</v>
      </c>
      <c r="C3938" s="1">
        <f>IFERROR(__xludf.DUMMYFUNCTION("""COMPUTED_VALUE"""),8.41)</f>
        <v>8.41</v>
      </c>
      <c r="D3938" s="1">
        <f>IFERROR(__xludf.DUMMYFUNCTION("""COMPUTED_VALUE"""),8.06)</f>
        <v>8.06</v>
      </c>
      <c r="E3938" s="1">
        <f>IFERROR(__xludf.DUMMYFUNCTION("""COMPUTED_VALUE"""),8.19)</f>
        <v>8.19</v>
      </c>
      <c r="F3938" s="1">
        <f>IFERROR(__xludf.DUMMYFUNCTION("""COMPUTED_VALUE"""),848245.0)</f>
        <v>848245</v>
      </c>
    </row>
    <row r="3939">
      <c r="A3939" s="2">
        <f>IFERROR(__xludf.DUMMYFUNCTION("""COMPUTED_VALUE"""),44880.66666666667)</f>
        <v>44880.66667</v>
      </c>
      <c r="B3939" s="1">
        <f>IFERROR(__xludf.DUMMYFUNCTION("""COMPUTED_VALUE"""),8.53)</f>
        <v>8.53</v>
      </c>
      <c r="C3939" s="1">
        <f>IFERROR(__xludf.DUMMYFUNCTION("""COMPUTED_VALUE"""),8.97)</f>
        <v>8.97</v>
      </c>
      <c r="D3939" s="1">
        <f>IFERROR(__xludf.DUMMYFUNCTION("""COMPUTED_VALUE"""),8.4)</f>
        <v>8.4</v>
      </c>
      <c r="E3939" s="1">
        <f>IFERROR(__xludf.DUMMYFUNCTION("""COMPUTED_VALUE"""),8.69)</f>
        <v>8.69</v>
      </c>
      <c r="F3939" s="1">
        <f>IFERROR(__xludf.DUMMYFUNCTION("""COMPUTED_VALUE"""),1198059.0)</f>
        <v>1198059</v>
      </c>
    </row>
    <row r="3940">
      <c r="A3940" s="2">
        <f>IFERROR(__xludf.DUMMYFUNCTION("""COMPUTED_VALUE"""),44881.66666666667)</f>
        <v>44881.66667</v>
      </c>
      <c r="B3940" s="1">
        <f>IFERROR(__xludf.DUMMYFUNCTION("""COMPUTED_VALUE"""),8.7)</f>
        <v>8.7</v>
      </c>
      <c r="C3940" s="1">
        <f>IFERROR(__xludf.DUMMYFUNCTION("""COMPUTED_VALUE"""),8.77)</f>
        <v>8.77</v>
      </c>
      <c r="D3940" s="1">
        <f>IFERROR(__xludf.DUMMYFUNCTION("""COMPUTED_VALUE"""),8.13)</f>
        <v>8.13</v>
      </c>
      <c r="E3940" s="1">
        <f>IFERROR(__xludf.DUMMYFUNCTION("""COMPUTED_VALUE"""),8.22)</f>
        <v>8.22</v>
      </c>
      <c r="F3940" s="1">
        <f>IFERROR(__xludf.DUMMYFUNCTION("""COMPUTED_VALUE"""),981415.0)</f>
        <v>981415</v>
      </c>
    </row>
    <row r="3941">
      <c r="A3941" s="2">
        <f>IFERROR(__xludf.DUMMYFUNCTION("""COMPUTED_VALUE"""),44882.66666666667)</f>
        <v>44882.66667</v>
      </c>
      <c r="B3941" s="1">
        <f>IFERROR(__xludf.DUMMYFUNCTION("""COMPUTED_VALUE"""),8.25)</f>
        <v>8.25</v>
      </c>
      <c r="C3941" s="1">
        <f>IFERROR(__xludf.DUMMYFUNCTION("""COMPUTED_VALUE"""),8.8)</f>
        <v>8.8</v>
      </c>
      <c r="D3941" s="1">
        <f>IFERROR(__xludf.DUMMYFUNCTION("""COMPUTED_VALUE"""),8.25)</f>
        <v>8.25</v>
      </c>
      <c r="E3941" s="1">
        <f>IFERROR(__xludf.DUMMYFUNCTION("""COMPUTED_VALUE"""),8.7)</f>
        <v>8.7</v>
      </c>
      <c r="F3941" s="1">
        <f>IFERROR(__xludf.DUMMYFUNCTION("""COMPUTED_VALUE"""),1029853.0)</f>
        <v>1029853</v>
      </c>
    </row>
    <row r="3942">
      <c r="A3942" s="2">
        <f>IFERROR(__xludf.DUMMYFUNCTION("""COMPUTED_VALUE"""),44883.66666666667)</f>
        <v>44883.66667</v>
      </c>
      <c r="B3942" s="1">
        <f>IFERROR(__xludf.DUMMYFUNCTION("""COMPUTED_VALUE"""),8.86)</f>
        <v>8.86</v>
      </c>
      <c r="C3942" s="1">
        <f>IFERROR(__xludf.DUMMYFUNCTION("""COMPUTED_VALUE"""),8.86)</f>
        <v>8.86</v>
      </c>
      <c r="D3942" s="1">
        <f>IFERROR(__xludf.DUMMYFUNCTION("""COMPUTED_VALUE"""),8.43)</f>
        <v>8.43</v>
      </c>
      <c r="E3942" s="1">
        <f>IFERROR(__xludf.DUMMYFUNCTION("""COMPUTED_VALUE"""),8.65)</f>
        <v>8.65</v>
      </c>
      <c r="F3942" s="1">
        <f>IFERROR(__xludf.DUMMYFUNCTION("""COMPUTED_VALUE"""),933410.0)</f>
        <v>933410</v>
      </c>
    </row>
    <row r="3943">
      <c r="A3943" s="2">
        <f>IFERROR(__xludf.DUMMYFUNCTION("""COMPUTED_VALUE"""),44886.66666666667)</f>
        <v>44886.66667</v>
      </c>
      <c r="B3943" s="1">
        <f>IFERROR(__xludf.DUMMYFUNCTION("""COMPUTED_VALUE"""),8.6)</f>
        <v>8.6</v>
      </c>
      <c r="C3943" s="1">
        <f>IFERROR(__xludf.DUMMYFUNCTION("""COMPUTED_VALUE"""),8.65)</f>
        <v>8.65</v>
      </c>
      <c r="D3943" s="1">
        <f>IFERROR(__xludf.DUMMYFUNCTION("""COMPUTED_VALUE"""),8.34)</f>
        <v>8.34</v>
      </c>
      <c r="E3943" s="1">
        <f>IFERROR(__xludf.DUMMYFUNCTION("""COMPUTED_VALUE"""),8.39)</f>
        <v>8.39</v>
      </c>
      <c r="F3943" s="1">
        <f>IFERROR(__xludf.DUMMYFUNCTION("""COMPUTED_VALUE"""),526844.0)</f>
        <v>526844</v>
      </c>
    </row>
    <row r="3944">
      <c r="A3944" s="2">
        <f>IFERROR(__xludf.DUMMYFUNCTION("""COMPUTED_VALUE"""),44887.66666666667)</f>
        <v>44887.66667</v>
      </c>
      <c r="B3944" s="1">
        <f>IFERROR(__xludf.DUMMYFUNCTION("""COMPUTED_VALUE"""),8.39)</f>
        <v>8.39</v>
      </c>
      <c r="C3944" s="1">
        <f>IFERROR(__xludf.DUMMYFUNCTION("""COMPUTED_VALUE"""),8.79)</f>
        <v>8.79</v>
      </c>
      <c r="D3944" s="1">
        <f>IFERROR(__xludf.DUMMYFUNCTION("""COMPUTED_VALUE"""),8.3)</f>
        <v>8.3</v>
      </c>
      <c r="E3944" s="1">
        <f>IFERROR(__xludf.DUMMYFUNCTION("""COMPUTED_VALUE"""),8.77)</f>
        <v>8.77</v>
      </c>
      <c r="F3944" s="1">
        <f>IFERROR(__xludf.DUMMYFUNCTION("""COMPUTED_VALUE"""),702009.0)</f>
        <v>702009</v>
      </c>
    </row>
    <row r="3945">
      <c r="A3945" s="2">
        <f>IFERROR(__xludf.DUMMYFUNCTION("""COMPUTED_VALUE"""),44888.66666666667)</f>
        <v>44888.66667</v>
      </c>
      <c r="B3945" s="1">
        <f>IFERROR(__xludf.DUMMYFUNCTION("""COMPUTED_VALUE"""),8.82)</f>
        <v>8.82</v>
      </c>
      <c r="C3945" s="1">
        <f>IFERROR(__xludf.DUMMYFUNCTION("""COMPUTED_VALUE"""),9.17)</f>
        <v>9.17</v>
      </c>
      <c r="D3945" s="1">
        <f>IFERROR(__xludf.DUMMYFUNCTION("""COMPUTED_VALUE"""),8.76)</f>
        <v>8.76</v>
      </c>
      <c r="E3945" s="1">
        <f>IFERROR(__xludf.DUMMYFUNCTION("""COMPUTED_VALUE"""),9.12)</f>
        <v>9.12</v>
      </c>
      <c r="F3945" s="1">
        <f>IFERROR(__xludf.DUMMYFUNCTION("""COMPUTED_VALUE"""),890071.0)</f>
        <v>890071</v>
      </c>
    </row>
    <row r="3946">
      <c r="A3946" s="2">
        <f>IFERROR(__xludf.DUMMYFUNCTION("""COMPUTED_VALUE"""),44890.54513888889)</f>
        <v>44890.54514</v>
      </c>
      <c r="B3946" s="1">
        <f>IFERROR(__xludf.DUMMYFUNCTION("""COMPUTED_VALUE"""),9.19)</f>
        <v>9.19</v>
      </c>
      <c r="C3946" s="1">
        <f>IFERROR(__xludf.DUMMYFUNCTION("""COMPUTED_VALUE"""),9.5)</f>
        <v>9.5</v>
      </c>
      <c r="D3946" s="1">
        <f>IFERROR(__xludf.DUMMYFUNCTION("""COMPUTED_VALUE"""),9.15)</f>
        <v>9.15</v>
      </c>
      <c r="E3946" s="1">
        <f>IFERROR(__xludf.DUMMYFUNCTION("""COMPUTED_VALUE"""),9.39)</f>
        <v>9.39</v>
      </c>
      <c r="F3946" s="1">
        <f>IFERROR(__xludf.DUMMYFUNCTION("""COMPUTED_VALUE"""),641752.0)</f>
        <v>641752</v>
      </c>
    </row>
    <row r="3947">
      <c r="A3947" s="2">
        <f>IFERROR(__xludf.DUMMYFUNCTION("""COMPUTED_VALUE"""),44893.66666666667)</f>
        <v>44893.66667</v>
      </c>
      <c r="B3947" s="1">
        <f>IFERROR(__xludf.DUMMYFUNCTION("""COMPUTED_VALUE"""),9.3)</f>
        <v>9.3</v>
      </c>
      <c r="C3947" s="1">
        <f>IFERROR(__xludf.DUMMYFUNCTION("""COMPUTED_VALUE"""),9.52)</f>
        <v>9.52</v>
      </c>
      <c r="D3947" s="1">
        <f>IFERROR(__xludf.DUMMYFUNCTION("""COMPUTED_VALUE"""),9.19)</f>
        <v>9.19</v>
      </c>
      <c r="E3947" s="1">
        <f>IFERROR(__xludf.DUMMYFUNCTION("""COMPUTED_VALUE"""),9.25)</f>
        <v>9.25</v>
      </c>
      <c r="F3947" s="1">
        <f>IFERROR(__xludf.DUMMYFUNCTION("""COMPUTED_VALUE"""),964749.0)</f>
        <v>964749</v>
      </c>
    </row>
    <row r="3948">
      <c r="A3948" s="2">
        <f>IFERROR(__xludf.DUMMYFUNCTION("""COMPUTED_VALUE"""),44894.66666666667)</f>
        <v>44894.66667</v>
      </c>
      <c r="B3948" s="1">
        <f>IFERROR(__xludf.DUMMYFUNCTION("""COMPUTED_VALUE"""),9.24)</f>
        <v>9.24</v>
      </c>
      <c r="C3948" s="1">
        <f>IFERROR(__xludf.DUMMYFUNCTION("""COMPUTED_VALUE"""),9.49)</f>
        <v>9.49</v>
      </c>
      <c r="D3948" s="1">
        <f>IFERROR(__xludf.DUMMYFUNCTION("""COMPUTED_VALUE"""),8.98)</f>
        <v>8.98</v>
      </c>
      <c r="E3948" s="1">
        <f>IFERROR(__xludf.DUMMYFUNCTION("""COMPUTED_VALUE"""),9.15)</f>
        <v>9.15</v>
      </c>
      <c r="F3948" s="1">
        <f>IFERROR(__xludf.DUMMYFUNCTION("""COMPUTED_VALUE"""),916915.0)</f>
        <v>916915</v>
      </c>
    </row>
    <row r="3949">
      <c r="A3949" s="2">
        <f>IFERROR(__xludf.DUMMYFUNCTION("""COMPUTED_VALUE"""),44895.66666666667)</f>
        <v>44895.66667</v>
      </c>
      <c r="B3949" s="1">
        <f>IFERROR(__xludf.DUMMYFUNCTION("""COMPUTED_VALUE"""),9.14)</f>
        <v>9.14</v>
      </c>
      <c r="C3949" s="1">
        <f>IFERROR(__xludf.DUMMYFUNCTION("""COMPUTED_VALUE"""),9.15)</f>
        <v>9.15</v>
      </c>
      <c r="D3949" s="1">
        <f>IFERROR(__xludf.DUMMYFUNCTION("""COMPUTED_VALUE"""),8.57)</f>
        <v>8.57</v>
      </c>
      <c r="E3949" s="1">
        <f>IFERROR(__xludf.DUMMYFUNCTION("""COMPUTED_VALUE"""),9.02)</f>
        <v>9.02</v>
      </c>
      <c r="F3949" s="1">
        <f>IFERROR(__xludf.DUMMYFUNCTION("""COMPUTED_VALUE"""),1240876.0)</f>
        <v>1240876</v>
      </c>
    </row>
    <row r="3950">
      <c r="A3950" s="2">
        <f>IFERROR(__xludf.DUMMYFUNCTION("""COMPUTED_VALUE"""),44896.66666666667)</f>
        <v>44896.66667</v>
      </c>
      <c r="B3950" s="1">
        <f>IFERROR(__xludf.DUMMYFUNCTION("""COMPUTED_VALUE"""),9.18)</f>
        <v>9.18</v>
      </c>
      <c r="C3950" s="1">
        <f>IFERROR(__xludf.DUMMYFUNCTION("""COMPUTED_VALUE"""),9.32)</f>
        <v>9.32</v>
      </c>
      <c r="D3950" s="1">
        <f>IFERROR(__xludf.DUMMYFUNCTION("""COMPUTED_VALUE"""),8.9)</f>
        <v>8.9</v>
      </c>
      <c r="E3950" s="1">
        <f>IFERROR(__xludf.DUMMYFUNCTION("""COMPUTED_VALUE"""),9.05)</f>
        <v>9.05</v>
      </c>
      <c r="F3950" s="1">
        <f>IFERROR(__xludf.DUMMYFUNCTION("""COMPUTED_VALUE"""),810831.0)</f>
        <v>810831</v>
      </c>
    </row>
    <row r="3951">
      <c r="A3951" s="2">
        <f>IFERROR(__xludf.DUMMYFUNCTION("""COMPUTED_VALUE"""),44897.66666666667)</f>
        <v>44897.66667</v>
      </c>
      <c r="B3951" s="1">
        <f>IFERROR(__xludf.DUMMYFUNCTION("""COMPUTED_VALUE"""),8.87)</f>
        <v>8.87</v>
      </c>
      <c r="C3951" s="1">
        <f>IFERROR(__xludf.DUMMYFUNCTION("""COMPUTED_VALUE"""),8.95)</f>
        <v>8.95</v>
      </c>
      <c r="D3951" s="1">
        <f>IFERROR(__xludf.DUMMYFUNCTION("""COMPUTED_VALUE"""),8.54)</f>
        <v>8.54</v>
      </c>
      <c r="E3951" s="1">
        <f>IFERROR(__xludf.DUMMYFUNCTION("""COMPUTED_VALUE"""),8.67)</f>
        <v>8.67</v>
      </c>
      <c r="F3951" s="1">
        <f>IFERROR(__xludf.DUMMYFUNCTION("""COMPUTED_VALUE"""),843690.0)</f>
        <v>843690</v>
      </c>
    </row>
    <row r="3952">
      <c r="A3952" s="2">
        <f>IFERROR(__xludf.DUMMYFUNCTION("""COMPUTED_VALUE"""),44900.66666666667)</f>
        <v>44900.66667</v>
      </c>
      <c r="B3952" s="1">
        <f>IFERROR(__xludf.DUMMYFUNCTION("""COMPUTED_VALUE"""),8.65)</f>
        <v>8.65</v>
      </c>
      <c r="C3952" s="1">
        <f>IFERROR(__xludf.DUMMYFUNCTION("""COMPUTED_VALUE"""),8.67)</f>
        <v>8.67</v>
      </c>
      <c r="D3952" s="1">
        <f>IFERROR(__xludf.DUMMYFUNCTION("""COMPUTED_VALUE"""),8.26)</f>
        <v>8.26</v>
      </c>
      <c r="E3952" s="1">
        <f>IFERROR(__xludf.DUMMYFUNCTION("""COMPUTED_VALUE"""),8.33)</f>
        <v>8.33</v>
      </c>
      <c r="F3952" s="1">
        <f>IFERROR(__xludf.DUMMYFUNCTION("""COMPUTED_VALUE"""),840992.0)</f>
        <v>840992</v>
      </c>
    </row>
    <row r="3953">
      <c r="A3953" s="2">
        <f>IFERROR(__xludf.DUMMYFUNCTION("""COMPUTED_VALUE"""),44901.66666666667)</f>
        <v>44901.66667</v>
      </c>
      <c r="B3953" s="1">
        <f>IFERROR(__xludf.DUMMYFUNCTION("""COMPUTED_VALUE"""),8.34)</f>
        <v>8.34</v>
      </c>
      <c r="C3953" s="1">
        <f>IFERROR(__xludf.DUMMYFUNCTION("""COMPUTED_VALUE"""),8.64)</f>
        <v>8.64</v>
      </c>
      <c r="D3953" s="1">
        <f>IFERROR(__xludf.DUMMYFUNCTION("""COMPUTED_VALUE"""),8.1)</f>
        <v>8.1</v>
      </c>
      <c r="E3953" s="1">
        <f>IFERROR(__xludf.DUMMYFUNCTION("""COMPUTED_VALUE"""),8.63)</f>
        <v>8.63</v>
      </c>
      <c r="F3953" s="1">
        <f>IFERROR(__xludf.DUMMYFUNCTION("""COMPUTED_VALUE"""),991664.0)</f>
        <v>991664</v>
      </c>
    </row>
    <row r="3954">
      <c r="A3954" s="2">
        <f>IFERROR(__xludf.DUMMYFUNCTION("""COMPUTED_VALUE"""),44902.66666666667)</f>
        <v>44902.66667</v>
      </c>
      <c r="B3954" s="1">
        <f>IFERROR(__xludf.DUMMYFUNCTION("""COMPUTED_VALUE"""),8.47)</f>
        <v>8.47</v>
      </c>
      <c r="C3954" s="1">
        <f>IFERROR(__xludf.DUMMYFUNCTION("""COMPUTED_VALUE"""),8.72)</f>
        <v>8.72</v>
      </c>
      <c r="D3954" s="1">
        <f>IFERROR(__xludf.DUMMYFUNCTION("""COMPUTED_VALUE"""),8.28)</f>
        <v>8.28</v>
      </c>
      <c r="E3954" s="1">
        <f>IFERROR(__xludf.DUMMYFUNCTION("""COMPUTED_VALUE"""),8.61)</f>
        <v>8.61</v>
      </c>
      <c r="F3954" s="1">
        <f>IFERROR(__xludf.DUMMYFUNCTION("""COMPUTED_VALUE"""),667360.0)</f>
        <v>667360</v>
      </c>
    </row>
    <row r="3955">
      <c r="A3955" s="2">
        <f>IFERROR(__xludf.DUMMYFUNCTION("""COMPUTED_VALUE"""),44903.66666666667)</f>
        <v>44903.66667</v>
      </c>
      <c r="B3955" s="1">
        <f>IFERROR(__xludf.DUMMYFUNCTION("""COMPUTED_VALUE"""),8.63)</f>
        <v>8.63</v>
      </c>
      <c r="C3955" s="1">
        <f>IFERROR(__xludf.DUMMYFUNCTION("""COMPUTED_VALUE"""),9.0)</f>
        <v>9</v>
      </c>
      <c r="D3955" s="1">
        <f>IFERROR(__xludf.DUMMYFUNCTION("""COMPUTED_VALUE"""),8.51)</f>
        <v>8.51</v>
      </c>
      <c r="E3955" s="1">
        <f>IFERROR(__xludf.DUMMYFUNCTION("""COMPUTED_VALUE"""),8.56)</f>
        <v>8.56</v>
      </c>
      <c r="F3955" s="1">
        <f>IFERROR(__xludf.DUMMYFUNCTION("""COMPUTED_VALUE"""),1030782.0)</f>
        <v>1030782</v>
      </c>
    </row>
    <row r="3956">
      <c r="A3956" s="2">
        <f>IFERROR(__xludf.DUMMYFUNCTION("""COMPUTED_VALUE"""),44904.66666666667)</f>
        <v>44904.66667</v>
      </c>
      <c r="B3956" s="1">
        <f>IFERROR(__xludf.DUMMYFUNCTION("""COMPUTED_VALUE"""),8.54)</f>
        <v>8.54</v>
      </c>
      <c r="C3956" s="1">
        <f>IFERROR(__xludf.DUMMYFUNCTION("""COMPUTED_VALUE"""),8.65)</f>
        <v>8.65</v>
      </c>
      <c r="D3956" s="1">
        <f>IFERROR(__xludf.DUMMYFUNCTION("""COMPUTED_VALUE"""),8.33)</f>
        <v>8.33</v>
      </c>
      <c r="E3956" s="1">
        <f>IFERROR(__xludf.DUMMYFUNCTION("""COMPUTED_VALUE"""),8.4)</f>
        <v>8.4</v>
      </c>
      <c r="F3956" s="1">
        <f>IFERROR(__xludf.DUMMYFUNCTION("""COMPUTED_VALUE"""),662460.0)</f>
        <v>662460</v>
      </c>
    </row>
    <row r="3957">
      <c r="A3957" s="2">
        <f>IFERROR(__xludf.DUMMYFUNCTION("""COMPUTED_VALUE"""),44907.66666666667)</f>
        <v>44907.66667</v>
      </c>
      <c r="B3957" s="1">
        <f>IFERROR(__xludf.DUMMYFUNCTION("""COMPUTED_VALUE"""),8.52)</f>
        <v>8.52</v>
      </c>
      <c r="C3957" s="1">
        <f>IFERROR(__xludf.DUMMYFUNCTION("""COMPUTED_VALUE"""),8.95)</f>
        <v>8.95</v>
      </c>
      <c r="D3957" s="1">
        <f>IFERROR(__xludf.DUMMYFUNCTION("""COMPUTED_VALUE"""),8.43)</f>
        <v>8.43</v>
      </c>
      <c r="E3957" s="1">
        <f>IFERROR(__xludf.DUMMYFUNCTION("""COMPUTED_VALUE"""),8.92)</f>
        <v>8.92</v>
      </c>
      <c r="F3957" s="1">
        <f>IFERROR(__xludf.DUMMYFUNCTION("""COMPUTED_VALUE"""),725283.0)</f>
        <v>725283</v>
      </c>
    </row>
    <row r="3958">
      <c r="A3958" s="2">
        <f>IFERROR(__xludf.DUMMYFUNCTION("""COMPUTED_VALUE"""),44908.66666666667)</f>
        <v>44908.66667</v>
      </c>
      <c r="B3958" s="1">
        <f>IFERROR(__xludf.DUMMYFUNCTION("""COMPUTED_VALUE"""),9.27)</f>
        <v>9.27</v>
      </c>
      <c r="C3958" s="1">
        <f>IFERROR(__xludf.DUMMYFUNCTION("""COMPUTED_VALUE"""),9.3)</f>
        <v>9.3</v>
      </c>
      <c r="D3958" s="1">
        <f>IFERROR(__xludf.DUMMYFUNCTION("""COMPUTED_VALUE"""),8.88)</f>
        <v>8.88</v>
      </c>
      <c r="E3958" s="1">
        <f>IFERROR(__xludf.DUMMYFUNCTION("""COMPUTED_VALUE"""),9.0)</f>
        <v>9</v>
      </c>
      <c r="F3958" s="1">
        <f>IFERROR(__xludf.DUMMYFUNCTION("""COMPUTED_VALUE"""),839860.0)</f>
        <v>839860</v>
      </c>
    </row>
    <row r="3959">
      <c r="A3959" s="2">
        <f>IFERROR(__xludf.DUMMYFUNCTION("""COMPUTED_VALUE"""),44909.66666666667)</f>
        <v>44909.66667</v>
      </c>
      <c r="B3959" s="1">
        <f>IFERROR(__xludf.DUMMYFUNCTION("""COMPUTED_VALUE"""),9.05)</f>
        <v>9.05</v>
      </c>
      <c r="C3959" s="1">
        <f>IFERROR(__xludf.DUMMYFUNCTION("""COMPUTED_VALUE"""),9.15)</f>
        <v>9.15</v>
      </c>
      <c r="D3959" s="1">
        <f>IFERROR(__xludf.DUMMYFUNCTION("""COMPUTED_VALUE"""),8.79)</f>
        <v>8.79</v>
      </c>
      <c r="E3959" s="1">
        <f>IFERROR(__xludf.DUMMYFUNCTION("""COMPUTED_VALUE"""),9.0)</f>
        <v>9</v>
      </c>
      <c r="F3959" s="1">
        <f>IFERROR(__xludf.DUMMYFUNCTION("""COMPUTED_VALUE"""),1012105.0)</f>
        <v>1012105</v>
      </c>
    </row>
    <row r="3960">
      <c r="A3960" s="2">
        <f>IFERROR(__xludf.DUMMYFUNCTION("""COMPUTED_VALUE"""),44910.66666666667)</f>
        <v>44910.66667</v>
      </c>
      <c r="B3960" s="1">
        <f>IFERROR(__xludf.DUMMYFUNCTION("""COMPUTED_VALUE"""),8.83)</f>
        <v>8.83</v>
      </c>
      <c r="C3960" s="1">
        <f>IFERROR(__xludf.DUMMYFUNCTION("""COMPUTED_VALUE"""),8.87)</f>
        <v>8.87</v>
      </c>
      <c r="D3960" s="1">
        <f>IFERROR(__xludf.DUMMYFUNCTION("""COMPUTED_VALUE"""),7.89)</f>
        <v>7.89</v>
      </c>
      <c r="E3960" s="1">
        <f>IFERROR(__xludf.DUMMYFUNCTION("""COMPUTED_VALUE"""),8.06)</f>
        <v>8.06</v>
      </c>
      <c r="F3960" s="1">
        <f>IFERROR(__xludf.DUMMYFUNCTION("""COMPUTED_VALUE"""),1661682.0)</f>
        <v>1661682</v>
      </c>
    </row>
    <row r="3961">
      <c r="A3961" s="2">
        <f>IFERROR(__xludf.DUMMYFUNCTION("""COMPUTED_VALUE"""),44911.66666666667)</f>
        <v>44911.66667</v>
      </c>
      <c r="B3961" s="1">
        <f>IFERROR(__xludf.DUMMYFUNCTION("""COMPUTED_VALUE"""),8.02)</f>
        <v>8.02</v>
      </c>
      <c r="C3961" s="1">
        <f>IFERROR(__xludf.DUMMYFUNCTION("""COMPUTED_VALUE"""),8.24)</f>
        <v>8.24</v>
      </c>
      <c r="D3961" s="1">
        <f>IFERROR(__xludf.DUMMYFUNCTION("""COMPUTED_VALUE"""),7.88)</f>
        <v>7.88</v>
      </c>
      <c r="E3961" s="1">
        <f>IFERROR(__xludf.DUMMYFUNCTION("""COMPUTED_VALUE"""),8.07)</f>
        <v>8.07</v>
      </c>
      <c r="F3961" s="1">
        <f>IFERROR(__xludf.DUMMYFUNCTION("""COMPUTED_VALUE"""),1328133.0)</f>
        <v>1328133</v>
      </c>
    </row>
    <row r="3962">
      <c r="A3962" s="2">
        <f>IFERROR(__xludf.DUMMYFUNCTION("""COMPUTED_VALUE"""),44914.66666666667)</f>
        <v>44914.66667</v>
      </c>
      <c r="B3962" s="1">
        <f>IFERROR(__xludf.DUMMYFUNCTION("""COMPUTED_VALUE"""),8.07)</f>
        <v>8.07</v>
      </c>
      <c r="C3962" s="1">
        <f>IFERROR(__xludf.DUMMYFUNCTION("""COMPUTED_VALUE"""),8.14)</f>
        <v>8.14</v>
      </c>
      <c r="D3962" s="1">
        <f>IFERROR(__xludf.DUMMYFUNCTION("""COMPUTED_VALUE"""),7.75)</f>
        <v>7.75</v>
      </c>
      <c r="E3962" s="1">
        <f>IFERROR(__xludf.DUMMYFUNCTION("""COMPUTED_VALUE"""),7.83)</f>
        <v>7.83</v>
      </c>
      <c r="F3962" s="1">
        <f>IFERROR(__xludf.DUMMYFUNCTION("""COMPUTED_VALUE"""),1134329.0)</f>
        <v>1134329</v>
      </c>
    </row>
    <row r="3963">
      <c r="A3963" s="2">
        <f>IFERROR(__xludf.DUMMYFUNCTION("""COMPUTED_VALUE"""),44915.66666666667)</f>
        <v>44915.66667</v>
      </c>
      <c r="B3963" s="1">
        <f>IFERROR(__xludf.DUMMYFUNCTION("""COMPUTED_VALUE"""),8.33)</f>
        <v>8.33</v>
      </c>
      <c r="C3963" s="1">
        <f>IFERROR(__xludf.DUMMYFUNCTION("""COMPUTED_VALUE"""),8.59)</f>
        <v>8.59</v>
      </c>
      <c r="D3963" s="1">
        <f>IFERROR(__xludf.DUMMYFUNCTION("""COMPUTED_VALUE"""),8.26)</f>
        <v>8.26</v>
      </c>
      <c r="E3963" s="1">
        <f>IFERROR(__xludf.DUMMYFUNCTION("""COMPUTED_VALUE"""),8.33)</f>
        <v>8.33</v>
      </c>
      <c r="F3963" s="1">
        <f>IFERROR(__xludf.DUMMYFUNCTION("""COMPUTED_VALUE"""),3338572.0)</f>
        <v>3338572</v>
      </c>
    </row>
    <row r="3964">
      <c r="A3964" s="2">
        <f>IFERROR(__xludf.DUMMYFUNCTION("""COMPUTED_VALUE"""),44916.66666666667)</f>
        <v>44916.66667</v>
      </c>
      <c r="B3964" s="1">
        <f>IFERROR(__xludf.DUMMYFUNCTION("""COMPUTED_VALUE"""),8.4)</f>
        <v>8.4</v>
      </c>
      <c r="C3964" s="1">
        <f>IFERROR(__xludf.DUMMYFUNCTION("""COMPUTED_VALUE"""),8.53)</f>
        <v>8.53</v>
      </c>
      <c r="D3964" s="1">
        <f>IFERROR(__xludf.DUMMYFUNCTION("""COMPUTED_VALUE"""),8.27)</f>
        <v>8.27</v>
      </c>
      <c r="E3964" s="1">
        <f>IFERROR(__xludf.DUMMYFUNCTION("""COMPUTED_VALUE"""),8.39)</f>
        <v>8.39</v>
      </c>
      <c r="F3964" s="1">
        <f>IFERROR(__xludf.DUMMYFUNCTION("""COMPUTED_VALUE"""),8430988.0)</f>
        <v>8430988</v>
      </c>
    </row>
    <row r="3965">
      <c r="A3965" s="2">
        <f>IFERROR(__xludf.DUMMYFUNCTION("""COMPUTED_VALUE"""),44917.66666666667)</f>
        <v>44917.66667</v>
      </c>
      <c r="B3965" s="1">
        <f>IFERROR(__xludf.DUMMYFUNCTION("""COMPUTED_VALUE"""),8.31)</f>
        <v>8.31</v>
      </c>
      <c r="C3965" s="1">
        <f>IFERROR(__xludf.DUMMYFUNCTION("""COMPUTED_VALUE"""),8.34)</f>
        <v>8.34</v>
      </c>
      <c r="D3965" s="1">
        <f>IFERROR(__xludf.DUMMYFUNCTION("""COMPUTED_VALUE"""),7.95)</f>
        <v>7.95</v>
      </c>
      <c r="E3965" s="1">
        <f>IFERROR(__xludf.DUMMYFUNCTION("""COMPUTED_VALUE"""),8.2)</f>
        <v>8.2</v>
      </c>
      <c r="F3965" s="1">
        <f>IFERROR(__xludf.DUMMYFUNCTION("""COMPUTED_VALUE"""),1299542.0)</f>
        <v>1299542</v>
      </c>
    </row>
    <row r="3966">
      <c r="A3966" s="2">
        <f>IFERROR(__xludf.DUMMYFUNCTION("""COMPUTED_VALUE"""),44918.66666666667)</f>
        <v>44918.66667</v>
      </c>
      <c r="B3966" s="1">
        <f>IFERROR(__xludf.DUMMYFUNCTION("""COMPUTED_VALUE"""),8.2)</f>
        <v>8.2</v>
      </c>
      <c r="C3966" s="1">
        <f>IFERROR(__xludf.DUMMYFUNCTION("""COMPUTED_VALUE"""),8.24)</f>
        <v>8.24</v>
      </c>
      <c r="D3966" s="1">
        <f>IFERROR(__xludf.DUMMYFUNCTION("""COMPUTED_VALUE"""),8.01)</f>
        <v>8.01</v>
      </c>
      <c r="E3966" s="1">
        <f>IFERROR(__xludf.DUMMYFUNCTION("""COMPUTED_VALUE"""),8.22)</f>
        <v>8.22</v>
      </c>
      <c r="F3966" s="1">
        <f>IFERROR(__xludf.DUMMYFUNCTION("""COMPUTED_VALUE"""),966232.0)</f>
        <v>966232</v>
      </c>
    </row>
    <row r="3967">
      <c r="A3967" s="2">
        <f>IFERROR(__xludf.DUMMYFUNCTION("""COMPUTED_VALUE"""),44922.66666666667)</f>
        <v>44922.66667</v>
      </c>
      <c r="B3967" s="1">
        <f>IFERROR(__xludf.DUMMYFUNCTION("""COMPUTED_VALUE"""),8.25)</f>
        <v>8.25</v>
      </c>
      <c r="C3967" s="1">
        <f>IFERROR(__xludf.DUMMYFUNCTION("""COMPUTED_VALUE"""),8.4)</f>
        <v>8.4</v>
      </c>
      <c r="D3967" s="1">
        <f>IFERROR(__xludf.DUMMYFUNCTION("""COMPUTED_VALUE"""),8.22)</f>
        <v>8.22</v>
      </c>
      <c r="E3967" s="1">
        <f>IFERROR(__xludf.DUMMYFUNCTION("""COMPUTED_VALUE"""),8.29)</f>
        <v>8.29</v>
      </c>
      <c r="F3967" s="1">
        <f>IFERROR(__xludf.DUMMYFUNCTION("""COMPUTED_VALUE"""),790164.0)</f>
        <v>790164</v>
      </c>
    </row>
    <row r="3968">
      <c r="A3968" s="2">
        <f>IFERROR(__xludf.DUMMYFUNCTION("""COMPUTED_VALUE"""),44923.66666666667)</f>
        <v>44923.66667</v>
      </c>
      <c r="B3968" s="1">
        <f>IFERROR(__xludf.DUMMYFUNCTION("""COMPUTED_VALUE"""),8.24)</f>
        <v>8.24</v>
      </c>
      <c r="C3968" s="1">
        <f>IFERROR(__xludf.DUMMYFUNCTION("""COMPUTED_VALUE"""),8.44)</f>
        <v>8.44</v>
      </c>
      <c r="D3968" s="1">
        <f>IFERROR(__xludf.DUMMYFUNCTION("""COMPUTED_VALUE"""),8.06)</f>
        <v>8.06</v>
      </c>
      <c r="E3968" s="1">
        <f>IFERROR(__xludf.DUMMYFUNCTION("""COMPUTED_VALUE"""),8.06)</f>
        <v>8.06</v>
      </c>
      <c r="F3968" s="1">
        <f>IFERROR(__xludf.DUMMYFUNCTION("""COMPUTED_VALUE"""),899849.0)</f>
        <v>899849</v>
      </c>
    </row>
    <row r="3969">
      <c r="A3969" s="2">
        <f>IFERROR(__xludf.DUMMYFUNCTION("""COMPUTED_VALUE"""),44924.66666666667)</f>
        <v>44924.66667</v>
      </c>
      <c r="B3969" s="1">
        <f>IFERROR(__xludf.DUMMYFUNCTION("""COMPUTED_VALUE"""),8.18)</f>
        <v>8.18</v>
      </c>
      <c r="C3969" s="1">
        <f>IFERROR(__xludf.DUMMYFUNCTION("""COMPUTED_VALUE"""),8.33)</f>
        <v>8.33</v>
      </c>
      <c r="D3969" s="1">
        <f>IFERROR(__xludf.DUMMYFUNCTION("""COMPUTED_VALUE"""),8.11)</f>
        <v>8.11</v>
      </c>
      <c r="E3969" s="1">
        <f>IFERROR(__xludf.DUMMYFUNCTION("""COMPUTED_VALUE"""),8.19)</f>
        <v>8.19</v>
      </c>
      <c r="F3969" s="1">
        <f>IFERROR(__xludf.DUMMYFUNCTION("""COMPUTED_VALUE"""),864433.0)</f>
        <v>864433</v>
      </c>
    </row>
    <row r="3970">
      <c r="A3970" s="2">
        <f>IFERROR(__xludf.DUMMYFUNCTION("""COMPUTED_VALUE"""),44925.66666666667)</f>
        <v>44925.66667</v>
      </c>
      <c r="B3970" s="1">
        <f>IFERROR(__xludf.DUMMYFUNCTION("""COMPUTED_VALUE"""),8.05)</f>
        <v>8.05</v>
      </c>
      <c r="C3970" s="1">
        <f>IFERROR(__xludf.DUMMYFUNCTION("""COMPUTED_VALUE"""),8.28)</f>
        <v>8.28</v>
      </c>
      <c r="D3970" s="1">
        <f>IFERROR(__xludf.DUMMYFUNCTION("""COMPUTED_VALUE"""),7.95)</f>
        <v>7.95</v>
      </c>
      <c r="E3970" s="1">
        <f>IFERROR(__xludf.DUMMYFUNCTION("""COMPUTED_VALUE"""),8.21)</f>
        <v>8.21</v>
      </c>
      <c r="F3970" s="1">
        <f>IFERROR(__xludf.DUMMYFUNCTION("""COMPUTED_VALUE"""),639186.0)</f>
        <v>639186</v>
      </c>
    </row>
    <row r="3971">
      <c r="A3971" s="2">
        <f>IFERROR(__xludf.DUMMYFUNCTION("""COMPUTED_VALUE"""),44929.66666666667)</f>
        <v>44929.66667</v>
      </c>
      <c r="B3971" s="1">
        <f>IFERROR(__xludf.DUMMYFUNCTION("""COMPUTED_VALUE"""),8.31)</f>
        <v>8.31</v>
      </c>
      <c r="C3971" s="1">
        <f>IFERROR(__xludf.DUMMYFUNCTION("""COMPUTED_VALUE"""),8.53)</f>
        <v>8.53</v>
      </c>
      <c r="D3971" s="1">
        <f>IFERROR(__xludf.DUMMYFUNCTION("""COMPUTED_VALUE"""),8.19)</f>
        <v>8.19</v>
      </c>
      <c r="E3971" s="1">
        <f>IFERROR(__xludf.DUMMYFUNCTION("""COMPUTED_VALUE"""),8.39)</f>
        <v>8.39</v>
      </c>
      <c r="F3971" s="1">
        <f>IFERROR(__xludf.DUMMYFUNCTION("""COMPUTED_VALUE"""),815179.0)</f>
        <v>815179</v>
      </c>
    </row>
    <row r="3972">
      <c r="A3972" s="2">
        <f>IFERROR(__xludf.DUMMYFUNCTION("""COMPUTED_VALUE"""),44930.66666666667)</f>
        <v>44930.66667</v>
      </c>
      <c r="B3972" s="1">
        <f>IFERROR(__xludf.DUMMYFUNCTION("""COMPUTED_VALUE"""),8.46)</f>
        <v>8.46</v>
      </c>
      <c r="C3972" s="1">
        <f>IFERROR(__xludf.DUMMYFUNCTION("""COMPUTED_VALUE"""),8.77)</f>
        <v>8.77</v>
      </c>
      <c r="D3972" s="1">
        <f>IFERROR(__xludf.DUMMYFUNCTION("""COMPUTED_VALUE"""),8.21)</f>
        <v>8.21</v>
      </c>
      <c r="E3972" s="1">
        <f>IFERROR(__xludf.DUMMYFUNCTION("""COMPUTED_VALUE"""),8.23)</f>
        <v>8.23</v>
      </c>
      <c r="F3972" s="1">
        <f>IFERROR(__xludf.DUMMYFUNCTION("""COMPUTED_VALUE"""),1449568.0)</f>
        <v>1449568</v>
      </c>
    </row>
    <row r="3973">
      <c r="A3973" s="2">
        <f>IFERROR(__xludf.DUMMYFUNCTION("""COMPUTED_VALUE"""),44931.66666666667)</f>
        <v>44931.66667</v>
      </c>
      <c r="B3973" s="1">
        <f>IFERROR(__xludf.DUMMYFUNCTION("""COMPUTED_VALUE"""),8.15)</f>
        <v>8.15</v>
      </c>
      <c r="C3973" s="1">
        <f>IFERROR(__xludf.DUMMYFUNCTION("""COMPUTED_VALUE"""),8.16)</f>
        <v>8.16</v>
      </c>
      <c r="D3973" s="1">
        <f>IFERROR(__xludf.DUMMYFUNCTION("""COMPUTED_VALUE"""),7.96)</f>
        <v>7.96</v>
      </c>
      <c r="E3973" s="1">
        <f>IFERROR(__xludf.DUMMYFUNCTION("""COMPUTED_VALUE"""),8.03)</f>
        <v>8.03</v>
      </c>
      <c r="F3973" s="1">
        <f>IFERROR(__xludf.DUMMYFUNCTION("""COMPUTED_VALUE"""),1097826.0)</f>
        <v>1097826</v>
      </c>
    </row>
    <row r="3974">
      <c r="A3974" s="2">
        <f>IFERROR(__xludf.DUMMYFUNCTION("""COMPUTED_VALUE"""),44932.66666666667)</f>
        <v>44932.66667</v>
      </c>
      <c r="B3974" s="1">
        <f>IFERROR(__xludf.DUMMYFUNCTION("""COMPUTED_VALUE"""),8.15)</f>
        <v>8.15</v>
      </c>
      <c r="C3974" s="1">
        <f>IFERROR(__xludf.DUMMYFUNCTION("""COMPUTED_VALUE"""),8.51)</f>
        <v>8.51</v>
      </c>
      <c r="D3974" s="1">
        <f>IFERROR(__xludf.DUMMYFUNCTION("""COMPUTED_VALUE"""),8.05)</f>
        <v>8.05</v>
      </c>
      <c r="E3974" s="1">
        <f>IFERROR(__xludf.DUMMYFUNCTION("""COMPUTED_VALUE"""),8.44)</f>
        <v>8.44</v>
      </c>
      <c r="F3974" s="1">
        <f>IFERROR(__xludf.DUMMYFUNCTION("""COMPUTED_VALUE"""),1033050.0)</f>
        <v>1033050</v>
      </c>
    </row>
    <row r="3975">
      <c r="A3975" s="2">
        <f>IFERROR(__xludf.DUMMYFUNCTION("""COMPUTED_VALUE"""),44935.66666666667)</f>
        <v>44935.66667</v>
      </c>
      <c r="B3975" s="1">
        <f>IFERROR(__xludf.DUMMYFUNCTION("""COMPUTED_VALUE"""),8.6)</f>
        <v>8.6</v>
      </c>
      <c r="C3975" s="1">
        <f>IFERROR(__xludf.DUMMYFUNCTION("""COMPUTED_VALUE"""),9.28)</f>
        <v>9.28</v>
      </c>
      <c r="D3975" s="1">
        <f>IFERROR(__xludf.DUMMYFUNCTION("""COMPUTED_VALUE"""),8.47)</f>
        <v>8.47</v>
      </c>
      <c r="E3975" s="1">
        <f>IFERROR(__xludf.DUMMYFUNCTION("""COMPUTED_VALUE"""),8.48)</f>
        <v>8.48</v>
      </c>
      <c r="F3975" s="1">
        <f>IFERROR(__xludf.DUMMYFUNCTION("""COMPUTED_VALUE"""),2621575.0)</f>
        <v>2621575</v>
      </c>
    </row>
    <row r="3976">
      <c r="A3976" s="2">
        <f>IFERROR(__xludf.DUMMYFUNCTION("""COMPUTED_VALUE"""),44936.66666666667)</f>
        <v>44936.66667</v>
      </c>
      <c r="B3976" s="1">
        <f>IFERROR(__xludf.DUMMYFUNCTION("""COMPUTED_VALUE"""),8.1)</f>
        <v>8.1</v>
      </c>
      <c r="C3976" s="1">
        <f>IFERROR(__xludf.DUMMYFUNCTION("""COMPUTED_VALUE"""),8.15)</f>
        <v>8.15</v>
      </c>
      <c r="D3976" s="1">
        <f>IFERROR(__xludf.DUMMYFUNCTION("""COMPUTED_VALUE"""),7.51)</f>
        <v>7.51</v>
      </c>
      <c r="E3976" s="1">
        <f>IFERROR(__xludf.DUMMYFUNCTION("""COMPUTED_VALUE"""),7.84)</f>
        <v>7.84</v>
      </c>
      <c r="F3976" s="1">
        <f>IFERROR(__xludf.DUMMYFUNCTION("""COMPUTED_VALUE"""),4158299.0)</f>
        <v>4158299</v>
      </c>
    </row>
    <row r="3977">
      <c r="A3977" s="2">
        <f>IFERROR(__xludf.DUMMYFUNCTION("""COMPUTED_VALUE"""),44937.66666666667)</f>
        <v>44937.66667</v>
      </c>
      <c r="B3977" s="1">
        <f>IFERROR(__xludf.DUMMYFUNCTION("""COMPUTED_VALUE"""),7.83)</f>
        <v>7.83</v>
      </c>
      <c r="C3977" s="1">
        <f>IFERROR(__xludf.DUMMYFUNCTION("""COMPUTED_VALUE"""),7.87)</f>
        <v>7.87</v>
      </c>
      <c r="D3977" s="1">
        <f>IFERROR(__xludf.DUMMYFUNCTION("""COMPUTED_VALUE"""),7.4)</f>
        <v>7.4</v>
      </c>
      <c r="E3977" s="1">
        <f>IFERROR(__xludf.DUMMYFUNCTION("""COMPUTED_VALUE"""),7.56)</f>
        <v>7.56</v>
      </c>
      <c r="F3977" s="1">
        <f>IFERROR(__xludf.DUMMYFUNCTION("""COMPUTED_VALUE"""),2121399.0)</f>
        <v>2121399</v>
      </c>
    </row>
    <row r="3978">
      <c r="A3978" s="2">
        <f>IFERROR(__xludf.DUMMYFUNCTION("""COMPUTED_VALUE"""),44938.66666666667)</f>
        <v>44938.66667</v>
      </c>
      <c r="B3978" s="1">
        <f>IFERROR(__xludf.DUMMYFUNCTION("""COMPUTED_VALUE"""),7.65)</f>
        <v>7.65</v>
      </c>
      <c r="C3978" s="1">
        <f>IFERROR(__xludf.DUMMYFUNCTION("""COMPUTED_VALUE"""),8.08)</f>
        <v>8.08</v>
      </c>
      <c r="D3978" s="1">
        <f>IFERROR(__xludf.DUMMYFUNCTION("""COMPUTED_VALUE"""),7.57)</f>
        <v>7.57</v>
      </c>
      <c r="E3978" s="1">
        <f>IFERROR(__xludf.DUMMYFUNCTION("""COMPUTED_VALUE"""),8.05)</f>
        <v>8.05</v>
      </c>
      <c r="F3978" s="1">
        <f>IFERROR(__xludf.DUMMYFUNCTION("""COMPUTED_VALUE"""),1080338.0)</f>
        <v>1080338</v>
      </c>
    </row>
    <row r="3979">
      <c r="A3979" s="2">
        <f>IFERROR(__xludf.DUMMYFUNCTION("""COMPUTED_VALUE"""),44939.66666666667)</f>
        <v>44939.66667</v>
      </c>
      <c r="B3979" s="1">
        <f>IFERROR(__xludf.DUMMYFUNCTION("""COMPUTED_VALUE"""),7.96)</f>
        <v>7.96</v>
      </c>
      <c r="C3979" s="1">
        <f>IFERROR(__xludf.DUMMYFUNCTION("""COMPUTED_VALUE"""),8.21)</f>
        <v>8.21</v>
      </c>
      <c r="D3979" s="1">
        <f>IFERROR(__xludf.DUMMYFUNCTION("""COMPUTED_VALUE"""),7.96)</f>
        <v>7.96</v>
      </c>
      <c r="E3979" s="1">
        <f>IFERROR(__xludf.DUMMYFUNCTION("""COMPUTED_VALUE"""),8.06)</f>
        <v>8.06</v>
      </c>
      <c r="F3979" s="1">
        <f>IFERROR(__xludf.DUMMYFUNCTION("""COMPUTED_VALUE"""),667993.0)</f>
        <v>667993</v>
      </c>
    </row>
    <row r="3980">
      <c r="A3980" s="2">
        <f>IFERROR(__xludf.DUMMYFUNCTION("""COMPUTED_VALUE"""),44943.66666666667)</f>
        <v>44943.66667</v>
      </c>
      <c r="B3980" s="1">
        <f>IFERROR(__xludf.DUMMYFUNCTION("""COMPUTED_VALUE"""),8.06)</f>
        <v>8.06</v>
      </c>
      <c r="C3980" s="1">
        <f>IFERROR(__xludf.DUMMYFUNCTION("""COMPUTED_VALUE"""),8.49)</f>
        <v>8.49</v>
      </c>
      <c r="D3980" s="1">
        <f>IFERROR(__xludf.DUMMYFUNCTION("""COMPUTED_VALUE"""),8.02)</f>
        <v>8.02</v>
      </c>
      <c r="E3980" s="1">
        <f>IFERROR(__xludf.DUMMYFUNCTION("""COMPUTED_VALUE"""),8.48)</f>
        <v>8.48</v>
      </c>
      <c r="F3980" s="1">
        <f>IFERROR(__xludf.DUMMYFUNCTION("""COMPUTED_VALUE"""),1169808.0)</f>
        <v>1169808</v>
      </c>
    </row>
    <row r="3981">
      <c r="A3981" s="2">
        <f>IFERROR(__xludf.DUMMYFUNCTION("""COMPUTED_VALUE"""),44944.66666666667)</f>
        <v>44944.66667</v>
      </c>
      <c r="B3981" s="1">
        <f>IFERROR(__xludf.DUMMYFUNCTION("""COMPUTED_VALUE"""),8.6)</f>
        <v>8.6</v>
      </c>
      <c r="C3981" s="1">
        <f>IFERROR(__xludf.DUMMYFUNCTION("""COMPUTED_VALUE"""),8.68)</f>
        <v>8.68</v>
      </c>
      <c r="D3981" s="1">
        <f>IFERROR(__xludf.DUMMYFUNCTION("""COMPUTED_VALUE"""),7.86)</f>
        <v>7.86</v>
      </c>
      <c r="E3981" s="1">
        <f>IFERROR(__xludf.DUMMYFUNCTION("""COMPUTED_VALUE"""),7.89)</f>
        <v>7.89</v>
      </c>
      <c r="F3981" s="1">
        <f>IFERROR(__xludf.DUMMYFUNCTION("""COMPUTED_VALUE"""),1537605.0)</f>
        <v>1537605</v>
      </c>
    </row>
    <row r="3982">
      <c r="A3982" s="2">
        <f>IFERROR(__xludf.DUMMYFUNCTION("""COMPUTED_VALUE"""),44945.66666666667)</f>
        <v>44945.66667</v>
      </c>
      <c r="B3982" s="1">
        <f>IFERROR(__xludf.DUMMYFUNCTION("""COMPUTED_VALUE"""),7.65)</f>
        <v>7.65</v>
      </c>
      <c r="C3982" s="1">
        <f>IFERROR(__xludf.DUMMYFUNCTION("""COMPUTED_VALUE"""),7.68)</f>
        <v>7.68</v>
      </c>
      <c r="D3982" s="1">
        <f>IFERROR(__xludf.DUMMYFUNCTION("""COMPUTED_VALUE"""),6.9)</f>
        <v>6.9</v>
      </c>
      <c r="E3982" s="1">
        <f>IFERROR(__xludf.DUMMYFUNCTION("""COMPUTED_VALUE"""),7.09)</f>
        <v>7.09</v>
      </c>
      <c r="F3982" s="1">
        <f>IFERROR(__xludf.DUMMYFUNCTION("""COMPUTED_VALUE"""),4910270.0)</f>
        <v>4910270</v>
      </c>
    </row>
    <row r="3983">
      <c r="A3983" s="2">
        <f>IFERROR(__xludf.DUMMYFUNCTION("""COMPUTED_VALUE"""),44946.66666666667)</f>
        <v>44946.66667</v>
      </c>
      <c r="B3983" s="1">
        <f>IFERROR(__xludf.DUMMYFUNCTION("""COMPUTED_VALUE"""),7.15)</f>
        <v>7.15</v>
      </c>
      <c r="C3983" s="1">
        <f>IFERROR(__xludf.DUMMYFUNCTION("""COMPUTED_VALUE"""),7.29)</f>
        <v>7.29</v>
      </c>
      <c r="D3983" s="1">
        <f>IFERROR(__xludf.DUMMYFUNCTION("""COMPUTED_VALUE"""),7.09)</f>
        <v>7.09</v>
      </c>
      <c r="E3983" s="1">
        <f>IFERROR(__xludf.DUMMYFUNCTION("""COMPUTED_VALUE"""),7.2)</f>
        <v>7.2</v>
      </c>
      <c r="F3983" s="1">
        <f>IFERROR(__xludf.DUMMYFUNCTION("""COMPUTED_VALUE"""),1398970.0)</f>
        <v>1398970</v>
      </c>
    </row>
    <row r="3984">
      <c r="A3984" s="2">
        <f>IFERROR(__xludf.DUMMYFUNCTION("""COMPUTED_VALUE"""),44949.66666666667)</f>
        <v>44949.66667</v>
      </c>
      <c r="B3984" s="1">
        <f>IFERROR(__xludf.DUMMYFUNCTION("""COMPUTED_VALUE"""),7.3)</f>
        <v>7.3</v>
      </c>
      <c r="C3984" s="1">
        <f>IFERROR(__xludf.DUMMYFUNCTION("""COMPUTED_VALUE"""),7.49)</f>
        <v>7.49</v>
      </c>
      <c r="D3984" s="1">
        <f>IFERROR(__xludf.DUMMYFUNCTION("""COMPUTED_VALUE"""),7.15)</f>
        <v>7.15</v>
      </c>
      <c r="E3984" s="1">
        <f>IFERROR(__xludf.DUMMYFUNCTION("""COMPUTED_VALUE"""),7.38)</f>
        <v>7.38</v>
      </c>
      <c r="F3984" s="1">
        <f>IFERROR(__xludf.DUMMYFUNCTION("""COMPUTED_VALUE"""),1182262.0)</f>
        <v>1182262</v>
      </c>
    </row>
    <row r="3985">
      <c r="A3985" s="2">
        <f>IFERROR(__xludf.DUMMYFUNCTION("""COMPUTED_VALUE"""),44950.66666666667)</f>
        <v>44950.66667</v>
      </c>
      <c r="B3985" s="1">
        <f>IFERROR(__xludf.DUMMYFUNCTION("""COMPUTED_VALUE"""),7.32)</f>
        <v>7.32</v>
      </c>
      <c r="C3985" s="1">
        <f>IFERROR(__xludf.DUMMYFUNCTION("""COMPUTED_VALUE"""),7.85)</f>
        <v>7.85</v>
      </c>
      <c r="D3985" s="1">
        <f>IFERROR(__xludf.DUMMYFUNCTION("""COMPUTED_VALUE"""),7.24)</f>
        <v>7.24</v>
      </c>
      <c r="E3985" s="1">
        <f>IFERROR(__xludf.DUMMYFUNCTION("""COMPUTED_VALUE"""),7.83)</f>
        <v>7.83</v>
      </c>
      <c r="F3985" s="1">
        <f>IFERROR(__xludf.DUMMYFUNCTION("""COMPUTED_VALUE"""),1275859.0)</f>
        <v>1275859</v>
      </c>
    </row>
    <row r="3986">
      <c r="A3986" s="2">
        <f>IFERROR(__xludf.DUMMYFUNCTION("""COMPUTED_VALUE"""),44951.66666666667)</f>
        <v>44951.66667</v>
      </c>
      <c r="B3986" s="1">
        <f>IFERROR(__xludf.DUMMYFUNCTION("""COMPUTED_VALUE"""),7.72)</f>
        <v>7.72</v>
      </c>
      <c r="C3986" s="1">
        <f>IFERROR(__xludf.DUMMYFUNCTION("""COMPUTED_VALUE"""),7.81)</f>
        <v>7.81</v>
      </c>
      <c r="D3986" s="1">
        <f>IFERROR(__xludf.DUMMYFUNCTION("""COMPUTED_VALUE"""),7.46)</f>
        <v>7.46</v>
      </c>
      <c r="E3986" s="1">
        <f>IFERROR(__xludf.DUMMYFUNCTION("""COMPUTED_VALUE"""),7.73)</f>
        <v>7.73</v>
      </c>
      <c r="F3986" s="1">
        <f>IFERROR(__xludf.DUMMYFUNCTION("""COMPUTED_VALUE"""),1044592.0)</f>
        <v>1044592</v>
      </c>
    </row>
    <row r="3987">
      <c r="A3987" s="2">
        <f>IFERROR(__xludf.DUMMYFUNCTION("""COMPUTED_VALUE"""),44952.66666666667)</f>
        <v>44952.66667</v>
      </c>
      <c r="B3987" s="1">
        <f>IFERROR(__xludf.DUMMYFUNCTION("""COMPUTED_VALUE"""),7.94)</f>
        <v>7.94</v>
      </c>
      <c r="C3987" s="1">
        <f>IFERROR(__xludf.DUMMYFUNCTION("""COMPUTED_VALUE"""),7.97)</f>
        <v>7.97</v>
      </c>
      <c r="D3987" s="1">
        <f>IFERROR(__xludf.DUMMYFUNCTION("""COMPUTED_VALUE"""),7.6)</f>
        <v>7.6</v>
      </c>
      <c r="E3987" s="1">
        <f>IFERROR(__xludf.DUMMYFUNCTION("""COMPUTED_VALUE"""),7.63)</f>
        <v>7.63</v>
      </c>
      <c r="F3987" s="1">
        <f>IFERROR(__xludf.DUMMYFUNCTION("""COMPUTED_VALUE"""),719858.0)</f>
        <v>719858</v>
      </c>
    </row>
    <row r="3988">
      <c r="A3988" s="2">
        <f>IFERROR(__xludf.DUMMYFUNCTION("""COMPUTED_VALUE"""),44953.66666666667)</f>
        <v>44953.66667</v>
      </c>
      <c r="B3988" s="1">
        <f>IFERROR(__xludf.DUMMYFUNCTION("""COMPUTED_VALUE"""),7.57)</f>
        <v>7.57</v>
      </c>
      <c r="C3988" s="1">
        <f>IFERROR(__xludf.DUMMYFUNCTION("""COMPUTED_VALUE"""),7.64)</f>
        <v>7.64</v>
      </c>
      <c r="D3988" s="1">
        <f>IFERROR(__xludf.DUMMYFUNCTION("""COMPUTED_VALUE"""),7.39)</f>
        <v>7.39</v>
      </c>
      <c r="E3988" s="1">
        <f>IFERROR(__xludf.DUMMYFUNCTION("""COMPUTED_VALUE"""),7.43)</f>
        <v>7.43</v>
      </c>
      <c r="F3988" s="1">
        <f>IFERROR(__xludf.DUMMYFUNCTION("""COMPUTED_VALUE"""),904998.0)</f>
        <v>904998</v>
      </c>
    </row>
    <row r="3989">
      <c r="A3989" s="2">
        <f>IFERROR(__xludf.DUMMYFUNCTION("""COMPUTED_VALUE"""),44956.66666666667)</f>
        <v>44956.66667</v>
      </c>
      <c r="B3989" s="1">
        <f>IFERROR(__xludf.DUMMYFUNCTION("""COMPUTED_VALUE"""),7.31)</f>
        <v>7.31</v>
      </c>
      <c r="C3989" s="1">
        <f>IFERROR(__xludf.DUMMYFUNCTION("""COMPUTED_VALUE"""),7.51)</f>
        <v>7.51</v>
      </c>
      <c r="D3989" s="1">
        <f>IFERROR(__xludf.DUMMYFUNCTION("""COMPUTED_VALUE"""),7.16)</f>
        <v>7.16</v>
      </c>
      <c r="E3989" s="1">
        <f>IFERROR(__xludf.DUMMYFUNCTION("""COMPUTED_VALUE"""),7.21)</f>
        <v>7.21</v>
      </c>
      <c r="F3989" s="1">
        <f>IFERROR(__xludf.DUMMYFUNCTION("""COMPUTED_VALUE"""),1148257.0)</f>
        <v>1148257</v>
      </c>
    </row>
    <row r="3990">
      <c r="A3990" s="2">
        <f>IFERROR(__xludf.DUMMYFUNCTION("""COMPUTED_VALUE"""),44957.66666666667)</f>
        <v>44957.66667</v>
      </c>
      <c r="B3990" s="1">
        <f>IFERROR(__xludf.DUMMYFUNCTION("""COMPUTED_VALUE"""),7.26)</f>
        <v>7.26</v>
      </c>
      <c r="C3990" s="1">
        <f>IFERROR(__xludf.DUMMYFUNCTION("""COMPUTED_VALUE"""),7.39)</f>
        <v>7.39</v>
      </c>
      <c r="D3990" s="1">
        <f>IFERROR(__xludf.DUMMYFUNCTION("""COMPUTED_VALUE"""),7.21)</f>
        <v>7.21</v>
      </c>
      <c r="E3990" s="1">
        <f>IFERROR(__xludf.DUMMYFUNCTION("""COMPUTED_VALUE"""),7.23)</f>
        <v>7.23</v>
      </c>
      <c r="F3990" s="1">
        <f>IFERROR(__xludf.DUMMYFUNCTION("""COMPUTED_VALUE"""),1571562.0)</f>
        <v>1571562</v>
      </c>
    </row>
    <row r="3991">
      <c r="A3991" s="2">
        <f>IFERROR(__xludf.DUMMYFUNCTION("""COMPUTED_VALUE"""),44958.66666666667)</f>
        <v>44958.66667</v>
      </c>
      <c r="B3991" s="1">
        <f>IFERROR(__xludf.DUMMYFUNCTION("""COMPUTED_VALUE"""),7.2)</f>
        <v>7.2</v>
      </c>
      <c r="C3991" s="1">
        <f>IFERROR(__xludf.DUMMYFUNCTION("""COMPUTED_VALUE"""),8.08)</f>
        <v>8.08</v>
      </c>
      <c r="D3991" s="1">
        <f>IFERROR(__xludf.DUMMYFUNCTION("""COMPUTED_VALUE"""),7.01)</f>
        <v>7.01</v>
      </c>
      <c r="E3991" s="1">
        <f>IFERROR(__xludf.DUMMYFUNCTION("""COMPUTED_VALUE"""),7.97)</f>
        <v>7.97</v>
      </c>
      <c r="F3991" s="1">
        <f>IFERROR(__xludf.DUMMYFUNCTION("""COMPUTED_VALUE"""),3203281.0)</f>
        <v>3203281</v>
      </c>
    </row>
    <row r="3992">
      <c r="A3992" s="2">
        <f>IFERROR(__xludf.DUMMYFUNCTION("""COMPUTED_VALUE"""),44959.66666666667)</f>
        <v>44959.66667</v>
      </c>
      <c r="B3992" s="1">
        <f>IFERROR(__xludf.DUMMYFUNCTION("""COMPUTED_VALUE"""),8.03)</f>
        <v>8.03</v>
      </c>
      <c r="C3992" s="1">
        <f>IFERROR(__xludf.DUMMYFUNCTION("""COMPUTED_VALUE"""),8.45)</f>
        <v>8.45</v>
      </c>
      <c r="D3992" s="1">
        <f>IFERROR(__xludf.DUMMYFUNCTION("""COMPUTED_VALUE"""),7.98)</f>
        <v>7.98</v>
      </c>
      <c r="E3992" s="1">
        <f>IFERROR(__xludf.DUMMYFUNCTION("""COMPUTED_VALUE"""),8.19)</f>
        <v>8.19</v>
      </c>
      <c r="F3992" s="1">
        <f>IFERROR(__xludf.DUMMYFUNCTION("""COMPUTED_VALUE"""),1518006.0)</f>
        <v>1518006</v>
      </c>
    </row>
    <row r="3993">
      <c r="A3993" s="2">
        <f>IFERROR(__xludf.DUMMYFUNCTION("""COMPUTED_VALUE"""),44960.66666666667)</f>
        <v>44960.66667</v>
      </c>
      <c r="B3993" s="1">
        <f>IFERROR(__xludf.DUMMYFUNCTION("""COMPUTED_VALUE"""),8.1)</f>
        <v>8.1</v>
      </c>
      <c r="C3993" s="1">
        <f>IFERROR(__xludf.DUMMYFUNCTION("""COMPUTED_VALUE"""),8.59)</f>
        <v>8.59</v>
      </c>
      <c r="D3993" s="1">
        <f>IFERROR(__xludf.DUMMYFUNCTION("""COMPUTED_VALUE"""),8.07)</f>
        <v>8.07</v>
      </c>
      <c r="E3993" s="1">
        <f>IFERROR(__xludf.DUMMYFUNCTION("""COMPUTED_VALUE"""),8.43)</f>
        <v>8.43</v>
      </c>
      <c r="F3993" s="1">
        <f>IFERROR(__xludf.DUMMYFUNCTION("""COMPUTED_VALUE"""),1401063.0)</f>
        <v>1401063</v>
      </c>
    </row>
    <row r="3994">
      <c r="A3994" s="2">
        <f>IFERROR(__xludf.DUMMYFUNCTION("""COMPUTED_VALUE"""),44963.66666666667)</f>
        <v>44963.66667</v>
      </c>
      <c r="B3994" s="1">
        <f>IFERROR(__xludf.DUMMYFUNCTION("""COMPUTED_VALUE"""),8.35)</f>
        <v>8.35</v>
      </c>
      <c r="C3994" s="1">
        <f>IFERROR(__xludf.DUMMYFUNCTION("""COMPUTED_VALUE"""),8.44)</f>
        <v>8.44</v>
      </c>
      <c r="D3994" s="1">
        <f>IFERROR(__xludf.DUMMYFUNCTION("""COMPUTED_VALUE"""),8.18)</f>
        <v>8.18</v>
      </c>
      <c r="E3994" s="1">
        <f>IFERROR(__xludf.DUMMYFUNCTION("""COMPUTED_VALUE"""),8.32)</f>
        <v>8.32</v>
      </c>
      <c r="F3994" s="1">
        <f>IFERROR(__xludf.DUMMYFUNCTION("""COMPUTED_VALUE"""),877843.0)</f>
        <v>877843</v>
      </c>
    </row>
    <row r="3995">
      <c r="A3995" s="2">
        <f>IFERROR(__xludf.DUMMYFUNCTION("""COMPUTED_VALUE"""),44964.66666666667)</f>
        <v>44964.66667</v>
      </c>
      <c r="B3995" s="1">
        <f>IFERROR(__xludf.DUMMYFUNCTION("""COMPUTED_VALUE"""),8.32)</f>
        <v>8.32</v>
      </c>
      <c r="C3995" s="1">
        <f>IFERROR(__xludf.DUMMYFUNCTION("""COMPUTED_VALUE"""),8.48)</f>
        <v>8.48</v>
      </c>
      <c r="D3995" s="1">
        <f>IFERROR(__xludf.DUMMYFUNCTION("""COMPUTED_VALUE"""),8.0)</f>
        <v>8</v>
      </c>
      <c r="E3995" s="1">
        <f>IFERROR(__xludf.DUMMYFUNCTION("""COMPUTED_VALUE"""),8.2)</f>
        <v>8.2</v>
      </c>
      <c r="F3995" s="1">
        <f>IFERROR(__xludf.DUMMYFUNCTION("""COMPUTED_VALUE"""),876341.0)</f>
        <v>876341</v>
      </c>
    </row>
    <row r="3996">
      <c r="A3996" s="2">
        <f>IFERROR(__xludf.DUMMYFUNCTION("""COMPUTED_VALUE"""),44965.66666666667)</f>
        <v>44965.66667</v>
      </c>
      <c r="B3996" s="1">
        <f>IFERROR(__xludf.DUMMYFUNCTION("""COMPUTED_VALUE"""),8.27)</f>
        <v>8.27</v>
      </c>
      <c r="C3996" s="1">
        <f>IFERROR(__xludf.DUMMYFUNCTION("""COMPUTED_VALUE"""),8.75)</f>
        <v>8.75</v>
      </c>
      <c r="D3996" s="1">
        <f>IFERROR(__xludf.DUMMYFUNCTION("""COMPUTED_VALUE"""),8.23)</f>
        <v>8.23</v>
      </c>
      <c r="E3996" s="1">
        <f>IFERROR(__xludf.DUMMYFUNCTION("""COMPUTED_VALUE"""),8.52)</f>
        <v>8.52</v>
      </c>
      <c r="F3996" s="1">
        <f>IFERROR(__xludf.DUMMYFUNCTION("""COMPUTED_VALUE"""),1757971.0)</f>
        <v>1757971</v>
      </c>
    </row>
    <row r="3997">
      <c r="A3997" s="2">
        <f>IFERROR(__xludf.DUMMYFUNCTION("""COMPUTED_VALUE"""),44966.66666666667)</f>
        <v>44966.66667</v>
      </c>
      <c r="B3997" s="1">
        <f>IFERROR(__xludf.DUMMYFUNCTION("""COMPUTED_VALUE"""),8.69)</f>
        <v>8.69</v>
      </c>
      <c r="C3997" s="1">
        <f>IFERROR(__xludf.DUMMYFUNCTION("""COMPUTED_VALUE"""),9.39)</f>
        <v>9.39</v>
      </c>
      <c r="D3997" s="1">
        <f>IFERROR(__xludf.DUMMYFUNCTION("""COMPUTED_VALUE"""),8.65)</f>
        <v>8.65</v>
      </c>
      <c r="E3997" s="1">
        <f>IFERROR(__xludf.DUMMYFUNCTION("""COMPUTED_VALUE"""),8.7)</f>
        <v>8.7</v>
      </c>
      <c r="F3997" s="1">
        <f>IFERROR(__xludf.DUMMYFUNCTION("""COMPUTED_VALUE"""),2465694.0)</f>
        <v>2465694</v>
      </c>
    </row>
    <row r="3998">
      <c r="A3998" s="2">
        <f>IFERROR(__xludf.DUMMYFUNCTION("""COMPUTED_VALUE"""),44967.66666666667)</f>
        <v>44967.66667</v>
      </c>
      <c r="B3998" s="1">
        <f>IFERROR(__xludf.DUMMYFUNCTION("""COMPUTED_VALUE"""),8.6)</f>
        <v>8.6</v>
      </c>
      <c r="C3998" s="1">
        <f>IFERROR(__xludf.DUMMYFUNCTION("""COMPUTED_VALUE"""),9.09)</f>
        <v>9.09</v>
      </c>
      <c r="D3998" s="1">
        <f>IFERROR(__xludf.DUMMYFUNCTION("""COMPUTED_VALUE"""),8.58)</f>
        <v>8.58</v>
      </c>
      <c r="E3998" s="1">
        <f>IFERROR(__xludf.DUMMYFUNCTION("""COMPUTED_VALUE"""),9.0)</f>
        <v>9</v>
      </c>
      <c r="F3998" s="1">
        <f>IFERROR(__xludf.DUMMYFUNCTION("""COMPUTED_VALUE"""),1397942.0)</f>
        <v>1397942</v>
      </c>
    </row>
    <row r="3999">
      <c r="A3999" s="2">
        <f>IFERROR(__xludf.DUMMYFUNCTION("""COMPUTED_VALUE"""),44970.66666666667)</f>
        <v>44970.66667</v>
      </c>
      <c r="B3999" s="1">
        <f>IFERROR(__xludf.DUMMYFUNCTION("""COMPUTED_VALUE"""),8.95)</f>
        <v>8.95</v>
      </c>
      <c r="C3999" s="1">
        <f>IFERROR(__xludf.DUMMYFUNCTION("""COMPUTED_VALUE"""),9.15)</f>
        <v>9.15</v>
      </c>
      <c r="D3999" s="1">
        <f>IFERROR(__xludf.DUMMYFUNCTION("""COMPUTED_VALUE"""),8.76)</f>
        <v>8.76</v>
      </c>
      <c r="E3999" s="1">
        <f>IFERROR(__xludf.DUMMYFUNCTION("""COMPUTED_VALUE"""),9.05)</f>
        <v>9.05</v>
      </c>
      <c r="F3999" s="1">
        <f>IFERROR(__xludf.DUMMYFUNCTION("""COMPUTED_VALUE"""),1081029.0)</f>
        <v>1081029</v>
      </c>
    </row>
    <row r="4000">
      <c r="A4000" s="2">
        <f>IFERROR(__xludf.DUMMYFUNCTION("""COMPUTED_VALUE"""),44971.66666666667)</f>
        <v>44971.66667</v>
      </c>
      <c r="B4000" s="1">
        <f>IFERROR(__xludf.DUMMYFUNCTION("""COMPUTED_VALUE"""),8.98)</f>
        <v>8.98</v>
      </c>
      <c r="C4000" s="1">
        <f>IFERROR(__xludf.DUMMYFUNCTION("""COMPUTED_VALUE"""),9.48)</f>
        <v>9.48</v>
      </c>
      <c r="D4000" s="1">
        <f>IFERROR(__xludf.DUMMYFUNCTION("""COMPUTED_VALUE"""),8.9)</f>
        <v>8.9</v>
      </c>
      <c r="E4000" s="1">
        <f>IFERROR(__xludf.DUMMYFUNCTION("""COMPUTED_VALUE"""),9.29)</f>
        <v>9.29</v>
      </c>
      <c r="F4000" s="1">
        <f>IFERROR(__xludf.DUMMYFUNCTION("""COMPUTED_VALUE"""),1517265.0)</f>
        <v>1517265</v>
      </c>
    </row>
    <row r="4001">
      <c r="A4001" s="2">
        <f>IFERROR(__xludf.DUMMYFUNCTION("""COMPUTED_VALUE"""),44972.66666666667)</f>
        <v>44972.66667</v>
      </c>
      <c r="B4001" s="1">
        <f>IFERROR(__xludf.DUMMYFUNCTION("""COMPUTED_VALUE"""),9.3)</f>
        <v>9.3</v>
      </c>
      <c r="C4001" s="1">
        <f>IFERROR(__xludf.DUMMYFUNCTION("""COMPUTED_VALUE"""),9.38)</f>
        <v>9.38</v>
      </c>
      <c r="D4001" s="1">
        <f>IFERROR(__xludf.DUMMYFUNCTION("""COMPUTED_VALUE"""),9.17)</f>
        <v>9.17</v>
      </c>
      <c r="E4001" s="1">
        <f>IFERROR(__xludf.DUMMYFUNCTION("""COMPUTED_VALUE"""),9.3)</f>
        <v>9.3</v>
      </c>
      <c r="F4001" s="1">
        <f>IFERROR(__xludf.DUMMYFUNCTION("""COMPUTED_VALUE"""),1052292.0)</f>
        <v>1052292</v>
      </c>
    </row>
    <row r="4002">
      <c r="A4002" s="2">
        <f>IFERROR(__xludf.DUMMYFUNCTION("""COMPUTED_VALUE"""),44973.66666666667)</f>
        <v>44973.66667</v>
      </c>
      <c r="B4002" s="1">
        <f>IFERROR(__xludf.DUMMYFUNCTION("""COMPUTED_VALUE"""),9.27)</f>
        <v>9.27</v>
      </c>
      <c r="C4002" s="1">
        <f>IFERROR(__xludf.DUMMYFUNCTION("""COMPUTED_VALUE"""),9.8)</f>
        <v>9.8</v>
      </c>
      <c r="D4002" s="1">
        <f>IFERROR(__xludf.DUMMYFUNCTION("""COMPUTED_VALUE"""),9.21)</f>
        <v>9.21</v>
      </c>
      <c r="E4002" s="1">
        <f>IFERROR(__xludf.DUMMYFUNCTION("""COMPUTED_VALUE"""),9.59)</f>
        <v>9.59</v>
      </c>
      <c r="F4002" s="1">
        <f>IFERROR(__xludf.DUMMYFUNCTION("""COMPUTED_VALUE"""),1698017.0)</f>
        <v>1698017</v>
      </c>
    </row>
    <row r="4003">
      <c r="A4003" s="2">
        <f>IFERROR(__xludf.DUMMYFUNCTION("""COMPUTED_VALUE"""),44974.66666666667)</f>
        <v>44974.66667</v>
      </c>
      <c r="B4003" s="1">
        <f>IFERROR(__xludf.DUMMYFUNCTION("""COMPUTED_VALUE"""),9.51)</f>
        <v>9.51</v>
      </c>
      <c r="C4003" s="1">
        <f>IFERROR(__xludf.DUMMYFUNCTION("""COMPUTED_VALUE"""),9.57)</f>
        <v>9.57</v>
      </c>
      <c r="D4003" s="1">
        <f>IFERROR(__xludf.DUMMYFUNCTION("""COMPUTED_VALUE"""),9.07)</f>
        <v>9.07</v>
      </c>
      <c r="E4003" s="1">
        <f>IFERROR(__xludf.DUMMYFUNCTION("""COMPUTED_VALUE"""),9.2)</f>
        <v>9.2</v>
      </c>
      <c r="F4003" s="1">
        <f>IFERROR(__xludf.DUMMYFUNCTION("""COMPUTED_VALUE"""),1386917.0)</f>
        <v>1386917</v>
      </c>
    </row>
    <row r="4004">
      <c r="A4004" s="2">
        <f>IFERROR(__xludf.DUMMYFUNCTION("""COMPUTED_VALUE"""),44978.66666666667)</f>
        <v>44978.66667</v>
      </c>
      <c r="B4004" s="1">
        <f>IFERROR(__xludf.DUMMYFUNCTION("""COMPUTED_VALUE"""),9.05)</f>
        <v>9.05</v>
      </c>
      <c r="C4004" s="1">
        <f>IFERROR(__xludf.DUMMYFUNCTION("""COMPUTED_VALUE"""),9.32)</f>
        <v>9.32</v>
      </c>
      <c r="D4004" s="1">
        <f>IFERROR(__xludf.DUMMYFUNCTION("""COMPUTED_VALUE"""),8.79)</f>
        <v>8.79</v>
      </c>
      <c r="E4004" s="1">
        <f>IFERROR(__xludf.DUMMYFUNCTION("""COMPUTED_VALUE"""),8.81)</f>
        <v>8.81</v>
      </c>
      <c r="F4004" s="1">
        <f>IFERROR(__xludf.DUMMYFUNCTION("""COMPUTED_VALUE"""),1120128.0)</f>
        <v>1120128</v>
      </c>
    </row>
    <row r="4005">
      <c r="A4005" s="2">
        <f>IFERROR(__xludf.DUMMYFUNCTION("""COMPUTED_VALUE"""),44979.66666666667)</f>
        <v>44979.66667</v>
      </c>
      <c r="B4005" s="1">
        <f>IFERROR(__xludf.DUMMYFUNCTION("""COMPUTED_VALUE"""),8.76)</f>
        <v>8.76</v>
      </c>
      <c r="C4005" s="1">
        <f>IFERROR(__xludf.DUMMYFUNCTION("""COMPUTED_VALUE"""),8.87)</f>
        <v>8.87</v>
      </c>
      <c r="D4005" s="1">
        <f>IFERROR(__xludf.DUMMYFUNCTION("""COMPUTED_VALUE"""),8.56)</f>
        <v>8.56</v>
      </c>
      <c r="E4005" s="1">
        <f>IFERROR(__xludf.DUMMYFUNCTION("""COMPUTED_VALUE"""),8.67)</f>
        <v>8.67</v>
      </c>
      <c r="F4005" s="1">
        <f>IFERROR(__xludf.DUMMYFUNCTION("""COMPUTED_VALUE"""),871222.0)</f>
        <v>871222</v>
      </c>
    </row>
    <row r="4006">
      <c r="A4006" s="2">
        <f>IFERROR(__xludf.DUMMYFUNCTION("""COMPUTED_VALUE"""),44980.66666666667)</f>
        <v>44980.66667</v>
      </c>
      <c r="B4006" s="1">
        <f>IFERROR(__xludf.DUMMYFUNCTION("""COMPUTED_VALUE"""),8.93)</f>
        <v>8.93</v>
      </c>
      <c r="C4006" s="1">
        <f>IFERROR(__xludf.DUMMYFUNCTION("""COMPUTED_VALUE"""),9.49)</f>
        <v>9.49</v>
      </c>
      <c r="D4006" s="1">
        <f>IFERROR(__xludf.DUMMYFUNCTION("""COMPUTED_VALUE"""),8.93)</f>
        <v>8.93</v>
      </c>
      <c r="E4006" s="1">
        <f>IFERROR(__xludf.DUMMYFUNCTION("""COMPUTED_VALUE"""),9.43)</f>
        <v>9.43</v>
      </c>
      <c r="F4006" s="1">
        <f>IFERROR(__xludf.DUMMYFUNCTION("""COMPUTED_VALUE"""),1832800.0)</f>
        <v>1832800</v>
      </c>
    </row>
    <row r="4007">
      <c r="A4007" s="2">
        <f>IFERROR(__xludf.DUMMYFUNCTION("""COMPUTED_VALUE"""),44981.66666666667)</f>
        <v>44981.66667</v>
      </c>
      <c r="B4007" s="1">
        <f>IFERROR(__xludf.DUMMYFUNCTION("""COMPUTED_VALUE"""),9.25)</f>
        <v>9.25</v>
      </c>
      <c r="C4007" s="1">
        <f>IFERROR(__xludf.DUMMYFUNCTION("""COMPUTED_VALUE"""),9.84)</f>
        <v>9.84</v>
      </c>
      <c r="D4007" s="1">
        <f>IFERROR(__xludf.DUMMYFUNCTION("""COMPUTED_VALUE"""),9.2)</f>
        <v>9.2</v>
      </c>
      <c r="E4007" s="1">
        <f>IFERROR(__xludf.DUMMYFUNCTION("""COMPUTED_VALUE"""),9.82)</f>
        <v>9.82</v>
      </c>
      <c r="F4007" s="1">
        <f>IFERROR(__xludf.DUMMYFUNCTION("""COMPUTED_VALUE"""),1945117.0)</f>
        <v>1945117</v>
      </c>
    </row>
    <row r="4008">
      <c r="A4008" s="2">
        <f>IFERROR(__xludf.DUMMYFUNCTION("""COMPUTED_VALUE"""),44984.66666666667)</f>
        <v>44984.66667</v>
      </c>
      <c r="B4008" s="1">
        <f>IFERROR(__xludf.DUMMYFUNCTION("""COMPUTED_VALUE"""),9.89)</f>
        <v>9.89</v>
      </c>
      <c r="C4008" s="1">
        <f>IFERROR(__xludf.DUMMYFUNCTION("""COMPUTED_VALUE"""),10.4)</f>
        <v>10.4</v>
      </c>
      <c r="D4008" s="1">
        <f>IFERROR(__xludf.DUMMYFUNCTION("""COMPUTED_VALUE"""),9.87)</f>
        <v>9.87</v>
      </c>
      <c r="E4008" s="1">
        <f>IFERROR(__xludf.DUMMYFUNCTION("""COMPUTED_VALUE"""),10.11)</f>
        <v>10.11</v>
      </c>
      <c r="F4008" s="1">
        <f>IFERROR(__xludf.DUMMYFUNCTION("""COMPUTED_VALUE"""),1891141.0)</f>
        <v>1891141</v>
      </c>
    </row>
    <row r="4009">
      <c r="A4009" s="2">
        <f>IFERROR(__xludf.DUMMYFUNCTION("""COMPUTED_VALUE"""),44985.66666666667)</f>
        <v>44985.66667</v>
      </c>
      <c r="B4009" s="1">
        <f>IFERROR(__xludf.DUMMYFUNCTION("""COMPUTED_VALUE"""),10.09)</f>
        <v>10.09</v>
      </c>
      <c r="C4009" s="1">
        <f>IFERROR(__xludf.DUMMYFUNCTION("""COMPUTED_VALUE"""),10.3)</f>
        <v>10.3</v>
      </c>
      <c r="D4009" s="1">
        <f>IFERROR(__xludf.DUMMYFUNCTION("""COMPUTED_VALUE"""),9.79)</f>
        <v>9.79</v>
      </c>
      <c r="E4009" s="1">
        <f>IFERROR(__xludf.DUMMYFUNCTION("""COMPUTED_VALUE"""),9.8)</f>
        <v>9.8</v>
      </c>
      <c r="F4009" s="1">
        <f>IFERROR(__xludf.DUMMYFUNCTION("""COMPUTED_VALUE"""),1741596.0)</f>
        <v>1741596</v>
      </c>
    </row>
    <row r="4010">
      <c r="A4010" s="2">
        <f>IFERROR(__xludf.DUMMYFUNCTION("""COMPUTED_VALUE"""),44986.66666666667)</f>
        <v>44986.66667</v>
      </c>
      <c r="B4010" s="1">
        <f>IFERROR(__xludf.DUMMYFUNCTION("""COMPUTED_VALUE"""),9.92)</f>
        <v>9.92</v>
      </c>
      <c r="C4010" s="1">
        <f>IFERROR(__xludf.DUMMYFUNCTION("""COMPUTED_VALUE"""),10.31)</f>
        <v>10.31</v>
      </c>
      <c r="D4010" s="1">
        <f>IFERROR(__xludf.DUMMYFUNCTION("""COMPUTED_VALUE"""),9.86)</f>
        <v>9.86</v>
      </c>
      <c r="E4010" s="1">
        <f>IFERROR(__xludf.DUMMYFUNCTION("""COMPUTED_VALUE"""),10.2)</f>
        <v>10.2</v>
      </c>
      <c r="F4010" s="1">
        <f>IFERROR(__xludf.DUMMYFUNCTION("""COMPUTED_VALUE"""),1078651.0)</f>
        <v>1078651</v>
      </c>
    </row>
    <row r="4011">
      <c r="A4011" s="2">
        <f>IFERROR(__xludf.DUMMYFUNCTION("""COMPUTED_VALUE"""),44987.66666666667)</f>
        <v>44987.66667</v>
      </c>
      <c r="B4011" s="1">
        <f>IFERROR(__xludf.DUMMYFUNCTION("""COMPUTED_VALUE"""),10.01)</f>
        <v>10.01</v>
      </c>
      <c r="C4011" s="1">
        <f>IFERROR(__xludf.DUMMYFUNCTION("""COMPUTED_VALUE"""),10.09)</f>
        <v>10.09</v>
      </c>
      <c r="D4011" s="1">
        <f>IFERROR(__xludf.DUMMYFUNCTION("""COMPUTED_VALUE"""),9.51)</f>
        <v>9.51</v>
      </c>
      <c r="E4011" s="1">
        <f>IFERROR(__xludf.DUMMYFUNCTION("""COMPUTED_VALUE"""),9.84)</f>
        <v>9.84</v>
      </c>
      <c r="F4011" s="1">
        <f>IFERROR(__xludf.DUMMYFUNCTION("""COMPUTED_VALUE"""),1319881.0)</f>
        <v>1319881</v>
      </c>
    </row>
    <row r="4012">
      <c r="A4012" s="2">
        <f>IFERROR(__xludf.DUMMYFUNCTION("""COMPUTED_VALUE"""),44988.66666666667)</f>
        <v>44988.66667</v>
      </c>
      <c r="B4012" s="1">
        <f>IFERROR(__xludf.DUMMYFUNCTION("""COMPUTED_VALUE"""),9.85)</f>
        <v>9.85</v>
      </c>
      <c r="C4012" s="1">
        <f>IFERROR(__xludf.DUMMYFUNCTION("""COMPUTED_VALUE"""),10.0)</f>
        <v>10</v>
      </c>
      <c r="D4012" s="1">
        <f>IFERROR(__xludf.DUMMYFUNCTION("""COMPUTED_VALUE"""),9.55)</f>
        <v>9.55</v>
      </c>
      <c r="E4012" s="1">
        <f>IFERROR(__xludf.DUMMYFUNCTION("""COMPUTED_VALUE"""),9.78)</f>
        <v>9.78</v>
      </c>
      <c r="F4012" s="1">
        <f>IFERROR(__xludf.DUMMYFUNCTION("""COMPUTED_VALUE"""),996956.0)</f>
        <v>996956</v>
      </c>
    </row>
    <row r="4013">
      <c r="A4013" s="2">
        <f>IFERROR(__xludf.DUMMYFUNCTION("""COMPUTED_VALUE"""),44991.66666666667)</f>
        <v>44991.66667</v>
      </c>
      <c r="B4013" s="1">
        <f>IFERROR(__xludf.DUMMYFUNCTION("""COMPUTED_VALUE"""),9.89)</f>
        <v>9.89</v>
      </c>
      <c r="C4013" s="1">
        <f>IFERROR(__xludf.DUMMYFUNCTION("""COMPUTED_VALUE"""),10.0)</f>
        <v>10</v>
      </c>
      <c r="D4013" s="1">
        <f>IFERROR(__xludf.DUMMYFUNCTION("""COMPUTED_VALUE"""),9.69)</f>
        <v>9.69</v>
      </c>
      <c r="E4013" s="1">
        <f>IFERROR(__xludf.DUMMYFUNCTION("""COMPUTED_VALUE"""),9.83)</f>
        <v>9.83</v>
      </c>
      <c r="F4013" s="1">
        <f>IFERROR(__xludf.DUMMYFUNCTION("""COMPUTED_VALUE"""),826630.0)</f>
        <v>826630</v>
      </c>
    </row>
    <row r="4014">
      <c r="A4014" s="2">
        <f>IFERROR(__xludf.DUMMYFUNCTION("""COMPUTED_VALUE"""),44992.66666666667)</f>
        <v>44992.66667</v>
      </c>
      <c r="B4014" s="1">
        <f>IFERROR(__xludf.DUMMYFUNCTION("""COMPUTED_VALUE"""),9.86)</f>
        <v>9.86</v>
      </c>
      <c r="C4014" s="1">
        <f>IFERROR(__xludf.DUMMYFUNCTION("""COMPUTED_VALUE"""),10.07)</f>
        <v>10.07</v>
      </c>
      <c r="D4014" s="1">
        <f>IFERROR(__xludf.DUMMYFUNCTION("""COMPUTED_VALUE"""),9.7)</f>
        <v>9.7</v>
      </c>
      <c r="E4014" s="1">
        <f>IFERROR(__xludf.DUMMYFUNCTION("""COMPUTED_VALUE"""),9.85)</f>
        <v>9.85</v>
      </c>
      <c r="F4014" s="1">
        <f>IFERROR(__xludf.DUMMYFUNCTION("""COMPUTED_VALUE"""),966455.0)</f>
        <v>966455</v>
      </c>
    </row>
    <row r="4015">
      <c r="A4015" s="2">
        <f>IFERROR(__xludf.DUMMYFUNCTION("""COMPUTED_VALUE"""),44993.66666666667)</f>
        <v>44993.66667</v>
      </c>
      <c r="B4015" s="1">
        <f>IFERROR(__xludf.DUMMYFUNCTION("""COMPUTED_VALUE"""),9.88)</f>
        <v>9.88</v>
      </c>
      <c r="C4015" s="1">
        <f>IFERROR(__xludf.DUMMYFUNCTION("""COMPUTED_VALUE"""),10.37)</f>
        <v>10.37</v>
      </c>
      <c r="D4015" s="1">
        <f>IFERROR(__xludf.DUMMYFUNCTION("""COMPUTED_VALUE"""),9.81)</f>
        <v>9.81</v>
      </c>
      <c r="E4015" s="1">
        <f>IFERROR(__xludf.DUMMYFUNCTION("""COMPUTED_VALUE"""),10.24)</f>
        <v>10.24</v>
      </c>
      <c r="F4015" s="1">
        <f>IFERROR(__xludf.DUMMYFUNCTION("""COMPUTED_VALUE"""),1461045.0)</f>
        <v>1461045</v>
      </c>
    </row>
    <row r="4016">
      <c r="A4016" s="2">
        <f>IFERROR(__xludf.DUMMYFUNCTION("""COMPUTED_VALUE"""),44994.66666666667)</f>
        <v>44994.66667</v>
      </c>
      <c r="B4016" s="1">
        <f>IFERROR(__xludf.DUMMYFUNCTION("""COMPUTED_VALUE"""),10.25)</f>
        <v>10.25</v>
      </c>
      <c r="C4016" s="1">
        <f>IFERROR(__xludf.DUMMYFUNCTION("""COMPUTED_VALUE"""),10.43)</f>
        <v>10.43</v>
      </c>
      <c r="D4016" s="1">
        <f>IFERROR(__xludf.DUMMYFUNCTION("""COMPUTED_VALUE"""),9.82)</f>
        <v>9.82</v>
      </c>
      <c r="E4016" s="1">
        <f>IFERROR(__xludf.DUMMYFUNCTION("""COMPUTED_VALUE"""),9.86)</f>
        <v>9.86</v>
      </c>
      <c r="F4016" s="1">
        <f>IFERROR(__xludf.DUMMYFUNCTION("""COMPUTED_VALUE"""),1165061.0)</f>
        <v>1165061</v>
      </c>
    </row>
    <row r="4017">
      <c r="A4017" s="2">
        <f>IFERROR(__xludf.DUMMYFUNCTION("""COMPUTED_VALUE"""),44995.66666666667)</f>
        <v>44995.66667</v>
      </c>
      <c r="B4017" s="1">
        <f>IFERROR(__xludf.DUMMYFUNCTION("""COMPUTED_VALUE"""),9.8)</f>
        <v>9.8</v>
      </c>
      <c r="C4017" s="1">
        <f>IFERROR(__xludf.DUMMYFUNCTION("""COMPUTED_VALUE"""),9.8)</f>
        <v>9.8</v>
      </c>
      <c r="D4017" s="1">
        <f>IFERROR(__xludf.DUMMYFUNCTION("""COMPUTED_VALUE"""),9.21)</f>
        <v>9.21</v>
      </c>
      <c r="E4017" s="1">
        <f>IFERROR(__xludf.DUMMYFUNCTION("""COMPUTED_VALUE"""),9.28)</f>
        <v>9.28</v>
      </c>
      <c r="F4017" s="1">
        <f>IFERROR(__xludf.DUMMYFUNCTION("""COMPUTED_VALUE"""),1733337.0)</f>
        <v>1733337</v>
      </c>
    </row>
    <row r="4018">
      <c r="A4018" s="2">
        <f>IFERROR(__xludf.DUMMYFUNCTION("""COMPUTED_VALUE"""),44998.66666666667)</f>
        <v>44998.66667</v>
      </c>
      <c r="B4018" s="1">
        <f>IFERROR(__xludf.DUMMYFUNCTION("""COMPUTED_VALUE"""),9.1)</f>
        <v>9.1</v>
      </c>
      <c r="C4018" s="1">
        <f>IFERROR(__xludf.DUMMYFUNCTION("""COMPUTED_VALUE"""),9.24)</f>
        <v>9.24</v>
      </c>
      <c r="D4018" s="1">
        <f>IFERROR(__xludf.DUMMYFUNCTION("""COMPUTED_VALUE"""),8.86)</f>
        <v>8.86</v>
      </c>
      <c r="E4018" s="1">
        <f>IFERROR(__xludf.DUMMYFUNCTION("""COMPUTED_VALUE"""),8.93)</f>
        <v>8.93</v>
      </c>
      <c r="F4018" s="1">
        <f>IFERROR(__xludf.DUMMYFUNCTION("""COMPUTED_VALUE"""),1282563.0)</f>
        <v>1282563</v>
      </c>
    </row>
    <row r="4019">
      <c r="A4019" s="2">
        <f>IFERROR(__xludf.DUMMYFUNCTION("""COMPUTED_VALUE"""),44999.66666666667)</f>
        <v>44999.66667</v>
      </c>
      <c r="B4019" s="1">
        <f>IFERROR(__xludf.DUMMYFUNCTION("""COMPUTED_VALUE"""),9.18)</f>
        <v>9.18</v>
      </c>
      <c r="C4019" s="1">
        <f>IFERROR(__xludf.DUMMYFUNCTION("""COMPUTED_VALUE"""),9.46)</f>
        <v>9.46</v>
      </c>
      <c r="D4019" s="1">
        <f>IFERROR(__xludf.DUMMYFUNCTION("""COMPUTED_VALUE"""),9.13)</f>
        <v>9.13</v>
      </c>
      <c r="E4019" s="1">
        <f>IFERROR(__xludf.DUMMYFUNCTION("""COMPUTED_VALUE"""),9.25)</f>
        <v>9.25</v>
      </c>
      <c r="F4019" s="1">
        <f>IFERROR(__xludf.DUMMYFUNCTION("""COMPUTED_VALUE"""),1067295.0)</f>
        <v>1067295</v>
      </c>
    </row>
    <row r="4020">
      <c r="A4020" s="2">
        <f>IFERROR(__xludf.DUMMYFUNCTION("""COMPUTED_VALUE"""),45000.66666666667)</f>
        <v>45000.66667</v>
      </c>
      <c r="B4020" s="1">
        <f>IFERROR(__xludf.DUMMYFUNCTION("""COMPUTED_VALUE"""),8.94)</f>
        <v>8.94</v>
      </c>
      <c r="C4020" s="1">
        <f>IFERROR(__xludf.DUMMYFUNCTION("""COMPUTED_VALUE"""),9.18)</f>
        <v>9.18</v>
      </c>
      <c r="D4020" s="1">
        <f>IFERROR(__xludf.DUMMYFUNCTION("""COMPUTED_VALUE"""),8.73)</f>
        <v>8.73</v>
      </c>
      <c r="E4020" s="1">
        <f>IFERROR(__xludf.DUMMYFUNCTION("""COMPUTED_VALUE"""),9.18)</f>
        <v>9.18</v>
      </c>
      <c r="F4020" s="1">
        <f>IFERROR(__xludf.DUMMYFUNCTION("""COMPUTED_VALUE"""),1243328.0)</f>
        <v>1243328</v>
      </c>
    </row>
    <row r="4021">
      <c r="A4021" s="2">
        <f>IFERROR(__xludf.DUMMYFUNCTION("""COMPUTED_VALUE"""),45001.66666666667)</f>
        <v>45001.66667</v>
      </c>
      <c r="B4021" s="1">
        <f>IFERROR(__xludf.DUMMYFUNCTION("""COMPUTED_VALUE"""),9.01)</f>
        <v>9.01</v>
      </c>
      <c r="C4021" s="1">
        <f>IFERROR(__xludf.DUMMYFUNCTION("""COMPUTED_VALUE"""),9.73)</f>
        <v>9.73</v>
      </c>
      <c r="D4021" s="1">
        <f>IFERROR(__xludf.DUMMYFUNCTION("""COMPUTED_VALUE"""),9.01)</f>
        <v>9.01</v>
      </c>
      <c r="E4021" s="1">
        <f>IFERROR(__xludf.DUMMYFUNCTION("""COMPUTED_VALUE"""),9.72)</f>
        <v>9.72</v>
      </c>
      <c r="F4021" s="1">
        <f>IFERROR(__xludf.DUMMYFUNCTION("""COMPUTED_VALUE"""),1545390.0)</f>
        <v>1545390</v>
      </c>
    </row>
    <row r="4022">
      <c r="A4022" s="2">
        <f>IFERROR(__xludf.DUMMYFUNCTION("""COMPUTED_VALUE"""),45002.66666666667)</f>
        <v>45002.66667</v>
      </c>
      <c r="B4022" s="1">
        <f>IFERROR(__xludf.DUMMYFUNCTION("""COMPUTED_VALUE"""),9.69)</f>
        <v>9.69</v>
      </c>
      <c r="C4022" s="1">
        <f>IFERROR(__xludf.DUMMYFUNCTION("""COMPUTED_VALUE"""),9.8)</f>
        <v>9.8</v>
      </c>
      <c r="D4022" s="1">
        <f>IFERROR(__xludf.DUMMYFUNCTION("""COMPUTED_VALUE"""),9.41)</f>
        <v>9.41</v>
      </c>
      <c r="E4022" s="1">
        <f>IFERROR(__xludf.DUMMYFUNCTION("""COMPUTED_VALUE"""),9.55)</f>
        <v>9.55</v>
      </c>
      <c r="F4022" s="1">
        <f>IFERROR(__xludf.DUMMYFUNCTION("""COMPUTED_VALUE"""),1825582.0)</f>
        <v>1825582</v>
      </c>
    </row>
    <row r="4023">
      <c r="A4023" s="2">
        <f>IFERROR(__xludf.DUMMYFUNCTION("""COMPUTED_VALUE"""),45005.66666666667)</f>
        <v>45005.66667</v>
      </c>
      <c r="B4023" s="1">
        <f>IFERROR(__xludf.DUMMYFUNCTION("""COMPUTED_VALUE"""),9.55)</f>
        <v>9.55</v>
      </c>
      <c r="C4023" s="1">
        <f>IFERROR(__xludf.DUMMYFUNCTION("""COMPUTED_VALUE"""),10.02)</f>
        <v>10.02</v>
      </c>
      <c r="D4023" s="1">
        <f>IFERROR(__xludf.DUMMYFUNCTION("""COMPUTED_VALUE"""),9.54)</f>
        <v>9.54</v>
      </c>
      <c r="E4023" s="1">
        <f>IFERROR(__xludf.DUMMYFUNCTION("""COMPUTED_VALUE"""),9.85)</f>
        <v>9.85</v>
      </c>
      <c r="F4023" s="1">
        <f>IFERROR(__xludf.DUMMYFUNCTION("""COMPUTED_VALUE"""),1540854.0)</f>
        <v>1540854</v>
      </c>
    </row>
    <row r="4024">
      <c r="A4024" s="2">
        <f>IFERROR(__xludf.DUMMYFUNCTION("""COMPUTED_VALUE"""),45006.66666666667)</f>
        <v>45006.66667</v>
      </c>
      <c r="B4024" s="1">
        <f>IFERROR(__xludf.DUMMYFUNCTION("""COMPUTED_VALUE"""),10.0)</f>
        <v>10</v>
      </c>
      <c r="C4024" s="1">
        <f>IFERROR(__xludf.DUMMYFUNCTION("""COMPUTED_VALUE"""),10.84)</f>
        <v>10.84</v>
      </c>
      <c r="D4024" s="1">
        <f>IFERROR(__xludf.DUMMYFUNCTION("""COMPUTED_VALUE"""),10.0)</f>
        <v>10</v>
      </c>
      <c r="E4024" s="1">
        <f>IFERROR(__xludf.DUMMYFUNCTION("""COMPUTED_VALUE"""),10.83)</f>
        <v>10.83</v>
      </c>
      <c r="F4024" s="1">
        <f>IFERROR(__xludf.DUMMYFUNCTION("""COMPUTED_VALUE"""),2035195.0)</f>
        <v>2035195</v>
      </c>
    </row>
    <row r="4025">
      <c r="A4025" s="2">
        <f>IFERROR(__xludf.DUMMYFUNCTION("""COMPUTED_VALUE"""),45007.66666666667)</f>
        <v>45007.66667</v>
      </c>
      <c r="B4025" s="1">
        <f>IFERROR(__xludf.DUMMYFUNCTION("""COMPUTED_VALUE"""),10.89)</f>
        <v>10.89</v>
      </c>
      <c r="C4025" s="1">
        <f>IFERROR(__xludf.DUMMYFUNCTION("""COMPUTED_VALUE"""),11.63)</f>
        <v>11.63</v>
      </c>
      <c r="D4025" s="1">
        <f>IFERROR(__xludf.DUMMYFUNCTION("""COMPUTED_VALUE"""),10.84)</f>
        <v>10.84</v>
      </c>
      <c r="E4025" s="1">
        <f>IFERROR(__xludf.DUMMYFUNCTION("""COMPUTED_VALUE"""),11.25)</f>
        <v>11.25</v>
      </c>
      <c r="F4025" s="1">
        <f>IFERROR(__xludf.DUMMYFUNCTION("""COMPUTED_VALUE"""),2449893.0)</f>
        <v>2449893</v>
      </c>
    </row>
    <row r="4026">
      <c r="A4026" s="2">
        <f>IFERROR(__xludf.DUMMYFUNCTION("""COMPUTED_VALUE"""),45008.66666666667)</f>
        <v>45008.66667</v>
      </c>
      <c r="B4026" s="1">
        <f>IFERROR(__xludf.DUMMYFUNCTION("""COMPUTED_VALUE"""),11.4)</f>
        <v>11.4</v>
      </c>
      <c r="C4026" s="1">
        <f>IFERROR(__xludf.DUMMYFUNCTION("""COMPUTED_VALUE"""),11.84)</f>
        <v>11.84</v>
      </c>
      <c r="D4026" s="1">
        <f>IFERROR(__xludf.DUMMYFUNCTION("""COMPUTED_VALUE"""),11.18)</f>
        <v>11.18</v>
      </c>
      <c r="E4026" s="1">
        <f>IFERROR(__xludf.DUMMYFUNCTION("""COMPUTED_VALUE"""),11.4)</f>
        <v>11.4</v>
      </c>
      <c r="F4026" s="1">
        <f>IFERROR(__xludf.DUMMYFUNCTION("""COMPUTED_VALUE"""),2061981.0)</f>
        <v>2061981</v>
      </c>
    </row>
    <row r="4027">
      <c r="A4027" s="2">
        <f>IFERROR(__xludf.DUMMYFUNCTION("""COMPUTED_VALUE"""),45009.66666666667)</f>
        <v>45009.66667</v>
      </c>
      <c r="B4027" s="1">
        <f>IFERROR(__xludf.DUMMYFUNCTION("""COMPUTED_VALUE"""),11.28)</f>
        <v>11.28</v>
      </c>
      <c r="C4027" s="1">
        <f>IFERROR(__xludf.DUMMYFUNCTION("""COMPUTED_VALUE"""),11.31)</f>
        <v>11.31</v>
      </c>
      <c r="D4027" s="1">
        <f>IFERROR(__xludf.DUMMYFUNCTION("""COMPUTED_VALUE"""),10.61)</f>
        <v>10.61</v>
      </c>
      <c r="E4027" s="1">
        <f>IFERROR(__xludf.DUMMYFUNCTION("""COMPUTED_VALUE"""),11.08)</f>
        <v>11.08</v>
      </c>
      <c r="F4027" s="1">
        <f>IFERROR(__xludf.DUMMYFUNCTION("""COMPUTED_VALUE"""),1831960.0)</f>
        <v>1831960</v>
      </c>
    </row>
    <row r="4028">
      <c r="A4028" s="2">
        <f>IFERROR(__xludf.DUMMYFUNCTION("""COMPUTED_VALUE"""),45012.66666666667)</f>
        <v>45012.66667</v>
      </c>
      <c r="B4028" s="1">
        <f>IFERROR(__xludf.DUMMYFUNCTION("""COMPUTED_VALUE"""),11.2)</f>
        <v>11.2</v>
      </c>
      <c r="C4028" s="1">
        <f>IFERROR(__xludf.DUMMYFUNCTION("""COMPUTED_VALUE"""),11.36)</f>
        <v>11.36</v>
      </c>
      <c r="D4028" s="1">
        <f>IFERROR(__xludf.DUMMYFUNCTION("""COMPUTED_VALUE"""),10.99)</f>
        <v>10.99</v>
      </c>
      <c r="E4028" s="1">
        <f>IFERROR(__xludf.DUMMYFUNCTION("""COMPUTED_VALUE"""),11.09)</f>
        <v>11.09</v>
      </c>
      <c r="F4028" s="1">
        <f>IFERROR(__xludf.DUMMYFUNCTION("""COMPUTED_VALUE"""),1768893.0)</f>
        <v>1768893</v>
      </c>
    </row>
    <row r="4029">
      <c r="A4029" s="2">
        <f>IFERROR(__xludf.DUMMYFUNCTION("""COMPUTED_VALUE"""),45013.66666666667)</f>
        <v>45013.66667</v>
      </c>
      <c r="B4029" s="1">
        <f>IFERROR(__xludf.DUMMYFUNCTION("""COMPUTED_VALUE"""),11.04)</f>
        <v>11.04</v>
      </c>
      <c r="C4029" s="1">
        <f>IFERROR(__xludf.DUMMYFUNCTION("""COMPUTED_VALUE"""),11.11)</f>
        <v>11.11</v>
      </c>
      <c r="D4029" s="1">
        <f>IFERROR(__xludf.DUMMYFUNCTION("""COMPUTED_VALUE"""),10.14)</f>
        <v>10.14</v>
      </c>
      <c r="E4029" s="1">
        <f>IFERROR(__xludf.DUMMYFUNCTION("""COMPUTED_VALUE"""),10.28)</f>
        <v>10.28</v>
      </c>
      <c r="F4029" s="1">
        <f>IFERROR(__xludf.DUMMYFUNCTION("""COMPUTED_VALUE"""),2076072.0)</f>
        <v>2076072</v>
      </c>
    </row>
    <row r="4030">
      <c r="A4030" s="2">
        <f>IFERROR(__xludf.DUMMYFUNCTION("""COMPUTED_VALUE"""),45014.66666666667)</f>
        <v>45014.66667</v>
      </c>
      <c r="B4030" s="1">
        <f>IFERROR(__xludf.DUMMYFUNCTION("""COMPUTED_VALUE"""),10.46)</f>
        <v>10.46</v>
      </c>
      <c r="C4030" s="1">
        <f>IFERROR(__xludf.DUMMYFUNCTION("""COMPUTED_VALUE"""),10.59)</f>
        <v>10.59</v>
      </c>
      <c r="D4030" s="1">
        <f>IFERROR(__xludf.DUMMYFUNCTION("""COMPUTED_VALUE"""),10.25)</f>
        <v>10.25</v>
      </c>
      <c r="E4030" s="1">
        <f>IFERROR(__xludf.DUMMYFUNCTION("""COMPUTED_VALUE"""),10.57)</f>
        <v>10.57</v>
      </c>
      <c r="F4030" s="1">
        <f>IFERROR(__xludf.DUMMYFUNCTION("""COMPUTED_VALUE"""),1382646.0)</f>
        <v>1382646</v>
      </c>
    </row>
    <row r="4031">
      <c r="A4031" s="2">
        <f>IFERROR(__xludf.DUMMYFUNCTION("""COMPUTED_VALUE"""),45015.66666666667)</f>
        <v>45015.66667</v>
      </c>
      <c r="B4031" s="1">
        <f>IFERROR(__xludf.DUMMYFUNCTION("""COMPUTED_VALUE"""),10.73)</f>
        <v>10.73</v>
      </c>
      <c r="C4031" s="1">
        <f>IFERROR(__xludf.DUMMYFUNCTION("""COMPUTED_VALUE"""),10.73)</f>
        <v>10.73</v>
      </c>
      <c r="D4031" s="1">
        <f>IFERROR(__xludf.DUMMYFUNCTION("""COMPUTED_VALUE"""),10.13)</f>
        <v>10.13</v>
      </c>
      <c r="E4031" s="1">
        <f>IFERROR(__xludf.DUMMYFUNCTION("""COMPUTED_VALUE"""),10.33)</f>
        <v>10.33</v>
      </c>
      <c r="F4031" s="1">
        <f>IFERROR(__xludf.DUMMYFUNCTION("""COMPUTED_VALUE"""),1285652.0)</f>
        <v>1285652</v>
      </c>
    </row>
    <row r="4032">
      <c r="A4032" s="2">
        <f>IFERROR(__xludf.DUMMYFUNCTION("""COMPUTED_VALUE"""),45016.66666666667)</f>
        <v>45016.66667</v>
      </c>
      <c r="B4032" s="1">
        <f>IFERROR(__xludf.DUMMYFUNCTION("""COMPUTED_VALUE"""),10.36)</f>
        <v>10.36</v>
      </c>
      <c r="C4032" s="1">
        <f>IFERROR(__xludf.DUMMYFUNCTION("""COMPUTED_VALUE"""),10.78)</f>
        <v>10.78</v>
      </c>
      <c r="D4032" s="1">
        <f>IFERROR(__xludf.DUMMYFUNCTION("""COMPUTED_VALUE"""),10.32)</f>
        <v>10.32</v>
      </c>
      <c r="E4032" s="1">
        <f>IFERROR(__xludf.DUMMYFUNCTION("""COMPUTED_VALUE"""),10.66)</f>
        <v>10.66</v>
      </c>
      <c r="F4032" s="1">
        <f>IFERROR(__xludf.DUMMYFUNCTION("""COMPUTED_VALUE"""),1256028.0)</f>
        <v>1256028</v>
      </c>
    </row>
    <row r="4033">
      <c r="A4033" s="2">
        <f>IFERROR(__xludf.DUMMYFUNCTION("""COMPUTED_VALUE"""),45019.66666666667)</f>
        <v>45019.66667</v>
      </c>
      <c r="B4033" s="1">
        <f>IFERROR(__xludf.DUMMYFUNCTION("""COMPUTED_VALUE"""),10.66)</f>
        <v>10.66</v>
      </c>
      <c r="C4033" s="1">
        <f>IFERROR(__xludf.DUMMYFUNCTION("""COMPUTED_VALUE"""),11.28)</f>
        <v>11.28</v>
      </c>
      <c r="D4033" s="1">
        <f>IFERROR(__xludf.DUMMYFUNCTION("""COMPUTED_VALUE"""),10.66)</f>
        <v>10.66</v>
      </c>
      <c r="E4033" s="1">
        <f>IFERROR(__xludf.DUMMYFUNCTION("""COMPUTED_VALUE"""),11.27)</f>
        <v>11.27</v>
      </c>
      <c r="F4033" s="1">
        <f>IFERROR(__xludf.DUMMYFUNCTION("""COMPUTED_VALUE"""),1858735.0)</f>
        <v>1858735</v>
      </c>
    </row>
    <row r="4034">
      <c r="A4034" s="2">
        <f>IFERROR(__xludf.DUMMYFUNCTION("""COMPUTED_VALUE"""),45020.66666666667)</f>
        <v>45020.66667</v>
      </c>
      <c r="B4034" s="1">
        <f>IFERROR(__xludf.DUMMYFUNCTION("""COMPUTED_VALUE"""),11.38)</f>
        <v>11.38</v>
      </c>
      <c r="C4034" s="1">
        <f>IFERROR(__xludf.DUMMYFUNCTION("""COMPUTED_VALUE"""),11.71)</f>
        <v>11.71</v>
      </c>
      <c r="D4034" s="1">
        <f>IFERROR(__xludf.DUMMYFUNCTION("""COMPUTED_VALUE"""),10.86)</f>
        <v>10.86</v>
      </c>
      <c r="E4034" s="1">
        <f>IFERROR(__xludf.DUMMYFUNCTION("""COMPUTED_VALUE"""),10.95)</f>
        <v>10.95</v>
      </c>
      <c r="F4034" s="1">
        <f>IFERROR(__xludf.DUMMYFUNCTION("""COMPUTED_VALUE"""),1740714.0)</f>
        <v>1740714</v>
      </c>
    </row>
    <row r="4035">
      <c r="A4035" s="2">
        <f>IFERROR(__xludf.DUMMYFUNCTION("""COMPUTED_VALUE"""),45021.66666666667)</f>
        <v>45021.66667</v>
      </c>
      <c r="B4035" s="1">
        <f>IFERROR(__xludf.DUMMYFUNCTION("""COMPUTED_VALUE"""),10.83)</f>
        <v>10.83</v>
      </c>
      <c r="C4035" s="1">
        <f>IFERROR(__xludf.DUMMYFUNCTION("""COMPUTED_VALUE"""),11.02)</f>
        <v>11.02</v>
      </c>
      <c r="D4035" s="1">
        <f>IFERROR(__xludf.DUMMYFUNCTION("""COMPUTED_VALUE"""),10.62)</f>
        <v>10.62</v>
      </c>
      <c r="E4035" s="1">
        <f>IFERROR(__xludf.DUMMYFUNCTION("""COMPUTED_VALUE"""),10.8)</f>
        <v>10.8</v>
      </c>
      <c r="F4035" s="1">
        <f>IFERROR(__xludf.DUMMYFUNCTION("""COMPUTED_VALUE"""),839393.0)</f>
        <v>839393</v>
      </c>
    </row>
    <row r="4036">
      <c r="A4036" s="2">
        <f>IFERROR(__xludf.DUMMYFUNCTION("""COMPUTED_VALUE"""),45022.66666666667)</f>
        <v>45022.66667</v>
      </c>
      <c r="B4036" s="1">
        <f>IFERROR(__xludf.DUMMYFUNCTION("""COMPUTED_VALUE"""),9.98)</f>
        <v>9.98</v>
      </c>
      <c r="C4036" s="1">
        <f>IFERROR(__xludf.DUMMYFUNCTION("""COMPUTED_VALUE"""),10.44)</f>
        <v>10.44</v>
      </c>
      <c r="D4036" s="1">
        <f>IFERROR(__xludf.DUMMYFUNCTION("""COMPUTED_VALUE"""),9.7)</f>
        <v>9.7</v>
      </c>
      <c r="E4036" s="1">
        <f>IFERROR(__xludf.DUMMYFUNCTION("""COMPUTED_VALUE"""),10.07)</f>
        <v>10.07</v>
      </c>
      <c r="F4036" s="1">
        <f>IFERROR(__xludf.DUMMYFUNCTION("""COMPUTED_VALUE"""),3395917.0)</f>
        <v>3395917</v>
      </c>
    </row>
    <row r="4037">
      <c r="A4037" s="2">
        <f>IFERROR(__xludf.DUMMYFUNCTION("""COMPUTED_VALUE"""),45026.66666666667)</f>
        <v>45026.66667</v>
      </c>
      <c r="B4037" s="1">
        <f>IFERROR(__xludf.DUMMYFUNCTION("""COMPUTED_VALUE"""),10.0)</f>
        <v>10</v>
      </c>
      <c r="C4037" s="1">
        <f>IFERROR(__xludf.DUMMYFUNCTION("""COMPUTED_VALUE"""),10.69)</f>
        <v>10.69</v>
      </c>
      <c r="D4037" s="1">
        <f>IFERROR(__xludf.DUMMYFUNCTION("""COMPUTED_VALUE"""),9.92)</f>
        <v>9.92</v>
      </c>
      <c r="E4037" s="1">
        <f>IFERROR(__xludf.DUMMYFUNCTION("""COMPUTED_VALUE"""),10.66)</f>
        <v>10.66</v>
      </c>
      <c r="F4037" s="1">
        <f>IFERROR(__xludf.DUMMYFUNCTION("""COMPUTED_VALUE"""),1319796.0)</f>
        <v>1319796</v>
      </c>
    </row>
    <row r="4038">
      <c r="A4038" s="2">
        <f>IFERROR(__xludf.DUMMYFUNCTION("""COMPUTED_VALUE"""),45027.66666666667)</f>
        <v>45027.66667</v>
      </c>
      <c r="B4038" s="1">
        <f>IFERROR(__xludf.DUMMYFUNCTION("""COMPUTED_VALUE"""),10.74)</f>
        <v>10.74</v>
      </c>
      <c r="C4038" s="1">
        <f>IFERROR(__xludf.DUMMYFUNCTION("""COMPUTED_VALUE"""),10.88)</f>
        <v>10.88</v>
      </c>
      <c r="D4038" s="1">
        <f>IFERROR(__xludf.DUMMYFUNCTION("""COMPUTED_VALUE"""),10.46)</f>
        <v>10.46</v>
      </c>
      <c r="E4038" s="1">
        <f>IFERROR(__xludf.DUMMYFUNCTION("""COMPUTED_VALUE"""),10.47)</f>
        <v>10.47</v>
      </c>
      <c r="F4038" s="1">
        <f>IFERROR(__xludf.DUMMYFUNCTION("""COMPUTED_VALUE"""),1020955.0)</f>
        <v>1020955</v>
      </c>
    </row>
    <row r="4039">
      <c r="A4039" s="2">
        <f>IFERROR(__xludf.DUMMYFUNCTION("""COMPUTED_VALUE"""),45028.66666666667)</f>
        <v>45028.66667</v>
      </c>
      <c r="B4039" s="1">
        <f>IFERROR(__xludf.DUMMYFUNCTION("""COMPUTED_VALUE"""),10.59)</f>
        <v>10.59</v>
      </c>
      <c r="C4039" s="1">
        <f>IFERROR(__xludf.DUMMYFUNCTION("""COMPUTED_VALUE"""),11.05)</f>
        <v>11.05</v>
      </c>
      <c r="D4039" s="1">
        <f>IFERROR(__xludf.DUMMYFUNCTION("""COMPUTED_VALUE"""),10.56)</f>
        <v>10.56</v>
      </c>
      <c r="E4039" s="1">
        <f>IFERROR(__xludf.DUMMYFUNCTION("""COMPUTED_VALUE"""),10.81)</f>
        <v>10.81</v>
      </c>
      <c r="F4039" s="1">
        <f>IFERROR(__xludf.DUMMYFUNCTION("""COMPUTED_VALUE"""),1495407.0)</f>
        <v>1495407</v>
      </c>
    </row>
    <row r="4040">
      <c r="A4040" s="2">
        <f>IFERROR(__xludf.DUMMYFUNCTION("""COMPUTED_VALUE"""),45029.66666666667)</f>
        <v>45029.66667</v>
      </c>
      <c r="B4040" s="1">
        <f>IFERROR(__xludf.DUMMYFUNCTION("""COMPUTED_VALUE"""),10.81)</f>
        <v>10.81</v>
      </c>
      <c r="C4040" s="1">
        <f>IFERROR(__xludf.DUMMYFUNCTION("""COMPUTED_VALUE"""),10.86)</f>
        <v>10.86</v>
      </c>
      <c r="D4040" s="1">
        <f>IFERROR(__xludf.DUMMYFUNCTION("""COMPUTED_VALUE"""),10.38)</f>
        <v>10.38</v>
      </c>
      <c r="E4040" s="1">
        <f>IFERROR(__xludf.DUMMYFUNCTION("""COMPUTED_VALUE"""),10.82)</f>
        <v>10.82</v>
      </c>
      <c r="F4040" s="1">
        <f>IFERROR(__xludf.DUMMYFUNCTION("""COMPUTED_VALUE"""),1229816.0)</f>
        <v>1229816</v>
      </c>
    </row>
    <row r="4041">
      <c r="A4041" s="2">
        <f>IFERROR(__xludf.DUMMYFUNCTION("""COMPUTED_VALUE"""),45030.66666666667)</f>
        <v>45030.66667</v>
      </c>
      <c r="B4041" s="1">
        <f>IFERROR(__xludf.DUMMYFUNCTION("""COMPUTED_VALUE"""),10.82)</f>
        <v>10.82</v>
      </c>
      <c r="C4041" s="1">
        <f>IFERROR(__xludf.DUMMYFUNCTION("""COMPUTED_VALUE"""),10.97)</f>
        <v>10.97</v>
      </c>
      <c r="D4041" s="1">
        <f>IFERROR(__xludf.DUMMYFUNCTION("""COMPUTED_VALUE"""),10.77)</f>
        <v>10.77</v>
      </c>
      <c r="E4041" s="1">
        <f>IFERROR(__xludf.DUMMYFUNCTION("""COMPUTED_VALUE"""),10.92)</f>
        <v>10.92</v>
      </c>
      <c r="F4041" s="1">
        <f>IFERROR(__xludf.DUMMYFUNCTION("""COMPUTED_VALUE"""),947036.0)</f>
        <v>947036</v>
      </c>
    </row>
    <row r="4042">
      <c r="A4042" s="2">
        <f>IFERROR(__xludf.DUMMYFUNCTION("""COMPUTED_VALUE"""),45033.66666666667)</f>
        <v>45033.66667</v>
      </c>
      <c r="B4042" s="1">
        <f>IFERROR(__xludf.DUMMYFUNCTION("""COMPUTED_VALUE"""),10.92)</f>
        <v>10.92</v>
      </c>
      <c r="C4042" s="1">
        <f>IFERROR(__xludf.DUMMYFUNCTION("""COMPUTED_VALUE"""),11.06)</f>
        <v>11.06</v>
      </c>
      <c r="D4042" s="1">
        <f>IFERROR(__xludf.DUMMYFUNCTION("""COMPUTED_VALUE"""),10.73)</f>
        <v>10.73</v>
      </c>
      <c r="E4042" s="1">
        <f>IFERROR(__xludf.DUMMYFUNCTION("""COMPUTED_VALUE"""),11.04)</f>
        <v>11.04</v>
      </c>
      <c r="F4042" s="1">
        <f>IFERROR(__xludf.DUMMYFUNCTION("""COMPUTED_VALUE"""),795102.0)</f>
        <v>795102</v>
      </c>
    </row>
    <row r="4043">
      <c r="A4043" s="2">
        <f>IFERROR(__xludf.DUMMYFUNCTION("""COMPUTED_VALUE"""),45034.66666666667)</f>
        <v>45034.66667</v>
      </c>
      <c r="B4043" s="1">
        <f>IFERROR(__xludf.DUMMYFUNCTION("""COMPUTED_VALUE"""),11.2)</f>
        <v>11.2</v>
      </c>
      <c r="C4043" s="1">
        <f>IFERROR(__xludf.DUMMYFUNCTION("""COMPUTED_VALUE"""),11.92)</f>
        <v>11.92</v>
      </c>
      <c r="D4043" s="1">
        <f>IFERROR(__xludf.DUMMYFUNCTION("""COMPUTED_VALUE"""),11.2)</f>
        <v>11.2</v>
      </c>
      <c r="E4043" s="1">
        <f>IFERROR(__xludf.DUMMYFUNCTION("""COMPUTED_VALUE"""),11.59)</f>
        <v>11.59</v>
      </c>
      <c r="F4043" s="1">
        <f>IFERROR(__xludf.DUMMYFUNCTION("""COMPUTED_VALUE"""),1525078.0)</f>
        <v>1525078</v>
      </c>
    </row>
    <row r="4044">
      <c r="A4044" s="2">
        <f>IFERROR(__xludf.DUMMYFUNCTION("""COMPUTED_VALUE"""),45035.66666666667)</f>
        <v>45035.66667</v>
      </c>
      <c r="B4044" s="1">
        <f>IFERROR(__xludf.DUMMYFUNCTION("""COMPUTED_VALUE"""),11.35)</f>
        <v>11.35</v>
      </c>
      <c r="C4044" s="1">
        <f>IFERROR(__xludf.DUMMYFUNCTION("""COMPUTED_VALUE"""),11.66)</f>
        <v>11.66</v>
      </c>
      <c r="D4044" s="1">
        <f>IFERROR(__xludf.DUMMYFUNCTION("""COMPUTED_VALUE"""),10.96)</f>
        <v>10.96</v>
      </c>
      <c r="E4044" s="1">
        <f>IFERROR(__xludf.DUMMYFUNCTION("""COMPUTED_VALUE"""),10.98)</f>
        <v>10.98</v>
      </c>
      <c r="F4044" s="1">
        <f>IFERROR(__xludf.DUMMYFUNCTION("""COMPUTED_VALUE"""),1536067.0)</f>
        <v>1536067</v>
      </c>
    </row>
    <row r="4045">
      <c r="A4045" s="2">
        <f>IFERROR(__xludf.DUMMYFUNCTION("""COMPUTED_VALUE"""),45036.66666666667)</f>
        <v>45036.66667</v>
      </c>
      <c r="B4045" s="1">
        <f>IFERROR(__xludf.DUMMYFUNCTION("""COMPUTED_VALUE"""),10.82)</f>
        <v>10.82</v>
      </c>
      <c r="C4045" s="1">
        <f>IFERROR(__xludf.DUMMYFUNCTION("""COMPUTED_VALUE"""),11.2)</f>
        <v>11.2</v>
      </c>
      <c r="D4045" s="1">
        <f>IFERROR(__xludf.DUMMYFUNCTION("""COMPUTED_VALUE"""),10.7)</f>
        <v>10.7</v>
      </c>
      <c r="E4045" s="1">
        <f>IFERROR(__xludf.DUMMYFUNCTION("""COMPUTED_VALUE"""),10.8)</f>
        <v>10.8</v>
      </c>
      <c r="F4045" s="1">
        <f>IFERROR(__xludf.DUMMYFUNCTION("""COMPUTED_VALUE"""),1103965.0)</f>
        <v>1103965</v>
      </c>
    </row>
    <row r="4046">
      <c r="A4046" s="2">
        <f>IFERROR(__xludf.DUMMYFUNCTION("""COMPUTED_VALUE"""),45037.66666666667)</f>
        <v>45037.66667</v>
      </c>
      <c r="B4046" s="1">
        <f>IFERROR(__xludf.DUMMYFUNCTION("""COMPUTED_VALUE"""),10.7)</f>
        <v>10.7</v>
      </c>
      <c r="C4046" s="1">
        <f>IFERROR(__xludf.DUMMYFUNCTION("""COMPUTED_VALUE"""),10.81)</f>
        <v>10.81</v>
      </c>
      <c r="D4046" s="1">
        <f>IFERROR(__xludf.DUMMYFUNCTION("""COMPUTED_VALUE"""),10.23)</f>
        <v>10.23</v>
      </c>
      <c r="E4046" s="1">
        <f>IFERROR(__xludf.DUMMYFUNCTION("""COMPUTED_VALUE"""),10.73)</f>
        <v>10.73</v>
      </c>
      <c r="F4046" s="1">
        <f>IFERROR(__xludf.DUMMYFUNCTION("""COMPUTED_VALUE"""),1098700.0)</f>
        <v>1098700</v>
      </c>
    </row>
    <row r="4047">
      <c r="A4047" s="2">
        <f>IFERROR(__xludf.DUMMYFUNCTION("""COMPUTED_VALUE"""),45040.66666666667)</f>
        <v>45040.66667</v>
      </c>
      <c r="B4047" s="1">
        <f>IFERROR(__xludf.DUMMYFUNCTION("""COMPUTED_VALUE"""),9.75)</f>
        <v>9.75</v>
      </c>
      <c r="C4047" s="1">
        <f>IFERROR(__xludf.DUMMYFUNCTION("""COMPUTED_VALUE"""),10.34)</f>
        <v>10.34</v>
      </c>
      <c r="D4047" s="1">
        <f>IFERROR(__xludf.DUMMYFUNCTION("""COMPUTED_VALUE"""),9.69)</f>
        <v>9.69</v>
      </c>
      <c r="E4047" s="1">
        <f>IFERROR(__xludf.DUMMYFUNCTION("""COMPUTED_VALUE"""),9.86)</f>
        <v>9.86</v>
      </c>
      <c r="F4047" s="1">
        <f>IFERROR(__xludf.DUMMYFUNCTION("""COMPUTED_VALUE"""),4235080.0)</f>
        <v>4235080</v>
      </c>
    </row>
    <row r="4048">
      <c r="A4048" s="2">
        <f>IFERROR(__xludf.DUMMYFUNCTION("""COMPUTED_VALUE"""),45041.66666666667)</f>
        <v>45041.66667</v>
      </c>
      <c r="B4048" s="1">
        <f>IFERROR(__xludf.DUMMYFUNCTION("""COMPUTED_VALUE"""),9.8)</f>
        <v>9.8</v>
      </c>
      <c r="C4048" s="1">
        <f>IFERROR(__xludf.DUMMYFUNCTION("""COMPUTED_VALUE"""),9.8)</f>
        <v>9.8</v>
      </c>
      <c r="D4048" s="1">
        <f>IFERROR(__xludf.DUMMYFUNCTION("""COMPUTED_VALUE"""),9.32)</f>
        <v>9.32</v>
      </c>
      <c r="E4048" s="1">
        <f>IFERROR(__xludf.DUMMYFUNCTION("""COMPUTED_VALUE"""),9.33)</f>
        <v>9.33</v>
      </c>
      <c r="F4048" s="1">
        <f>IFERROR(__xludf.DUMMYFUNCTION("""COMPUTED_VALUE"""),2171066.0)</f>
        <v>2171066</v>
      </c>
    </row>
    <row r="4049">
      <c r="A4049" s="2">
        <f>IFERROR(__xludf.DUMMYFUNCTION("""COMPUTED_VALUE"""),45042.66666666667)</f>
        <v>45042.66667</v>
      </c>
      <c r="B4049" s="1">
        <f>IFERROR(__xludf.DUMMYFUNCTION("""COMPUTED_VALUE"""),9.46)</f>
        <v>9.46</v>
      </c>
      <c r="C4049" s="1">
        <f>IFERROR(__xludf.DUMMYFUNCTION("""COMPUTED_VALUE"""),9.62)</f>
        <v>9.62</v>
      </c>
      <c r="D4049" s="1">
        <f>IFERROR(__xludf.DUMMYFUNCTION("""COMPUTED_VALUE"""),9.4)</f>
        <v>9.4</v>
      </c>
      <c r="E4049" s="1">
        <f>IFERROR(__xludf.DUMMYFUNCTION("""COMPUTED_VALUE"""),9.49)</f>
        <v>9.49</v>
      </c>
      <c r="F4049" s="1">
        <f>IFERROR(__xludf.DUMMYFUNCTION("""COMPUTED_VALUE"""),1504274.0)</f>
        <v>1504274</v>
      </c>
    </row>
    <row r="4050">
      <c r="A4050" s="2">
        <f>IFERROR(__xludf.DUMMYFUNCTION("""COMPUTED_VALUE"""),45043.66666666667)</f>
        <v>45043.66667</v>
      </c>
      <c r="B4050" s="1">
        <f>IFERROR(__xludf.DUMMYFUNCTION("""COMPUTED_VALUE"""),9.42)</f>
        <v>9.42</v>
      </c>
      <c r="C4050" s="1">
        <f>IFERROR(__xludf.DUMMYFUNCTION("""COMPUTED_VALUE"""),9.88)</f>
        <v>9.88</v>
      </c>
      <c r="D4050" s="1">
        <f>IFERROR(__xludf.DUMMYFUNCTION("""COMPUTED_VALUE"""),9.33)</f>
        <v>9.33</v>
      </c>
      <c r="E4050" s="1">
        <f>IFERROR(__xludf.DUMMYFUNCTION("""COMPUTED_VALUE"""),9.86)</f>
        <v>9.86</v>
      </c>
      <c r="F4050" s="1">
        <f>IFERROR(__xludf.DUMMYFUNCTION("""COMPUTED_VALUE"""),1000646.0)</f>
        <v>1000646</v>
      </c>
    </row>
    <row r="4051">
      <c r="A4051" s="2">
        <f>IFERROR(__xludf.DUMMYFUNCTION("""COMPUTED_VALUE"""),45044.66666666667)</f>
        <v>45044.66667</v>
      </c>
      <c r="B4051" s="1">
        <f>IFERROR(__xludf.DUMMYFUNCTION("""COMPUTED_VALUE"""),9.85)</f>
        <v>9.85</v>
      </c>
      <c r="C4051" s="1">
        <f>IFERROR(__xludf.DUMMYFUNCTION("""COMPUTED_VALUE"""),10.55)</f>
        <v>10.55</v>
      </c>
      <c r="D4051" s="1">
        <f>IFERROR(__xludf.DUMMYFUNCTION("""COMPUTED_VALUE"""),9.8)</f>
        <v>9.8</v>
      </c>
      <c r="E4051" s="1">
        <f>IFERROR(__xludf.DUMMYFUNCTION("""COMPUTED_VALUE"""),10.54)</f>
        <v>10.54</v>
      </c>
      <c r="F4051" s="1">
        <f>IFERROR(__xludf.DUMMYFUNCTION("""COMPUTED_VALUE"""),1503695.0)</f>
        <v>1503695</v>
      </c>
    </row>
    <row r="4052">
      <c r="A4052" s="2">
        <f>IFERROR(__xludf.DUMMYFUNCTION("""COMPUTED_VALUE"""),45047.66666666667)</f>
        <v>45047.66667</v>
      </c>
      <c r="B4052" s="1">
        <f>IFERROR(__xludf.DUMMYFUNCTION("""COMPUTED_VALUE"""),10.54)</f>
        <v>10.54</v>
      </c>
      <c r="C4052" s="1">
        <f>IFERROR(__xludf.DUMMYFUNCTION("""COMPUTED_VALUE"""),10.8)</f>
        <v>10.8</v>
      </c>
      <c r="D4052" s="1">
        <f>IFERROR(__xludf.DUMMYFUNCTION("""COMPUTED_VALUE"""),10.31)</f>
        <v>10.31</v>
      </c>
      <c r="E4052" s="1">
        <f>IFERROR(__xludf.DUMMYFUNCTION("""COMPUTED_VALUE"""),10.51)</f>
        <v>10.51</v>
      </c>
      <c r="F4052" s="1">
        <f>IFERROR(__xludf.DUMMYFUNCTION("""COMPUTED_VALUE"""),1584743.0)</f>
        <v>1584743</v>
      </c>
    </row>
    <row r="4053">
      <c r="A4053" s="2">
        <f>IFERROR(__xludf.DUMMYFUNCTION("""COMPUTED_VALUE"""),45048.66666666667)</f>
        <v>45048.66667</v>
      </c>
      <c r="B4053" s="1">
        <f>IFERROR(__xludf.DUMMYFUNCTION("""COMPUTED_VALUE"""),10.52)</f>
        <v>10.52</v>
      </c>
      <c r="C4053" s="1">
        <f>IFERROR(__xludf.DUMMYFUNCTION("""COMPUTED_VALUE"""),10.78)</f>
        <v>10.78</v>
      </c>
      <c r="D4053" s="1">
        <f>IFERROR(__xludf.DUMMYFUNCTION("""COMPUTED_VALUE"""),10.17)</f>
        <v>10.17</v>
      </c>
      <c r="E4053" s="1">
        <f>IFERROR(__xludf.DUMMYFUNCTION("""COMPUTED_VALUE"""),10.44)</f>
        <v>10.44</v>
      </c>
      <c r="F4053" s="1">
        <f>IFERROR(__xludf.DUMMYFUNCTION("""COMPUTED_VALUE"""),2040892.0)</f>
        <v>2040892</v>
      </c>
    </row>
    <row r="4054">
      <c r="A4054" s="2">
        <f>IFERROR(__xludf.DUMMYFUNCTION("""COMPUTED_VALUE"""),45049.66666666667)</f>
        <v>45049.66667</v>
      </c>
      <c r="B4054" s="1">
        <f>IFERROR(__xludf.DUMMYFUNCTION("""COMPUTED_VALUE"""),11.6)</f>
        <v>11.6</v>
      </c>
      <c r="C4054" s="1">
        <f>IFERROR(__xludf.DUMMYFUNCTION("""COMPUTED_VALUE"""),13.66)</f>
        <v>13.66</v>
      </c>
      <c r="D4054" s="1">
        <f>IFERROR(__xludf.DUMMYFUNCTION("""COMPUTED_VALUE"""),11.43)</f>
        <v>11.43</v>
      </c>
      <c r="E4054" s="1">
        <f>IFERROR(__xludf.DUMMYFUNCTION("""COMPUTED_VALUE"""),13.4)</f>
        <v>13.4</v>
      </c>
      <c r="F4054" s="1">
        <f>IFERROR(__xludf.DUMMYFUNCTION("""COMPUTED_VALUE"""),8162842.0)</f>
        <v>8162842</v>
      </c>
    </row>
    <row r="4055">
      <c r="A4055" s="2">
        <f>IFERROR(__xludf.DUMMYFUNCTION("""COMPUTED_VALUE"""),45050.66666666667)</f>
        <v>45050.66667</v>
      </c>
      <c r="B4055" s="1">
        <f>IFERROR(__xludf.DUMMYFUNCTION("""COMPUTED_VALUE"""),13.28)</f>
        <v>13.28</v>
      </c>
      <c r="C4055" s="1">
        <f>IFERROR(__xludf.DUMMYFUNCTION("""COMPUTED_VALUE"""),13.95)</f>
        <v>13.95</v>
      </c>
      <c r="D4055" s="1">
        <f>IFERROR(__xludf.DUMMYFUNCTION("""COMPUTED_VALUE"""),13.12)</f>
        <v>13.12</v>
      </c>
      <c r="E4055" s="1">
        <f>IFERROR(__xludf.DUMMYFUNCTION("""COMPUTED_VALUE"""),13.64)</f>
        <v>13.64</v>
      </c>
      <c r="F4055" s="1">
        <f>IFERROR(__xludf.DUMMYFUNCTION("""COMPUTED_VALUE"""),2122826.0)</f>
        <v>2122826</v>
      </c>
    </row>
    <row r="4056">
      <c r="A4056" s="2">
        <f>IFERROR(__xludf.DUMMYFUNCTION("""COMPUTED_VALUE"""),45051.66666666667)</f>
        <v>45051.66667</v>
      </c>
      <c r="B4056" s="1">
        <f>IFERROR(__xludf.DUMMYFUNCTION("""COMPUTED_VALUE"""),13.82)</f>
        <v>13.82</v>
      </c>
      <c r="C4056" s="1">
        <f>IFERROR(__xludf.DUMMYFUNCTION("""COMPUTED_VALUE"""),14.35)</f>
        <v>14.35</v>
      </c>
      <c r="D4056" s="1">
        <f>IFERROR(__xludf.DUMMYFUNCTION("""COMPUTED_VALUE"""),13.5)</f>
        <v>13.5</v>
      </c>
      <c r="E4056" s="1">
        <f>IFERROR(__xludf.DUMMYFUNCTION("""COMPUTED_VALUE"""),13.72)</f>
        <v>13.72</v>
      </c>
      <c r="F4056" s="1">
        <f>IFERROR(__xludf.DUMMYFUNCTION("""COMPUTED_VALUE"""),2365928.0)</f>
        <v>2365928</v>
      </c>
    </row>
    <row r="4057">
      <c r="A4057" s="2">
        <f>IFERROR(__xludf.DUMMYFUNCTION("""COMPUTED_VALUE"""),45054.66666666667)</f>
        <v>45054.66667</v>
      </c>
      <c r="B4057" s="1">
        <f>IFERROR(__xludf.DUMMYFUNCTION("""COMPUTED_VALUE"""),13.6)</f>
        <v>13.6</v>
      </c>
      <c r="C4057" s="1">
        <f>IFERROR(__xludf.DUMMYFUNCTION("""COMPUTED_VALUE"""),13.92)</f>
        <v>13.92</v>
      </c>
      <c r="D4057" s="1">
        <f>IFERROR(__xludf.DUMMYFUNCTION("""COMPUTED_VALUE"""),13.44)</f>
        <v>13.44</v>
      </c>
      <c r="E4057" s="1">
        <f>IFERROR(__xludf.DUMMYFUNCTION("""COMPUTED_VALUE"""),13.66)</f>
        <v>13.66</v>
      </c>
      <c r="F4057" s="1">
        <f>IFERROR(__xludf.DUMMYFUNCTION("""COMPUTED_VALUE"""),1487666.0)</f>
        <v>1487666</v>
      </c>
    </row>
    <row r="4058">
      <c r="A4058" s="2">
        <f>IFERROR(__xludf.DUMMYFUNCTION("""COMPUTED_VALUE"""),45055.66666666667)</f>
        <v>45055.66667</v>
      </c>
      <c r="B4058" s="1">
        <f>IFERROR(__xludf.DUMMYFUNCTION("""COMPUTED_VALUE"""),13.68)</f>
        <v>13.68</v>
      </c>
      <c r="C4058" s="1">
        <f>IFERROR(__xludf.DUMMYFUNCTION("""COMPUTED_VALUE"""),13.75)</f>
        <v>13.75</v>
      </c>
      <c r="D4058" s="1">
        <f>IFERROR(__xludf.DUMMYFUNCTION("""COMPUTED_VALUE"""),13.21)</f>
        <v>13.21</v>
      </c>
      <c r="E4058" s="1">
        <f>IFERROR(__xludf.DUMMYFUNCTION("""COMPUTED_VALUE"""),13.23)</f>
        <v>13.23</v>
      </c>
      <c r="F4058" s="1">
        <f>IFERROR(__xludf.DUMMYFUNCTION("""COMPUTED_VALUE"""),1463649.0)</f>
        <v>1463649</v>
      </c>
    </row>
    <row r="4059">
      <c r="A4059" s="2">
        <f>IFERROR(__xludf.DUMMYFUNCTION("""COMPUTED_VALUE"""),45056.66666666667)</f>
        <v>45056.66667</v>
      </c>
      <c r="B4059" s="1">
        <f>IFERROR(__xludf.DUMMYFUNCTION("""COMPUTED_VALUE"""),13.25)</f>
        <v>13.25</v>
      </c>
      <c r="C4059" s="1">
        <f>IFERROR(__xludf.DUMMYFUNCTION("""COMPUTED_VALUE"""),13.56)</f>
        <v>13.56</v>
      </c>
      <c r="D4059" s="1">
        <f>IFERROR(__xludf.DUMMYFUNCTION("""COMPUTED_VALUE"""),13.11)</f>
        <v>13.11</v>
      </c>
      <c r="E4059" s="1">
        <f>IFERROR(__xludf.DUMMYFUNCTION("""COMPUTED_VALUE"""),13.43)</f>
        <v>13.43</v>
      </c>
      <c r="F4059" s="1">
        <f>IFERROR(__xludf.DUMMYFUNCTION("""COMPUTED_VALUE"""),1021094.0)</f>
        <v>1021094</v>
      </c>
    </row>
    <row r="4060">
      <c r="A4060" s="2">
        <f>IFERROR(__xludf.DUMMYFUNCTION("""COMPUTED_VALUE"""),45057.66666666667)</f>
        <v>45057.66667</v>
      </c>
      <c r="B4060" s="1">
        <f>IFERROR(__xludf.DUMMYFUNCTION("""COMPUTED_VALUE"""),13.34)</f>
        <v>13.34</v>
      </c>
      <c r="C4060" s="1">
        <f>IFERROR(__xludf.DUMMYFUNCTION("""COMPUTED_VALUE"""),13.75)</f>
        <v>13.75</v>
      </c>
      <c r="D4060" s="1">
        <f>IFERROR(__xludf.DUMMYFUNCTION("""COMPUTED_VALUE"""),13.3)</f>
        <v>13.3</v>
      </c>
      <c r="E4060" s="1">
        <f>IFERROR(__xludf.DUMMYFUNCTION("""COMPUTED_VALUE"""),13.64)</f>
        <v>13.64</v>
      </c>
      <c r="F4060" s="1">
        <f>IFERROR(__xludf.DUMMYFUNCTION("""COMPUTED_VALUE"""),1092699.0)</f>
        <v>1092699</v>
      </c>
    </row>
    <row r="4061">
      <c r="A4061" s="2">
        <f>IFERROR(__xludf.DUMMYFUNCTION("""COMPUTED_VALUE"""),45058.66666666667)</f>
        <v>45058.66667</v>
      </c>
      <c r="B4061" s="1">
        <f>IFERROR(__xludf.DUMMYFUNCTION("""COMPUTED_VALUE"""),13.88)</f>
        <v>13.88</v>
      </c>
      <c r="C4061" s="1">
        <f>IFERROR(__xludf.DUMMYFUNCTION("""COMPUTED_VALUE"""),13.99)</f>
        <v>13.99</v>
      </c>
      <c r="D4061" s="1">
        <f>IFERROR(__xludf.DUMMYFUNCTION("""COMPUTED_VALUE"""),13.27)</f>
        <v>13.27</v>
      </c>
      <c r="E4061" s="1">
        <f>IFERROR(__xludf.DUMMYFUNCTION("""COMPUTED_VALUE"""),13.45)</f>
        <v>13.45</v>
      </c>
      <c r="F4061" s="1">
        <f>IFERROR(__xludf.DUMMYFUNCTION("""COMPUTED_VALUE"""),792909.0)</f>
        <v>792909</v>
      </c>
    </row>
    <row r="4062">
      <c r="A4062" s="2">
        <f>IFERROR(__xludf.DUMMYFUNCTION("""COMPUTED_VALUE"""),45061.66666666667)</f>
        <v>45061.66667</v>
      </c>
      <c r="B4062" s="1">
        <f>IFERROR(__xludf.DUMMYFUNCTION("""COMPUTED_VALUE"""),13.6)</f>
        <v>13.6</v>
      </c>
      <c r="C4062" s="1">
        <f>IFERROR(__xludf.DUMMYFUNCTION("""COMPUTED_VALUE"""),13.93)</f>
        <v>13.93</v>
      </c>
      <c r="D4062" s="1">
        <f>IFERROR(__xludf.DUMMYFUNCTION("""COMPUTED_VALUE"""),13.56)</f>
        <v>13.56</v>
      </c>
      <c r="E4062" s="1">
        <f>IFERROR(__xludf.DUMMYFUNCTION("""COMPUTED_VALUE"""),13.78)</f>
        <v>13.78</v>
      </c>
      <c r="F4062" s="1">
        <f>IFERROR(__xludf.DUMMYFUNCTION("""COMPUTED_VALUE"""),1001890.0)</f>
        <v>1001890</v>
      </c>
    </row>
    <row r="4063">
      <c r="A4063" s="2">
        <f>IFERROR(__xludf.DUMMYFUNCTION("""COMPUTED_VALUE"""),45062.66666666667)</f>
        <v>45062.66667</v>
      </c>
      <c r="B4063" s="1">
        <f>IFERROR(__xludf.DUMMYFUNCTION("""COMPUTED_VALUE"""),13.78)</f>
        <v>13.78</v>
      </c>
      <c r="C4063" s="1">
        <f>IFERROR(__xludf.DUMMYFUNCTION("""COMPUTED_VALUE"""),14.75)</f>
        <v>14.75</v>
      </c>
      <c r="D4063" s="1">
        <f>IFERROR(__xludf.DUMMYFUNCTION("""COMPUTED_VALUE"""),13.76)</f>
        <v>13.76</v>
      </c>
      <c r="E4063" s="1">
        <f>IFERROR(__xludf.DUMMYFUNCTION("""COMPUTED_VALUE"""),14.58)</f>
        <v>14.58</v>
      </c>
      <c r="F4063" s="1">
        <f>IFERROR(__xludf.DUMMYFUNCTION("""COMPUTED_VALUE"""),2289798.0)</f>
        <v>2289798</v>
      </c>
    </row>
    <row r="4064">
      <c r="A4064" s="2">
        <f>IFERROR(__xludf.DUMMYFUNCTION("""COMPUTED_VALUE"""),45063.66666666667)</f>
        <v>45063.66667</v>
      </c>
      <c r="B4064" s="1">
        <f>IFERROR(__xludf.DUMMYFUNCTION("""COMPUTED_VALUE"""),14.7)</f>
        <v>14.7</v>
      </c>
      <c r="C4064" s="1">
        <f>IFERROR(__xludf.DUMMYFUNCTION("""COMPUTED_VALUE"""),15.6)</f>
        <v>15.6</v>
      </c>
      <c r="D4064" s="1">
        <f>IFERROR(__xludf.DUMMYFUNCTION("""COMPUTED_VALUE"""),14.7)</f>
        <v>14.7</v>
      </c>
      <c r="E4064" s="1">
        <f>IFERROR(__xludf.DUMMYFUNCTION("""COMPUTED_VALUE"""),15.43)</f>
        <v>15.43</v>
      </c>
      <c r="F4064" s="1">
        <f>IFERROR(__xludf.DUMMYFUNCTION("""COMPUTED_VALUE"""),2751332.0)</f>
        <v>2751332</v>
      </c>
    </row>
    <row r="4065">
      <c r="A4065" s="2">
        <f>IFERROR(__xludf.DUMMYFUNCTION("""COMPUTED_VALUE"""),45064.66666666667)</f>
        <v>45064.66667</v>
      </c>
      <c r="B4065" s="1">
        <f>IFERROR(__xludf.DUMMYFUNCTION("""COMPUTED_VALUE"""),15.55)</f>
        <v>15.55</v>
      </c>
      <c r="C4065" s="1">
        <f>IFERROR(__xludf.DUMMYFUNCTION("""COMPUTED_VALUE"""),16.66)</f>
        <v>16.66</v>
      </c>
      <c r="D4065" s="1">
        <f>IFERROR(__xludf.DUMMYFUNCTION("""COMPUTED_VALUE"""),15.55)</f>
        <v>15.55</v>
      </c>
      <c r="E4065" s="1">
        <f>IFERROR(__xludf.DUMMYFUNCTION("""COMPUTED_VALUE"""),16.46)</f>
        <v>16.46</v>
      </c>
      <c r="F4065" s="1">
        <f>IFERROR(__xludf.DUMMYFUNCTION("""COMPUTED_VALUE"""),3278701.0)</f>
        <v>3278701</v>
      </c>
    </row>
    <row r="4066">
      <c r="A4066" s="2">
        <f>IFERROR(__xludf.DUMMYFUNCTION("""COMPUTED_VALUE"""),45065.66666666667)</f>
        <v>45065.66667</v>
      </c>
      <c r="B4066" s="1">
        <f>IFERROR(__xludf.DUMMYFUNCTION("""COMPUTED_VALUE"""),16.74)</f>
        <v>16.74</v>
      </c>
      <c r="C4066" s="1">
        <f>IFERROR(__xludf.DUMMYFUNCTION("""COMPUTED_VALUE"""),17.17)</f>
        <v>17.17</v>
      </c>
      <c r="D4066" s="1">
        <f>IFERROR(__xludf.DUMMYFUNCTION("""COMPUTED_VALUE"""),16.02)</f>
        <v>16.02</v>
      </c>
      <c r="E4066" s="1">
        <f>IFERROR(__xludf.DUMMYFUNCTION("""COMPUTED_VALUE"""),16.42)</f>
        <v>16.42</v>
      </c>
      <c r="F4066" s="1">
        <f>IFERROR(__xludf.DUMMYFUNCTION("""COMPUTED_VALUE"""),2776445.0)</f>
        <v>2776445</v>
      </c>
    </row>
    <row r="4067">
      <c r="A4067" s="2">
        <f>IFERROR(__xludf.DUMMYFUNCTION("""COMPUTED_VALUE"""),45068.66666666667)</f>
        <v>45068.66667</v>
      </c>
      <c r="B4067" s="1">
        <f>IFERROR(__xludf.DUMMYFUNCTION("""COMPUTED_VALUE"""),16.42)</f>
        <v>16.42</v>
      </c>
      <c r="C4067" s="1">
        <f>IFERROR(__xludf.DUMMYFUNCTION("""COMPUTED_VALUE"""),16.94)</f>
        <v>16.94</v>
      </c>
      <c r="D4067" s="1">
        <f>IFERROR(__xludf.DUMMYFUNCTION("""COMPUTED_VALUE"""),16.26)</f>
        <v>16.26</v>
      </c>
      <c r="E4067" s="1">
        <f>IFERROR(__xludf.DUMMYFUNCTION("""COMPUTED_VALUE"""),16.48)</f>
        <v>16.48</v>
      </c>
      <c r="F4067" s="1">
        <f>IFERROR(__xludf.DUMMYFUNCTION("""COMPUTED_VALUE"""),1753740.0)</f>
        <v>1753740</v>
      </c>
    </row>
    <row r="4068">
      <c r="A4068" s="2">
        <f>IFERROR(__xludf.DUMMYFUNCTION("""COMPUTED_VALUE"""),45069.66666666667)</f>
        <v>45069.66667</v>
      </c>
      <c r="B4068" s="1">
        <f>IFERROR(__xludf.DUMMYFUNCTION("""COMPUTED_VALUE"""),16.29)</f>
        <v>16.29</v>
      </c>
      <c r="C4068" s="1">
        <f>IFERROR(__xludf.DUMMYFUNCTION("""COMPUTED_VALUE"""),16.57)</f>
        <v>16.57</v>
      </c>
      <c r="D4068" s="1">
        <f>IFERROR(__xludf.DUMMYFUNCTION("""COMPUTED_VALUE"""),15.96)</f>
        <v>15.96</v>
      </c>
      <c r="E4068" s="1">
        <f>IFERROR(__xludf.DUMMYFUNCTION("""COMPUTED_VALUE"""),16.19)</f>
        <v>16.19</v>
      </c>
      <c r="F4068" s="1">
        <f>IFERROR(__xludf.DUMMYFUNCTION("""COMPUTED_VALUE"""),1437546.0)</f>
        <v>1437546</v>
      </c>
    </row>
    <row r="4069">
      <c r="A4069" s="2">
        <f>IFERROR(__xludf.DUMMYFUNCTION("""COMPUTED_VALUE"""),45070.66666666667)</f>
        <v>45070.66667</v>
      </c>
      <c r="B4069" s="1">
        <f>IFERROR(__xludf.DUMMYFUNCTION("""COMPUTED_VALUE"""),15.96)</f>
        <v>15.96</v>
      </c>
      <c r="C4069" s="1">
        <f>IFERROR(__xludf.DUMMYFUNCTION("""COMPUTED_VALUE"""),16.79)</f>
        <v>16.79</v>
      </c>
      <c r="D4069" s="1">
        <f>IFERROR(__xludf.DUMMYFUNCTION("""COMPUTED_VALUE"""),15.83)</f>
        <v>15.83</v>
      </c>
      <c r="E4069" s="1">
        <f>IFERROR(__xludf.DUMMYFUNCTION("""COMPUTED_VALUE"""),16.76)</f>
        <v>16.76</v>
      </c>
      <c r="F4069" s="1">
        <f>IFERROR(__xludf.DUMMYFUNCTION("""COMPUTED_VALUE"""),1551181.0)</f>
        <v>1551181</v>
      </c>
    </row>
    <row r="4070">
      <c r="A4070" s="2">
        <f>IFERROR(__xludf.DUMMYFUNCTION("""COMPUTED_VALUE"""),45071.66666666667)</f>
        <v>45071.66667</v>
      </c>
      <c r="B4070" s="1">
        <f>IFERROR(__xludf.DUMMYFUNCTION("""COMPUTED_VALUE"""),19.6)</f>
        <v>19.6</v>
      </c>
      <c r="C4070" s="1">
        <f>IFERROR(__xludf.DUMMYFUNCTION("""COMPUTED_VALUE"""),21.34)</f>
        <v>21.34</v>
      </c>
      <c r="D4070" s="1">
        <f>IFERROR(__xludf.DUMMYFUNCTION("""COMPUTED_VALUE"""),19.25)</f>
        <v>19.25</v>
      </c>
      <c r="E4070" s="1">
        <f>IFERROR(__xludf.DUMMYFUNCTION("""COMPUTED_VALUE"""),20.69)</f>
        <v>20.69</v>
      </c>
      <c r="F4070" s="1">
        <f>IFERROR(__xludf.DUMMYFUNCTION("""COMPUTED_VALUE"""),7137200.0)</f>
        <v>7137200</v>
      </c>
    </row>
    <row r="4071">
      <c r="A4071" s="2">
        <f>IFERROR(__xludf.DUMMYFUNCTION("""COMPUTED_VALUE"""),45072.66666666667)</f>
        <v>45072.66667</v>
      </c>
      <c r="B4071" s="1">
        <f>IFERROR(__xludf.DUMMYFUNCTION("""COMPUTED_VALUE"""),21.0)</f>
        <v>21</v>
      </c>
      <c r="C4071" s="1">
        <f>IFERROR(__xludf.DUMMYFUNCTION("""COMPUTED_VALUE"""),22.77)</f>
        <v>22.77</v>
      </c>
      <c r="D4071" s="1">
        <f>IFERROR(__xludf.DUMMYFUNCTION("""COMPUTED_VALUE"""),20.7)</f>
        <v>20.7</v>
      </c>
      <c r="E4071" s="1">
        <f>IFERROR(__xludf.DUMMYFUNCTION("""COMPUTED_VALUE"""),21.92)</f>
        <v>21.92</v>
      </c>
      <c r="F4071" s="1">
        <f>IFERROR(__xludf.DUMMYFUNCTION("""COMPUTED_VALUE"""),4989188.0)</f>
        <v>4989188</v>
      </c>
    </row>
    <row r="4072">
      <c r="A4072" s="2">
        <f>IFERROR(__xludf.DUMMYFUNCTION("""COMPUTED_VALUE"""),45076.66666666667)</f>
        <v>45076.66667</v>
      </c>
      <c r="B4072" s="1">
        <f>IFERROR(__xludf.DUMMYFUNCTION("""COMPUTED_VALUE"""),22.8)</f>
        <v>22.8</v>
      </c>
      <c r="C4072" s="1">
        <f>IFERROR(__xludf.DUMMYFUNCTION("""COMPUTED_VALUE"""),24.3)</f>
        <v>24.3</v>
      </c>
      <c r="D4072" s="1">
        <f>IFERROR(__xludf.DUMMYFUNCTION("""COMPUTED_VALUE"""),22.77)</f>
        <v>22.77</v>
      </c>
      <c r="E4072" s="1">
        <f>IFERROR(__xludf.DUMMYFUNCTION("""COMPUTED_VALUE"""),23.41)</f>
        <v>23.41</v>
      </c>
      <c r="F4072" s="1">
        <f>IFERROR(__xludf.DUMMYFUNCTION("""COMPUTED_VALUE"""),4830031.0)</f>
        <v>4830031</v>
      </c>
    </row>
    <row r="4073">
      <c r="A4073" s="2">
        <f>IFERROR(__xludf.DUMMYFUNCTION("""COMPUTED_VALUE"""),45077.66666666667)</f>
        <v>45077.66667</v>
      </c>
      <c r="B4073" s="1">
        <f>IFERROR(__xludf.DUMMYFUNCTION("""COMPUTED_VALUE"""),22.63)</f>
        <v>22.63</v>
      </c>
      <c r="C4073" s="1">
        <f>IFERROR(__xludf.DUMMYFUNCTION("""COMPUTED_VALUE"""),22.76)</f>
        <v>22.76</v>
      </c>
      <c r="D4073" s="1">
        <f>IFERROR(__xludf.DUMMYFUNCTION("""COMPUTED_VALUE"""),21.6)</f>
        <v>21.6</v>
      </c>
      <c r="E4073" s="1">
        <f>IFERROR(__xludf.DUMMYFUNCTION("""COMPUTED_VALUE"""),22.4)</f>
        <v>22.4</v>
      </c>
      <c r="F4073" s="1">
        <f>IFERROR(__xludf.DUMMYFUNCTION("""COMPUTED_VALUE"""),4416342.0)</f>
        <v>4416342</v>
      </c>
    </row>
    <row r="4074">
      <c r="A4074" s="2">
        <f>IFERROR(__xludf.DUMMYFUNCTION("""COMPUTED_VALUE"""),45078.66666666667)</f>
        <v>45078.66667</v>
      </c>
      <c r="B4074" s="1">
        <f>IFERROR(__xludf.DUMMYFUNCTION("""COMPUTED_VALUE"""),22.66)</f>
        <v>22.66</v>
      </c>
      <c r="C4074" s="1">
        <f>IFERROR(__xludf.DUMMYFUNCTION("""COMPUTED_VALUE"""),23.25)</f>
        <v>23.25</v>
      </c>
      <c r="D4074" s="1">
        <f>IFERROR(__xludf.DUMMYFUNCTION("""COMPUTED_VALUE"""),22.02)</f>
        <v>22.02</v>
      </c>
      <c r="E4074" s="1">
        <f>IFERROR(__xludf.DUMMYFUNCTION("""COMPUTED_VALUE"""),23.1)</f>
        <v>23.1</v>
      </c>
      <c r="F4074" s="1">
        <f>IFERROR(__xludf.DUMMYFUNCTION("""COMPUTED_VALUE"""),2968897.0)</f>
        <v>2968897</v>
      </c>
    </row>
    <row r="4075">
      <c r="A4075" s="2">
        <f>IFERROR(__xludf.DUMMYFUNCTION("""COMPUTED_VALUE"""),45079.66666666667)</f>
        <v>45079.66667</v>
      </c>
      <c r="B4075" s="1">
        <f>IFERROR(__xludf.DUMMYFUNCTION("""COMPUTED_VALUE"""),23.45)</f>
        <v>23.45</v>
      </c>
      <c r="C4075" s="1">
        <f>IFERROR(__xludf.DUMMYFUNCTION("""COMPUTED_VALUE"""),23.79)</f>
        <v>23.79</v>
      </c>
      <c r="D4075" s="1">
        <f>IFERROR(__xludf.DUMMYFUNCTION("""COMPUTED_VALUE"""),22.02)</f>
        <v>22.02</v>
      </c>
      <c r="E4075" s="1">
        <f>IFERROR(__xludf.DUMMYFUNCTION("""COMPUTED_VALUE"""),22.19)</f>
        <v>22.19</v>
      </c>
      <c r="F4075" s="1">
        <f>IFERROR(__xludf.DUMMYFUNCTION("""COMPUTED_VALUE"""),2731214.0)</f>
        <v>2731214</v>
      </c>
    </row>
    <row r="4076">
      <c r="A4076" s="2">
        <f>IFERROR(__xludf.DUMMYFUNCTION("""COMPUTED_VALUE"""),45082.66666666667)</f>
        <v>45082.66667</v>
      </c>
      <c r="B4076" s="1">
        <f>IFERROR(__xludf.DUMMYFUNCTION("""COMPUTED_VALUE"""),21.91)</f>
        <v>21.91</v>
      </c>
      <c r="C4076" s="1">
        <f>IFERROR(__xludf.DUMMYFUNCTION("""COMPUTED_VALUE"""),22.77)</f>
        <v>22.77</v>
      </c>
      <c r="D4076" s="1">
        <f>IFERROR(__xludf.DUMMYFUNCTION("""COMPUTED_VALUE"""),21.7)</f>
        <v>21.7</v>
      </c>
      <c r="E4076" s="1">
        <f>IFERROR(__xludf.DUMMYFUNCTION("""COMPUTED_VALUE"""),22.37)</f>
        <v>22.37</v>
      </c>
      <c r="F4076" s="1">
        <f>IFERROR(__xludf.DUMMYFUNCTION("""COMPUTED_VALUE"""),1923141.0)</f>
        <v>1923141</v>
      </c>
    </row>
    <row r="4077">
      <c r="A4077" s="2">
        <f>IFERROR(__xludf.DUMMYFUNCTION("""COMPUTED_VALUE"""),45083.66666666667)</f>
        <v>45083.66667</v>
      </c>
      <c r="B4077" s="1">
        <f>IFERROR(__xludf.DUMMYFUNCTION("""COMPUTED_VALUE"""),22.1)</f>
        <v>22.1</v>
      </c>
      <c r="C4077" s="1">
        <f>IFERROR(__xludf.DUMMYFUNCTION("""COMPUTED_VALUE"""),23.57)</f>
        <v>23.57</v>
      </c>
      <c r="D4077" s="1">
        <f>IFERROR(__xludf.DUMMYFUNCTION("""COMPUTED_VALUE"""),22.01)</f>
        <v>22.01</v>
      </c>
      <c r="E4077" s="1">
        <f>IFERROR(__xludf.DUMMYFUNCTION("""COMPUTED_VALUE"""),23.32)</f>
        <v>23.32</v>
      </c>
      <c r="F4077" s="1">
        <f>IFERROR(__xludf.DUMMYFUNCTION("""COMPUTED_VALUE"""),2071512.0)</f>
        <v>2071512</v>
      </c>
    </row>
    <row r="4078">
      <c r="A4078" s="2">
        <f>IFERROR(__xludf.DUMMYFUNCTION("""COMPUTED_VALUE"""),45084.66666666667)</f>
        <v>45084.66667</v>
      </c>
      <c r="B4078" s="1">
        <f>IFERROR(__xludf.DUMMYFUNCTION("""COMPUTED_VALUE"""),24.4)</f>
        <v>24.4</v>
      </c>
      <c r="C4078" s="1">
        <f>IFERROR(__xludf.DUMMYFUNCTION("""COMPUTED_VALUE"""),26.16)</f>
        <v>26.16</v>
      </c>
      <c r="D4078" s="1">
        <f>IFERROR(__xludf.DUMMYFUNCTION("""COMPUTED_VALUE"""),23.7)</f>
        <v>23.7</v>
      </c>
      <c r="E4078" s="1">
        <f>IFERROR(__xludf.DUMMYFUNCTION("""COMPUTED_VALUE"""),23.98)</f>
        <v>23.98</v>
      </c>
      <c r="F4078" s="1">
        <f>IFERROR(__xludf.DUMMYFUNCTION("""COMPUTED_VALUE"""),4494762.0)</f>
        <v>4494762</v>
      </c>
    </row>
    <row r="4079">
      <c r="A4079" s="2">
        <f>IFERROR(__xludf.DUMMYFUNCTION("""COMPUTED_VALUE"""),45085.66666666667)</f>
        <v>45085.66667</v>
      </c>
      <c r="B4079" s="1">
        <f>IFERROR(__xludf.DUMMYFUNCTION("""COMPUTED_VALUE"""),24.06)</f>
        <v>24.06</v>
      </c>
      <c r="C4079" s="1">
        <f>IFERROR(__xludf.DUMMYFUNCTION("""COMPUTED_VALUE"""),25.97)</f>
        <v>25.97</v>
      </c>
      <c r="D4079" s="1">
        <f>IFERROR(__xludf.DUMMYFUNCTION("""COMPUTED_VALUE"""),23.71)</f>
        <v>23.71</v>
      </c>
      <c r="E4079" s="1">
        <f>IFERROR(__xludf.DUMMYFUNCTION("""COMPUTED_VALUE"""),25.44)</f>
        <v>25.44</v>
      </c>
      <c r="F4079" s="1">
        <f>IFERROR(__xludf.DUMMYFUNCTION("""COMPUTED_VALUE"""),3530331.0)</f>
        <v>3530331</v>
      </c>
    </row>
    <row r="4080">
      <c r="A4080" s="2">
        <f>IFERROR(__xludf.DUMMYFUNCTION("""COMPUTED_VALUE"""),45086.66666666667)</f>
        <v>45086.66667</v>
      </c>
      <c r="B4080" s="1">
        <f>IFERROR(__xludf.DUMMYFUNCTION("""COMPUTED_VALUE"""),26.3)</f>
        <v>26.3</v>
      </c>
      <c r="C4080" s="1">
        <f>IFERROR(__xludf.DUMMYFUNCTION("""COMPUTED_VALUE"""),27.02)</f>
        <v>27.02</v>
      </c>
      <c r="D4080" s="1">
        <f>IFERROR(__xludf.DUMMYFUNCTION("""COMPUTED_VALUE"""),25.69)</f>
        <v>25.69</v>
      </c>
      <c r="E4080" s="1">
        <f>IFERROR(__xludf.DUMMYFUNCTION("""COMPUTED_VALUE"""),26.17)</f>
        <v>26.17</v>
      </c>
      <c r="F4080" s="1">
        <f>IFERROR(__xludf.DUMMYFUNCTION("""COMPUTED_VALUE"""),3511276.0)</f>
        <v>3511276</v>
      </c>
    </row>
    <row r="4081">
      <c r="A4081" s="2">
        <f>IFERROR(__xludf.DUMMYFUNCTION("""COMPUTED_VALUE"""),45089.66666666667)</f>
        <v>45089.66667</v>
      </c>
      <c r="B4081" s="1">
        <f>IFERROR(__xludf.DUMMYFUNCTION("""COMPUTED_VALUE"""),26.47)</f>
        <v>26.47</v>
      </c>
      <c r="C4081" s="1">
        <f>IFERROR(__xludf.DUMMYFUNCTION("""COMPUTED_VALUE"""),26.64)</f>
        <v>26.64</v>
      </c>
      <c r="D4081" s="1">
        <f>IFERROR(__xludf.DUMMYFUNCTION("""COMPUTED_VALUE"""),24.53)</f>
        <v>24.53</v>
      </c>
      <c r="E4081" s="1">
        <f>IFERROR(__xludf.DUMMYFUNCTION("""COMPUTED_VALUE"""),25.87)</f>
        <v>25.87</v>
      </c>
      <c r="F4081" s="1">
        <f>IFERROR(__xludf.DUMMYFUNCTION("""COMPUTED_VALUE"""),3471158.0)</f>
        <v>3471158</v>
      </c>
    </row>
    <row r="4082">
      <c r="A4082" s="2">
        <f>IFERROR(__xludf.DUMMYFUNCTION("""COMPUTED_VALUE"""),45090.66666666667)</f>
        <v>45090.66667</v>
      </c>
      <c r="B4082" s="1">
        <f>IFERROR(__xludf.DUMMYFUNCTION("""COMPUTED_VALUE"""),26.09)</f>
        <v>26.09</v>
      </c>
      <c r="C4082" s="1">
        <f>IFERROR(__xludf.DUMMYFUNCTION("""COMPUTED_VALUE"""),26.1)</f>
        <v>26.1</v>
      </c>
      <c r="D4082" s="1">
        <f>IFERROR(__xludf.DUMMYFUNCTION("""COMPUTED_VALUE"""),23.21)</f>
        <v>23.21</v>
      </c>
      <c r="E4082" s="1">
        <f>IFERROR(__xludf.DUMMYFUNCTION("""COMPUTED_VALUE"""),24.42)</f>
        <v>24.42</v>
      </c>
      <c r="F4082" s="1">
        <f>IFERROR(__xludf.DUMMYFUNCTION("""COMPUTED_VALUE"""),4520485.0)</f>
        <v>4520485</v>
      </c>
    </row>
    <row r="4083">
      <c r="A4083" s="2">
        <f>IFERROR(__xludf.DUMMYFUNCTION("""COMPUTED_VALUE"""),45091.66666666667)</f>
        <v>45091.66667</v>
      </c>
      <c r="B4083" s="1">
        <f>IFERROR(__xludf.DUMMYFUNCTION("""COMPUTED_VALUE"""),24.32)</f>
        <v>24.32</v>
      </c>
      <c r="C4083" s="1">
        <f>IFERROR(__xludf.DUMMYFUNCTION("""COMPUTED_VALUE"""),25.3)</f>
        <v>25.3</v>
      </c>
      <c r="D4083" s="1">
        <f>IFERROR(__xludf.DUMMYFUNCTION("""COMPUTED_VALUE"""),23.91)</f>
        <v>23.91</v>
      </c>
      <c r="E4083" s="1">
        <f>IFERROR(__xludf.DUMMYFUNCTION("""COMPUTED_VALUE"""),24.78)</f>
        <v>24.78</v>
      </c>
      <c r="F4083" s="1">
        <f>IFERROR(__xludf.DUMMYFUNCTION("""COMPUTED_VALUE"""),2645576.0)</f>
        <v>2645576</v>
      </c>
    </row>
    <row r="4084">
      <c r="A4084" s="2">
        <f>IFERROR(__xludf.DUMMYFUNCTION("""COMPUTED_VALUE"""),45092.66666666667)</f>
        <v>45092.66667</v>
      </c>
      <c r="B4084" s="1">
        <f>IFERROR(__xludf.DUMMYFUNCTION("""COMPUTED_VALUE"""),24.45)</f>
        <v>24.45</v>
      </c>
      <c r="C4084" s="1">
        <f>IFERROR(__xludf.DUMMYFUNCTION("""COMPUTED_VALUE"""),24.9)</f>
        <v>24.9</v>
      </c>
      <c r="D4084" s="1">
        <f>IFERROR(__xludf.DUMMYFUNCTION("""COMPUTED_VALUE"""),23.92)</f>
        <v>23.92</v>
      </c>
      <c r="E4084" s="1">
        <f>IFERROR(__xludf.DUMMYFUNCTION("""COMPUTED_VALUE"""),24.39)</f>
        <v>24.39</v>
      </c>
      <c r="F4084" s="1">
        <f>IFERROR(__xludf.DUMMYFUNCTION("""COMPUTED_VALUE"""),2198242.0)</f>
        <v>2198242</v>
      </c>
    </row>
    <row r="4085">
      <c r="A4085" s="2">
        <f>IFERROR(__xludf.DUMMYFUNCTION("""COMPUTED_VALUE"""),45093.66666666667)</f>
        <v>45093.66667</v>
      </c>
      <c r="B4085" s="1">
        <f>IFERROR(__xludf.DUMMYFUNCTION("""COMPUTED_VALUE"""),24.5)</f>
        <v>24.5</v>
      </c>
      <c r="C4085" s="1">
        <f>IFERROR(__xludf.DUMMYFUNCTION("""COMPUTED_VALUE"""),24.58)</f>
        <v>24.58</v>
      </c>
      <c r="D4085" s="1">
        <f>IFERROR(__xludf.DUMMYFUNCTION("""COMPUTED_VALUE"""),23.04)</f>
        <v>23.04</v>
      </c>
      <c r="E4085" s="1">
        <f>IFERROR(__xludf.DUMMYFUNCTION("""COMPUTED_VALUE"""),23.08)</f>
        <v>23.08</v>
      </c>
      <c r="F4085" s="1">
        <f>IFERROR(__xludf.DUMMYFUNCTION("""COMPUTED_VALUE"""),3034647.0)</f>
        <v>3034647</v>
      </c>
    </row>
    <row r="4086">
      <c r="A4086" s="2">
        <f>IFERROR(__xludf.DUMMYFUNCTION("""COMPUTED_VALUE"""),45097.66666666667)</f>
        <v>45097.66667</v>
      </c>
      <c r="B4086" s="1">
        <f>IFERROR(__xludf.DUMMYFUNCTION("""COMPUTED_VALUE"""),22.73)</f>
        <v>22.73</v>
      </c>
      <c r="C4086" s="1">
        <f>IFERROR(__xludf.DUMMYFUNCTION("""COMPUTED_VALUE"""),23.57)</f>
        <v>23.57</v>
      </c>
      <c r="D4086" s="1">
        <f>IFERROR(__xludf.DUMMYFUNCTION("""COMPUTED_VALUE"""),21.93)</f>
        <v>21.93</v>
      </c>
      <c r="E4086" s="1">
        <f>IFERROR(__xludf.DUMMYFUNCTION("""COMPUTED_VALUE"""),22.24)</f>
        <v>22.24</v>
      </c>
      <c r="F4086" s="1">
        <f>IFERROR(__xludf.DUMMYFUNCTION("""COMPUTED_VALUE"""),3366546.0)</f>
        <v>3366546</v>
      </c>
    </row>
    <row r="4087">
      <c r="A4087" s="2">
        <f>IFERROR(__xludf.DUMMYFUNCTION("""COMPUTED_VALUE"""),45098.66666666667)</f>
        <v>45098.66667</v>
      </c>
      <c r="B4087" s="1">
        <f>IFERROR(__xludf.DUMMYFUNCTION("""COMPUTED_VALUE"""),22.1)</f>
        <v>22.1</v>
      </c>
      <c r="C4087" s="1">
        <f>IFERROR(__xludf.DUMMYFUNCTION("""COMPUTED_VALUE"""),22.7)</f>
        <v>22.7</v>
      </c>
      <c r="D4087" s="1">
        <f>IFERROR(__xludf.DUMMYFUNCTION("""COMPUTED_VALUE"""),21.72)</f>
        <v>21.72</v>
      </c>
      <c r="E4087" s="1">
        <f>IFERROR(__xludf.DUMMYFUNCTION("""COMPUTED_VALUE"""),21.99)</f>
        <v>21.99</v>
      </c>
      <c r="F4087" s="1">
        <f>IFERROR(__xludf.DUMMYFUNCTION("""COMPUTED_VALUE"""),2603561.0)</f>
        <v>2603561</v>
      </c>
    </row>
    <row r="4088">
      <c r="A4088" s="2">
        <f>IFERROR(__xludf.DUMMYFUNCTION("""COMPUTED_VALUE"""),45099.66666666667)</f>
        <v>45099.66667</v>
      </c>
      <c r="B4088" s="1">
        <f>IFERROR(__xludf.DUMMYFUNCTION("""COMPUTED_VALUE"""),22.2)</f>
        <v>22.2</v>
      </c>
      <c r="C4088" s="1">
        <f>IFERROR(__xludf.DUMMYFUNCTION("""COMPUTED_VALUE"""),24.2)</f>
        <v>24.2</v>
      </c>
      <c r="D4088" s="1">
        <f>IFERROR(__xludf.DUMMYFUNCTION("""COMPUTED_VALUE"""),22.11)</f>
        <v>22.11</v>
      </c>
      <c r="E4088" s="1">
        <f>IFERROR(__xludf.DUMMYFUNCTION("""COMPUTED_VALUE"""),22.65)</f>
        <v>22.65</v>
      </c>
      <c r="F4088" s="1">
        <f>IFERROR(__xludf.DUMMYFUNCTION("""COMPUTED_VALUE"""),3938637.0)</f>
        <v>3938637</v>
      </c>
    </row>
    <row r="4089">
      <c r="A4089" s="2">
        <f>IFERROR(__xludf.DUMMYFUNCTION("""COMPUTED_VALUE"""),45100.66666666667)</f>
        <v>45100.66667</v>
      </c>
      <c r="B4089" s="1">
        <f>IFERROR(__xludf.DUMMYFUNCTION("""COMPUTED_VALUE"""),22.23)</f>
        <v>22.23</v>
      </c>
      <c r="C4089" s="1">
        <f>IFERROR(__xludf.DUMMYFUNCTION("""COMPUTED_VALUE"""),22.45)</f>
        <v>22.45</v>
      </c>
      <c r="D4089" s="1">
        <f>IFERROR(__xludf.DUMMYFUNCTION("""COMPUTED_VALUE"""),21.42)</f>
        <v>21.42</v>
      </c>
      <c r="E4089" s="1">
        <f>IFERROR(__xludf.DUMMYFUNCTION("""COMPUTED_VALUE"""),21.61)</f>
        <v>21.61</v>
      </c>
      <c r="F4089" s="1">
        <f>IFERROR(__xludf.DUMMYFUNCTION("""COMPUTED_VALUE"""),2513226.0)</f>
        <v>2513226</v>
      </c>
    </row>
    <row r="4090">
      <c r="A4090" s="2">
        <f>IFERROR(__xludf.DUMMYFUNCTION("""COMPUTED_VALUE"""),45103.66666666667)</f>
        <v>45103.66667</v>
      </c>
      <c r="B4090" s="1">
        <f>IFERROR(__xludf.DUMMYFUNCTION("""COMPUTED_VALUE"""),21.97)</f>
        <v>21.97</v>
      </c>
      <c r="C4090" s="1">
        <f>IFERROR(__xludf.DUMMYFUNCTION("""COMPUTED_VALUE"""),23.0)</f>
        <v>23</v>
      </c>
      <c r="D4090" s="1">
        <f>IFERROR(__xludf.DUMMYFUNCTION("""COMPUTED_VALUE"""),21.31)</f>
        <v>21.31</v>
      </c>
      <c r="E4090" s="1">
        <f>IFERROR(__xludf.DUMMYFUNCTION("""COMPUTED_VALUE"""),21.65)</f>
        <v>21.65</v>
      </c>
      <c r="F4090" s="1">
        <f>IFERROR(__xludf.DUMMYFUNCTION("""COMPUTED_VALUE"""),2840615.0)</f>
        <v>2840615</v>
      </c>
    </row>
    <row r="4091">
      <c r="A4091" s="2">
        <f>IFERROR(__xludf.DUMMYFUNCTION("""COMPUTED_VALUE"""),45104.66666666667)</f>
        <v>45104.66667</v>
      </c>
      <c r="B4091" s="1">
        <f>IFERROR(__xludf.DUMMYFUNCTION("""COMPUTED_VALUE"""),22.24)</f>
        <v>22.24</v>
      </c>
      <c r="C4091" s="1">
        <f>IFERROR(__xludf.DUMMYFUNCTION("""COMPUTED_VALUE"""),22.83)</f>
        <v>22.83</v>
      </c>
      <c r="D4091" s="1">
        <f>IFERROR(__xludf.DUMMYFUNCTION("""COMPUTED_VALUE"""),21.85)</f>
        <v>21.85</v>
      </c>
      <c r="E4091" s="1">
        <f>IFERROR(__xludf.DUMMYFUNCTION("""COMPUTED_VALUE"""),22.62)</f>
        <v>22.62</v>
      </c>
      <c r="F4091" s="1">
        <f>IFERROR(__xludf.DUMMYFUNCTION("""COMPUTED_VALUE"""),2432466.0)</f>
        <v>2432466</v>
      </c>
    </row>
    <row r="4092">
      <c r="A4092" s="2">
        <f>IFERROR(__xludf.DUMMYFUNCTION("""COMPUTED_VALUE"""),45105.66666666667)</f>
        <v>45105.66667</v>
      </c>
      <c r="B4092" s="1">
        <f>IFERROR(__xludf.DUMMYFUNCTION("""COMPUTED_VALUE"""),22.33)</f>
        <v>22.33</v>
      </c>
      <c r="C4092" s="1">
        <f>IFERROR(__xludf.DUMMYFUNCTION("""COMPUTED_VALUE"""),23.82)</f>
        <v>23.82</v>
      </c>
      <c r="D4092" s="1">
        <f>IFERROR(__xludf.DUMMYFUNCTION("""COMPUTED_VALUE"""),22.03)</f>
        <v>22.03</v>
      </c>
      <c r="E4092" s="1">
        <f>IFERROR(__xludf.DUMMYFUNCTION("""COMPUTED_VALUE"""),23.59)</f>
        <v>23.59</v>
      </c>
      <c r="F4092" s="1">
        <f>IFERROR(__xludf.DUMMYFUNCTION("""COMPUTED_VALUE"""),2666737.0)</f>
        <v>2666737</v>
      </c>
    </row>
    <row r="4093">
      <c r="A4093" s="2">
        <f>IFERROR(__xludf.DUMMYFUNCTION("""COMPUTED_VALUE"""),45106.66666666667)</f>
        <v>45106.66667</v>
      </c>
      <c r="B4093" s="1">
        <f>IFERROR(__xludf.DUMMYFUNCTION("""COMPUTED_VALUE"""),24.08)</f>
        <v>24.08</v>
      </c>
      <c r="C4093" s="1">
        <f>IFERROR(__xludf.DUMMYFUNCTION("""COMPUTED_VALUE"""),24.88)</f>
        <v>24.88</v>
      </c>
      <c r="D4093" s="1">
        <f>IFERROR(__xludf.DUMMYFUNCTION("""COMPUTED_VALUE"""),23.14)</f>
        <v>23.14</v>
      </c>
      <c r="E4093" s="1">
        <f>IFERROR(__xludf.DUMMYFUNCTION("""COMPUTED_VALUE"""),23.59)</f>
        <v>23.59</v>
      </c>
      <c r="F4093" s="1">
        <f>IFERROR(__xludf.DUMMYFUNCTION("""COMPUTED_VALUE"""),2726553.0)</f>
        <v>2726553</v>
      </c>
    </row>
    <row r="4094">
      <c r="A4094" s="2">
        <f>IFERROR(__xludf.DUMMYFUNCTION("""COMPUTED_VALUE"""),45107.66666666667)</f>
        <v>45107.66667</v>
      </c>
      <c r="B4094" s="1">
        <f>IFERROR(__xludf.DUMMYFUNCTION("""COMPUTED_VALUE"""),24.0)</f>
        <v>24</v>
      </c>
      <c r="C4094" s="1">
        <f>IFERROR(__xludf.DUMMYFUNCTION("""COMPUTED_VALUE"""),25.4)</f>
        <v>25.4</v>
      </c>
      <c r="D4094" s="1">
        <f>IFERROR(__xludf.DUMMYFUNCTION("""COMPUTED_VALUE"""),23.99)</f>
        <v>23.99</v>
      </c>
      <c r="E4094" s="1">
        <f>IFERROR(__xludf.DUMMYFUNCTION("""COMPUTED_VALUE"""),24.93)</f>
        <v>24.93</v>
      </c>
      <c r="F4094" s="1">
        <f>IFERROR(__xludf.DUMMYFUNCTION("""COMPUTED_VALUE"""),2552965.0)</f>
        <v>2552965</v>
      </c>
    </row>
    <row r="4095">
      <c r="A4095" s="2">
        <f>IFERROR(__xludf.DUMMYFUNCTION("""COMPUTED_VALUE"""),45110.54513888889)</f>
        <v>45110.54514</v>
      </c>
      <c r="B4095" s="1">
        <f>IFERROR(__xludf.DUMMYFUNCTION("""COMPUTED_VALUE"""),25.49)</f>
        <v>25.49</v>
      </c>
      <c r="C4095" s="1">
        <f>IFERROR(__xludf.DUMMYFUNCTION("""COMPUTED_VALUE"""),26.3)</f>
        <v>26.3</v>
      </c>
      <c r="D4095" s="1">
        <f>IFERROR(__xludf.DUMMYFUNCTION("""COMPUTED_VALUE"""),24.67)</f>
        <v>24.67</v>
      </c>
      <c r="E4095" s="1">
        <f>IFERROR(__xludf.DUMMYFUNCTION("""COMPUTED_VALUE"""),24.92)</f>
        <v>24.92</v>
      </c>
      <c r="F4095" s="1">
        <f>IFERROR(__xludf.DUMMYFUNCTION("""COMPUTED_VALUE"""),1710932.0)</f>
        <v>1710932</v>
      </c>
    </row>
    <row r="4096">
      <c r="A4096" s="2">
        <f>IFERROR(__xludf.DUMMYFUNCTION("""COMPUTED_VALUE"""),45112.66666666667)</f>
        <v>45112.66667</v>
      </c>
      <c r="B4096" s="1">
        <f>IFERROR(__xludf.DUMMYFUNCTION("""COMPUTED_VALUE"""),24.8)</f>
        <v>24.8</v>
      </c>
      <c r="C4096" s="1">
        <f>IFERROR(__xludf.DUMMYFUNCTION("""COMPUTED_VALUE"""),26.34)</f>
        <v>26.34</v>
      </c>
      <c r="D4096" s="1">
        <f>IFERROR(__xludf.DUMMYFUNCTION("""COMPUTED_VALUE"""),24.8)</f>
        <v>24.8</v>
      </c>
      <c r="E4096" s="1">
        <f>IFERROR(__xludf.DUMMYFUNCTION("""COMPUTED_VALUE"""),25.5)</f>
        <v>25.5</v>
      </c>
      <c r="F4096" s="1">
        <f>IFERROR(__xludf.DUMMYFUNCTION("""COMPUTED_VALUE"""),2061574.0)</f>
        <v>2061574</v>
      </c>
    </row>
    <row r="4097">
      <c r="A4097" s="2">
        <f>IFERROR(__xludf.DUMMYFUNCTION("""COMPUTED_VALUE"""),45113.66666666667)</f>
        <v>45113.66667</v>
      </c>
      <c r="B4097" s="1">
        <f>IFERROR(__xludf.DUMMYFUNCTION("""COMPUTED_VALUE"""),25.3)</f>
        <v>25.3</v>
      </c>
      <c r="C4097" s="1">
        <f>IFERROR(__xludf.DUMMYFUNCTION("""COMPUTED_VALUE"""),25.6)</f>
        <v>25.6</v>
      </c>
      <c r="D4097" s="1">
        <f>IFERROR(__xludf.DUMMYFUNCTION("""COMPUTED_VALUE"""),24.51)</f>
        <v>24.51</v>
      </c>
      <c r="E4097" s="1">
        <f>IFERROR(__xludf.DUMMYFUNCTION("""COMPUTED_VALUE"""),25.05)</f>
        <v>25.05</v>
      </c>
      <c r="F4097" s="1">
        <f>IFERROR(__xludf.DUMMYFUNCTION("""COMPUTED_VALUE"""),1759580.0)</f>
        <v>1759580</v>
      </c>
    </row>
    <row r="4098">
      <c r="A4098" s="2">
        <f>IFERROR(__xludf.DUMMYFUNCTION("""COMPUTED_VALUE"""),45114.66666666667)</f>
        <v>45114.66667</v>
      </c>
      <c r="B4098" s="1">
        <f>IFERROR(__xludf.DUMMYFUNCTION("""COMPUTED_VALUE"""),25.5)</f>
        <v>25.5</v>
      </c>
      <c r="C4098" s="1">
        <f>IFERROR(__xludf.DUMMYFUNCTION("""COMPUTED_VALUE"""),26.78)</f>
        <v>26.78</v>
      </c>
      <c r="D4098" s="1">
        <f>IFERROR(__xludf.DUMMYFUNCTION("""COMPUTED_VALUE"""),25.45)</f>
        <v>25.45</v>
      </c>
      <c r="E4098" s="1">
        <f>IFERROR(__xludf.DUMMYFUNCTION("""COMPUTED_VALUE"""),26.0)</f>
        <v>26</v>
      </c>
      <c r="F4098" s="1">
        <f>IFERROR(__xludf.DUMMYFUNCTION("""COMPUTED_VALUE"""),2871218.0)</f>
        <v>2871218</v>
      </c>
    </row>
    <row r="4099">
      <c r="A4099" s="2">
        <f>IFERROR(__xludf.DUMMYFUNCTION("""COMPUTED_VALUE"""),45117.66666666667)</f>
        <v>45117.66667</v>
      </c>
      <c r="B4099" s="1">
        <f>IFERROR(__xludf.DUMMYFUNCTION("""COMPUTED_VALUE"""),26.2)</f>
        <v>26.2</v>
      </c>
      <c r="C4099" s="1">
        <f>IFERROR(__xludf.DUMMYFUNCTION("""COMPUTED_VALUE"""),27.02)</f>
        <v>27.02</v>
      </c>
      <c r="D4099" s="1">
        <f>IFERROR(__xludf.DUMMYFUNCTION("""COMPUTED_VALUE"""),25.33)</f>
        <v>25.33</v>
      </c>
      <c r="E4099" s="1">
        <f>IFERROR(__xludf.DUMMYFUNCTION("""COMPUTED_VALUE"""),26.99)</f>
        <v>26.99</v>
      </c>
      <c r="F4099" s="1">
        <f>IFERROR(__xludf.DUMMYFUNCTION("""COMPUTED_VALUE"""),2511202.0)</f>
        <v>2511202</v>
      </c>
    </row>
    <row r="4100">
      <c r="A4100" s="2">
        <f>IFERROR(__xludf.DUMMYFUNCTION("""COMPUTED_VALUE"""),45118.66666666667)</f>
        <v>45118.66667</v>
      </c>
      <c r="B4100" s="1">
        <f>IFERROR(__xludf.DUMMYFUNCTION("""COMPUTED_VALUE"""),27.52)</f>
        <v>27.52</v>
      </c>
      <c r="C4100" s="1">
        <f>IFERROR(__xludf.DUMMYFUNCTION("""COMPUTED_VALUE"""),28.29)</f>
        <v>28.29</v>
      </c>
      <c r="D4100" s="1">
        <f>IFERROR(__xludf.DUMMYFUNCTION("""COMPUTED_VALUE"""),26.25)</f>
        <v>26.25</v>
      </c>
      <c r="E4100" s="1">
        <f>IFERROR(__xludf.DUMMYFUNCTION("""COMPUTED_VALUE"""),27.1)</f>
        <v>27.1</v>
      </c>
      <c r="F4100" s="1">
        <f>IFERROR(__xludf.DUMMYFUNCTION("""COMPUTED_VALUE"""),2932737.0)</f>
        <v>2932737</v>
      </c>
    </row>
    <row r="4101">
      <c r="A4101" s="2">
        <f>IFERROR(__xludf.DUMMYFUNCTION("""COMPUTED_VALUE"""),45119.66666666667)</f>
        <v>45119.66667</v>
      </c>
      <c r="B4101" s="1">
        <f>IFERROR(__xludf.DUMMYFUNCTION("""COMPUTED_VALUE"""),27.31)</f>
        <v>27.31</v>
      </c>
      <c r="C4101" s="1">
        <f>IFERROR(__xludf.DUMMYFUNCTION("""COMPUTED_VALUE"""),27.8)</f>
        <v>27.8</v>
      </c>
      <c r="D4101" s="1">
        <f>IFERROR(__xludf.DUMMYFUNCTION("""COMPUTED_VALUE"""),26.52)</f>
        <v>26.52</v>
      </c>
      <c r="E4101" s="1">
        <f>IFERROR(__xludf.DUMMYFUNCTION("""COMPUTED_VALUE"""),27.66)</f>
        <v>27.66</v>
      </c>
      <c r="F4101" s="1">
        <f>IFERROR(__xludf.DUMMYFUNCTION("""COMPUTED_VALUE"""),2774204.0)</f>
        <v>2774204</v>
      </c>
    </row>
    <row r="4102">
      <c r="A4102" s="2">
        <f>IFERROR(__xludf.DUMMYFUNCTION("""COMPUTED_VALUE"""),45120.66666666667)</f>
        <v>45120.66667</v>
      </c>
      <c r="B4102" s="1">
        <f>IFERROR(__xludf.DUMMYFUNCTION("""COMPUTED_VALUE"""),28.03)</f>
        <v>28.03</v>
      </c>
      <c r="C4102" s="1">
        <f>IFERROR(__xludf.DUMMYFUNCTION("""COMPUTED_VALUE"""),29.54)</f>
        <v>29.54</v>
      </c>
      <c r="D4102" s="1">
        <f>IFERROR(__xludf.DUMMYFUNCTION("""COMPUTED_VALUE"""),27.92)</f>
        <v>27.92</v>
      </c>
      <c r="E4102" s="1">
        <f>IFERROR(__xludf.DUMMYFUNCTION("""COMPUTED_VALUE"""),29.41)</f>
        <v>29.41</v>
      </c>
      <c r="F4102" s="1">
        <f>IFERROR(__xludf.DUMMYFUNCTION("""COMPUTED_VALUE"""),3065074.0)</f>
        <v>3065074</v>
      </c>
    </row>
    <row r="4103">
      <c r="A4103" s="2">
        <f>IFERROR(__xludf.DUMMYFUNCTION("""COMPUTED_VALUE"""),45121.66666666667)</f>
        <v>45121.66667</v>
      </c>
      <c r="B4103" s="1">
        <f>IFERROR(__xludf.DUMMYFUNCTION("""COMPUTED_VALUE"""),29.8)</f>
        <v>29.8</v>
      </c>
      <c r="C4103" s="1">
        <f>IFERROR(__xludf.DUMMYFUNCTION("""COMPUTED_VALUE"""),30.69)</f>
        <v>30.69</v>
      </c>
      <c r="D4103" s="1">
        <f>IFERROR(__xludf.DUMMYFUNCTION("""COMPUTED_VALUE"""),28.84)</f>
        <v>28.84</v>
      </c>
      <c r="E4103" s="1">
        <f>IFERROR(__xludf.DUMMYFUNCTION("""COMPUTED_VALUE"""),29.54)</f>
        <v>29.54</v>
      </c>
      <c r="F4103" s="1">
        <f>IFERROR(__xludf.DUMMYFUNCTION("""COMPUTED_VALUE"""),3756939.0)</f>
        <v>3756939</v>
      </c>
    </row>
    <row r="4104">
      <c r="A4104" s="2">
        <f>IFERROR(__xludf.DUMMYFUNCTION("""COMPUTED_VALUE"""),45124.66666666667)</f>
        <v>45124.66667</v>
      </c>
      <c r="B4104" s="1">
        <f>IFERROR(__xludf.DUMMYFUNCTION("""COMPUTED_VALUE"""),29.91)</f>
        <v>29.91</v>
      </c>
      <c r="C4104" s="1">
        <f>IFERROR(__xludf.DUMMYFUNCTION("""COMPUTED_VALUE"""),30.51)</f>
        <v>30.51</v>
      </c>
      <c r="D4104" s="1">
        <f>IFERROR(__xludf.DUMMYFUNCTION("""COMPUTED_VALUE"""),29.22)</f>
        <v>29.22</v>
      </c>
      <c r="E4104" s="1">
        <f>IFERROR(__xludf.DUMMYFUNCTION("""COMPUTED_VALUE"""),30.21)</f>
        <v>30.21</v>
      </c>
      <c r="F4104" s="1">
        <f>IFERROR(__xludf.DUMMYFUNCTION("""COMPUTED_VALUE"""),2552154.0)</f>
        <v>2552154</v>
      </c>
    </row>
    <row r="4105">
      <c r="A4105" s="2">
        <f>IFERROR(__xludf.DUMMYFUNCTION("""COMPUTED_VALUE"""),45125.66666666667)</f>
        <v>45125.66667</v>
      </c>
      <c r="B4105" s="1">
        <f>IFERROR(__xludf.DUMMYFUNCTION("""COMPUTED_VALUE"""),30.25)</f>
        <v>30.25</v>
      </c>
      <c r="C4105" s="1">
        <f>IFERROR(__xludf.DUMMYFUNCTION("""COMPUTED_VALUE"""),31.94)</f>
        <v>31.94</v>
      </c>
      <c r="D4105" s="1">
        <f>IFERROR(__xludf.DUMMYFUNCTION("""COMPUTED_VALUE"""),29.62)</f>
        <v>29.62</v>
      </c>
      <c r="E4105" s="1">
        <f>IFERROR(__xludf.DUMMYFUNCTION("""COMPUTED_VALUE"""),31.84)</f>
        <v>31.84</v>
      </c>
      <c r="F4105" s="1">
        <f>IFERROR(__xludf.DUMMYFUNCTION("""COMPUTED_VALUE"""),2664700.0)</f>
        <v>2664700</v>
      </c>
    </row>
    <row r="4106">
      <c r="A4106" s="2">
        <f>IFERROR(__xludf.DUMMYFUNCTION("""COMPUTED_VALUE"""),45126.66666666667)</f>
        <v>45126.66667</v>
      </c>
      <c r="B4106" s="1">
        <f>IFERROR(__xludf.DUMMYFUNCTION("""COMPUTED_VALUE"""),32.4)</f>
        <v>32.4</v>
      </c>
      <c r="C4106" s="1">
        <f>IFERROR(__xludf.DUMMYFUNCTION("""COMPUTED_VALUE"""),32.91)</f>
        <v>32.91</v>
      </c>
      <c r="D4106" s="1">
        <f>IFERROR(__xludf.DUMMYFUNCTION("""COMPUTED_VALUE"""),29.64)</f>
        <v>29.64</v>
      </c>
      <c r="E4106" s="1">
        <f>IFERROR(__xludf.DUMMYFUNCTION("""COMPUTED_VALUE"""),30.37)</f>
        <v>30.37</v>
      </c>
      <c r="F4106" s="1">
        <f>IFERROR(__xludf.DUMMYFUNCTION("""COMPUTED_VALUE"""),4401737.0)</f>
        <v>4401737</v>
      </c>
    </row>
    <row r="4107">
      <c r="A4107" s="2">
        <f>IFERROR(__xludf.DUMMYFUNCTION("""COMPUTED_VALUE"""),45127.66666666667)</f>
        <v>45127.66667</v>
      </c>
      <c r="B4107" s="1">
        <f>IFERROR(__xludf.DUMMYFUNCTION("""COMPUTED_VALUE"""),29.87)</f>
        <v>29.87</v>
      </c>
      <c r="C4107" s="1">
        <f>IFERROR(__xludf.DUMMYFUNCTION("""COMPUTED_VALUE"""),30.8)</f>
        <v>30.8</v>
      </c>
      <c r="D4107" s="1">
        <f>IFERROR(__xludf.DUMMYFUNCTION("""COMPUTED_VALUE"""),28.13)</f>
        <v>28.13</v>
      </c>
      <c r="E4107" s="1">
        <f>IFERROR(__xludf.DUMMYFUNCTION("""COMPUTED_VALUE"""),30.3)</f>
        <v>30.3</v>
      </c>
      <c r="F4107" s="1">
        <f>IFERROR(__xludf.DUMMYFUNCTION("""COMPUTED_VALUE"""),4929656.0)</f>
        <v>4929656</v>
      </c>
    </row>
    <row r="4108">
      <c r="A4108" s="2">
        <f>IFERROR(__xludf.DUMMYFUNCTION("""COMPUTED_VALUE"""),45128.66666666667)</f>
        <v>45128.66667</v>
      </c>
      <c r="B4108" s="1">
        <f>IFERROR(__xludf.DUMMYFUNCTION("""COMPUTED_VALUE"""),30.9)</f>
        <v>30.9</v>
      </c>
      <c r="C4108" s="1">
        <f>IFERROR(__xludf.DUMMYFUNCTION("""COMPUTED_VALUE"""),31.52)</f>
        <v>31.52</v>
      </c>
      <c r="D4108" s="1">
        <f>IFERROR(__xludf.DUMMYFUNCTION("""COMPUTED_VALUE"""),29.6)</f>
        <v>29.6</v>
      </c>
      <c r="E4108" s="1">
        <f>IFERROR(__xludf.DUMMYFUNCTION("""COMPUTED_VALUE"""),30.32)</f>
        <v>30.32</v>
      </c>
      <c r="F4108" s="1">
        <f>IFERROR(__xludf.DUMMYFUNCTION("""COMPUTED_VALUE"""),4018506.0)</f>
        <v>4018506</v>
      </c>
    </row>
    <row r="4109">
      <c r="A4109" s="2">
        <f>IFERROR(__xludf.DUMMYFUNCTION("""COMPUTED_VALUE"""),45131.66666666667)</f>
        <v>45131.66667</v>
      </c>
      <c r="B4109" s="1">
        <f>IFERROR(__xludf.DUMMYFUNCTION("""COMPUTED_VALUE"""),30.35)</f>
        <v>30.35</v>
      </c>
      <c r="C4109" s="1">
        <f>IFERROR(__xludf.DUMMYFUNCTION("""COMPUTED_VALUE"""),31.28)</f>
        <v>31.28</v>
      </c>
      <c r="D4109" s="1">
        <f>IFERROR(__xludf.DUMMYFUNCTION("""COMPUTED_VALUE"""),29.47)</f>
        <v>29.47</v>
      </c>
      <c r="E4109" s="1">
        <f>IFERROR(__xludf.DUMMYFUNCTION("""COMPUTED_VALUE"""),30.94)</f>
        <v>30.94</v>
      </c>
      <c r="F4109" s="1">
        <f>IFERROR(__xludf.DUMMYFUNCTION("""COMPUTED_VALUE"""),2905989.0)</f>
        <v>2905989</v>
      </c>
    </row>
    <row r="4110">
      <c r="A4110" s="2">
        <f>IFERROR(__xludf.DUMMYFUNCTION("""COMPUTED_VALUE"""),45132.66666666667)</f>
        <v>45132.66667</v>
      </c>
      <c r="B4110" s="1">
        <f>IFERROR(__xludf.DUMMYFUNCTION("""COMPUTED_VALUE"""),30.92)</f>
        <v>30.92</v>
      </c>
      <c r="C4110" s="1">
        <f>IFERROR(__xludf.DUMMYFUNCTION("""COMPUTED_VALUE"""),32.4)</f>
        <v>32.4</v>
      </c>
      <c r="D4110" s="1">
        <f>IFERROR(__xludf.DUMMYFUNCTION("""COMPUTED_VALUE"""),30.92)</f>
        <v>30.92</v>
      </c>
      <c r="E4110" s="1">
        <f>IFERROR(__xludf.DUMMYFUNCTION("""COMPUTED_VALUE"""),32.14)</f>
        <v>32.14</v>
      </c>
      <c r="F4110" s="1">
        <f>IFERROR(__xludf.DUMMYFUNCTION("""COMPUTED_VALUE"""),2351267.0)</f>
        <v>2351267</v>
      </c>
    </row>
    <row r="4111">
      <c r="A4111" s="2">
        <f>IFERROR(__xludf.DUMMYFUNCTION("""COMPUTED_VALUE"""),45133.66666666667)</f>
        <v>45133.66667</v>
      </c>
      <c r="B4111" s="1">
        <f>IFERROR(__xludf.DUMMYFUNCTION("""COMPUTED_VALUE"""),31.95)</f>
        <v>31.95</v>
      </c>
      <c r="C4111" s="1">
        <f>IFERROR(__xludf.DUMMYFUNCTION("""COMPUTED_VALUE"""),32.36)</f>
        <v>32.36</v>
      </c>
      <c r="D4111" s="1">
        <f>IFERROR(__xludf.DUMMYFUNCTION("""COMPUTED_VALUE"""),30.72)</f>
        <v>30.72</v>
      </c>
      <c r="E4111" s="1">
        <f>IFERROR(__xludf.DUMMYFUNCTION("""COMPUTED_VALUE"""),31.74)</f>
        <v>31.74</v>
      </c>
      <c r="F4111" s="1">
        <f>IFERROR(__xludf.DUMMYFUNCTION("""COMPUTED_VALUE"""),2356039.0)</f>
        <v>2356039</v>
      </c>
    </row>
    <row r="4112">
      <c r="A4112" s="2">
        <f>IFERROR(__xludf.DUMMYFUNCTION("""COMPUTED_VALUE"""),45134.66666666667)</f>
        <v>45134.66667</v>
      </c>
      <c r="B4112" s="1">
        <f>IFERROR(__xludf.DUMMYFUNCTION("""COMPUTED_VALUE"""),32.5)</f>
        <v>32.5</v>
      </c>
      <c r="C4112" s="1">
        <f>IFERROR(__xludf.DUMMYFUNCTION("""COMPUTED_VALUE"""),33.66)</f>
        <v>33.66</v>
      </c>
      <c r="D4112" s="1">
        <f>IFERROR(__xludf.DUMMYFUNCTION("""COMPUTED_VALUE"""),32.1)</f>
        <v>32.1</v>
      </c>
      <c r="E4112" s="1">
        <f>IFERROR(__xludf.DUMMYFUNCTION("""COMPUTED_VALUE"""),32.73)</f>
        <v>32.73</v>
      </c>
      <c r="F4112" s="1">
        <f>IFERROR(__xludf.DUMMYFUNCTION("""COMPUTED_VALUE"""),3228211.0)</f>
        <v>3228211</v>
      </c>
    </row>
    <row r="4113">
      <c r="A4113" s="2">
        <f>IFERROR(__xludf.DUMMYFUNCTION("""COMPUTED_VALUE"""),45135.66666666667)</f>
        <v>45135.66667</v>
      </c>
      <c r="B4113" s="1">
        <f>IFERROR(__xludf.DUMMYFUNCTION("""COMPUTED_VALUE"""),33.45)</f>
        <v>33.45</v>
      </c>
      <c r="C4113" s="1">
        <f>IFERROR(__xludf.DUMMYFUNCTION("""COMPUTED_VALUE"""),33.78)</f>
        <v>33.78</v>
      </c>
      <c r="D4113" s="1">
        <f>IFERROR(__xludf.DUMMYFUNCTION("""COMPUTED_VALUE"""),32.48)</f>
        <v>32.48</v>
      </c>
      <c r="E4113" s="1">
        <f>IFERROR(__xludf.DUMMYFUNCTION("""COMPUTED_VALUE"""),33.45)</f>
        <v>33.45</v>
      </c>
      <c r="F4113" s="1">
        <f>IFERROR(__xludf.DUMMYFUNCTION("""COMPUTED_VALUE"""),2046186.0)</f>
        <v>2046186</v>
      </c>
    </row>
    <row r="4114">
      <c r="A4114" s="2">
        <f>IFERROR(__xludf.DUMMYFUNCTION("""COMPUTED_VALUE"""),45138.66666666667)</f>
        <v>45138.66667</v>
      </c>
      <c r="B4114" s="1">
        <f>IFERROR(__xludf.DUMMYFUNCTION("""COMPUTED_VALUE"""),33.52)</f>
        <v>33.52</v>
      </c>
      <c r="C4114" s="1">
        <f>IFERROR(__xludf.DUMMYFUNCTION("""COMPUTED_VALUE"""),33.63)</f>
        <v>33.63</v>
      </c>
      <c r="D4114" s="1">
        <f>IFERROR(__xludf.DUMMYFUNCTION("""COMPUTED_VALUE"""),32.1)</f>
        <v>32.1</v>
      </c>
      <c r="E4114" s="1">
        <f>IFERROR(__xludf.DUMMYFUNCTION("""COMPUTED_VALUE"""),33.03)</f>
        <v>33.03</v>
      </c>
      <c r="F4114" s="1">
        <f>IFERROR(__xludf.DUMMYFUNCTION("""COMPUTED_VALUE"""),2356512.0)</f>
        <v>2356512</v>
      </c>
    </row>
    <row r="4115">
      <c r="A4115" s="2">
        <f>IFERROR(__xludf.DUMMYFUNCTION("""COMPUTED_VALUE"""),45139.66666666667)</f>
        <v>45139.66667</v>
      </c>
      <c r="B4115" s="1">
        <f>IFERROR(__xludf.DUMMYFUNCTION("""COMPUTED_VALUE"""),32.25)</f>
        <v>32.25</v>
      </c>
      <c r="C4115" s="1">
        <f>IFERROR(__xludf.DUMMYFUNCTION("""COMPUTED_VALUE"""),33.79)</f>
        <v>33.79</v>
      </c>
      <c r="D4115" s="1">
        <f>IFERROR(__xludf.DUMMYFUNCTION("""COMPUTED_VALUE"""),32.0)</f>
        <v>32</v>
      </c>
      <c r="E4115" s="1">
        <f>IFERROR(__xludf.DUMMYFUNCTION("""COMPUTED_VALUE"""),33.76)</f>
        <v>33.76</v>
      </c>
      <c r="F4115" s="1">
        <f>IFERROR(__xludf.DUMMYFUNCTION("""COMPUTED_VALUE"""),2070528.0)</f>
        <v>2070528</v>
      </c>
    </row>
    <row r="4116">
      <c r="A4116" s="2">
        <f>IFERROR(__xludf.DUMMYFUNCTION("""COMPUTED_VALUE"""),45140.66666666667)</f>
        <v>45140.66667</v>
      </c>
      <c r="B4116" s="1">
        <f>IFERROR(__xludf.DUMMYFUNCTION("""COMPUTED_VALUE"""),32.87)</f>
        <v>32.87</v>
      </c>
      <c r="C4116" s="1">
        <f>IFERROR(__xludf.DUMMYFUNCTION("""COMPUTED_VALUE"""),33.78)</f>
        <v>33.78</v>
      </c>
      <c r="D4116" s="1">
        <f>IFERROR(__xludf.DUMMYFUNCTION("""COMPUTED_VALUE"""),31.2)</f>
        <v>31.2</v>
      </c>
      <c r="E4116" s="1">
        <f>IFERROR(__xludf.DUMMYFUNCTION("""COMPUTED_VALUE"""),31.96)</f>
        <v>31.96</v>
      </c>
      <c r="F4116" s="1">
        <f>IFERROR(__xludf.DUMMYFUNCTION("""COMPUTED_VALUE"""),2785374.0)</f>
        <v>2785374</v>
      </c>
    </row>
    <row r="4117">
      <c r="A4117" s="2">
        <f>IFERROR(__xludf.DUMMYFUNCTION("""COMPUTED_VALUE"""),45141.66666666667)</f>
        <v>45141.66667</v>
      </c>
      <c r="B4117" s="1">
        <f>IFERROR(__xludf.DUMMYFUNCTION("""COMPUTED_VALUE"""),31.4)</f>
        <v>31.4</v>
      </c>
      <c r="C4117" s="1">
        <f>IFERROR(__xludf.DUMMYFUNCTION("""COMPUTED_VALUE"""),32.44)</f>
        <v>32.44</v>
      </c>
      <c r="D4117" s="1">
        <f>IFERROR(__xludf.DUMMYFUNCTION("""COMPUTED_VALUE"""),31.3)</f>
        <v>31.3</v>
      </c>
      <c r="E4117" s="1">
        <f>IFERROR(__xludf.DUMMYFUNCTION("""COMPUTED_VALUE"""),32.12)</f>
        <v>32.12</v>
      </c>
      <c r="F4117" s="1">
        <f>IFERROR(__xludf.DUMMYFUNCTION("""COMPUTED_VALUE"""),1493017.0)</f>
        <v>1493017</v>
      </c>
    </row>
    <row r="4118">
      <c r="A4118" s="2">
        <f>IFERROR(__xludf.DUMMYFUNCTION("""COMPUTED_VALUE"""),45142.66666666667)</f>
        <v>45142.66667</v>
      </c>
      <c r="B4118" s="1">
        <f>IFERROR(__xludf.DUMMYFUNCTION("""COMPUTED_VALUE"""),32.4)</f>
        <v>32.4</v>
      </c>
      <c r="C4118" s="1">
        <f>IFERROR(__xludf.DUMMYFUNCTION("""COMPUTED_VALUE"""),34.8)</f>
        <v>34.8</v>
      </c>
      <c r="D4118" s="1">
        <f>IFERROR(__xludf.DUMMYFUNCTION("""COMPUTED_VALUE"""),32.02)</f>
        <v>32.02</v>
      </c>
      <c r="E4118" s="1">
        <f>IFERROR(__xludf.DUMMYFUNCTION("""COMPUTED_VALUE"""),33.81)</f>
        <v>33.81</v>
      </c>
      <c r="F4118" s="1">
        <f>IFERROR(__xludf.DUMMYFUNCTION("""COMPUTED_VALUE"""),3471533.0)</f>
        <v>3471533</v>
      </c>
    </row>
    <row r="4119">
      <c r="A4119" s="2">
        <f>IFERROR(__xludf.DUMMYFUNCTION("""COMPUTED_VALUE"""),45145.66666666667)</f>
        <v>45145.66667</v>
      </c>
      <c r="B4119" s="1">
        <f>IFERROR(__xludf.DUMMYFUNCTION("""COMPUTED_VALUE"""),35.2)</f>
        <v>35.2</v>
      </c>
      <c r="C4119" s="1">
        <f>IFERROR(__xludf.DUMMYFUNCTION("""COMPUTED_VALUE"""),35.7)</f>
        <v>35.7</v>
      </c>
      <c r="D4119" s="1">
        <f>IFERROR(__xludf.DUMMYFUNCTION("""COMPUTED_VALUE"""),34.08)</f>
        <v>34.08</v>
      </c>
      <c r="E4119" s="1">
        <f>IFERROR(__xludf.DUMMYFUNCTION("""COMPUTED_VALUE"""),35.33)</f>
        <v>35.33</v>
      </c>
      <c r="F4119" s="1">
        <f>IFERROR(__xludf.DUMMYFUNCTION("""COMPUTED_VALUE"""),3319169.0)</f>
        <v>3319169</v>
      </c>
    </row>
    <row r="4120">
      <c r="A4120" s="2">
        <f>IFERROR(__xludf.DUMMYFUNCTION("""COMPUTED_VALUE"""),45146.66666666667)</f>
        <v>45146.66667</v>
      </c>
      <c r="B4120" s="1">
        <f>IFERROR(__xludf.DUMMYFUNCTION("""COMPUTED_VALUE"""),34.48)</f>
        <v>34.48</v>
      </c>
      <c r="C4120" s="1">
        <f>IFERROR(__xludf.DUMMYFUNCTION("""COMPUTED_VALUE"""),35.38)</f>
        <v>35.38</v>
      </c>
      <c r="D4120" s="1">
        <f>IFERROR(__xludf.DUMMYFUNCTION("""COMPUTED_VALUE"""),34.1)</f>
        <v>34.1</v>
      </c>
      <c r="E4120" s="1">
        <f>IFERROR(__xludf.DUMMYFUNCTION("""COMPUTED_VALUE"""),34.74)</f>
        <v>34.74</v>
      </c>
      <c r="F4120" s="1">
        <f>IFERROR(__xludf.DUMMYFUNCTION("""COMPUTED_VALUE"""),4552688.0)</f>
        <v>4552688</v>
      </c>
    </row>
    <row r="4121">
      <c r="A4121" s="2">
        <f>IFERROR(__xludf.DUMMYFUNCTION("""COMPUTED_VALUE"""),45147.66666666667)</f>
        <v>45147.66667</v>
      </c>
      <c r="B4121" s="1">
        <f>IFERROR(__xludf.DUMMYFUNCTION("""COMPUTED_VALUE"""),29.71)</f>
        <v>29.71</v>
      </c>
      <c r="C4121" s="1">
        <f>IFERROR(__xludf.DUMMYFUNCTION("""COMPUTED_VALUE"""),29.8)</f>
        <v>29.8</v>
      </c>
      <c r="D4121" s="1">
        <f>IFERROR(__xludf.DUMMYFUNCTION("""COMPUTED_VALUE"""),26.03)</f>
        <v>26.03</v>
      </c>
      <c r="E4121" s="1">
        <f>IFERROR(__xludf.DUMMYFUNCTION("""COMPUTED_VALUE"""),26.61)</f>
        <v>26.61</v>
      </c>
      <c r="F4121" s="1">
        <f>IFERROR(__xludf.DUMMYFUNCTION("""COMPUTED_VALUE"""),1.1456716E7)</f>
        <v>11456716</v>
      </c>
    </row>
    <row r="4122">
      <c r="A4122" s="2">
        <f>IFERROR(__xludf.DUMMYFUNCTION("""COMPUTED_VALUE"""),45148.66666666667)</f>
        <v>45148.66667</v>
      </c>
      <c r="B4122" s="1">
        <f>IFERROR(__xludf.DUMMYFUNCTION("""COMPUTED_VALUE"""),26.54)</f>
        <v>26.54</v>
      </c>
      <c r="C4122" s="1">
        <f>IFERROR(__xludf.DUMMYFUNCTION("""COMPUTED_VALUE"""),27.98)</f>
        <v>27.98</v>
      </c>
      <c r="D4122" s="1">
        <f>IFERROR(__xludf.DUMMYFUNCTION("""COMPUTED_VALUE"""),26.23)</f>
        <v>26.23</v>
      </c>
      <c r="E4122" s="1">
        <f>IFERROR(__xludf.DUMMYFUNCTION("""COMPUTED_VALUE"""),27.71)</f>
        <v>27.71</v>
      </c>
      <c r="F4122" s="1">
        <f>IFERROR(__xludf.DUMMYFUNCTION("""COMPUTED_VALUE"""),5663001.0)</f>
        <v>5663001</v>
      </c>
    </row>
    <row r="4123">
      <c r="A4123" s="2">
        <f>IFERROR(__xludf.DUMMYFUNCTION("""COMPUTED_VALUE"""),45149.66666666667)</f>
        <v>45149.66667</v>
      </c>
      <c r="B4123" s="1">
        <f>IFERROR(__xludf.DUMMYFUNCTION("""COMPUTED_VALUE"""),26.93)</f>
        <v>26.93</v>
      </c>
      <c r="C4123" s="1">
        <f>IFERROR(__xludf.DUMMYFUNCTION("""COMPUTED_VALUE"""),27.2)</f>
        <v>27.2</v>
      </c>
      <c r="D4123" s="1">
        <f>IFERROR(__xludf.DUMMYFUNCTION("""COMPUTED_VALUE"""),25.05)</f>
        <v>25.05</v>
      </c>
      <c r="E4123" s="1">
        <f>IFERROR(__xludf.DUMMYFUNCTION("""COMPUTED_VALUE"""),25.44)</f>
        <v>25.44</v>
      </c>
      <c r="F4123" s="1">
        <f>IFERROR(__xludf.DUMMYFUNCTION("""COMPUTED_VALUE"""),5817493.0)</f>
        <v>5817493</v>
      </c>
    </row>
    <row r="4124">
      <c r="A4124" s="2">
        <f>IFERROR(__xludf.DUMMYFUNCTION("""COMPUTED_VALUE"""),45152.66666666667)</f>
        <v>45152.66667</v>
      </c>
      <c r="B4124" s="1">
        <f>IFERROR(__xludf.DUMMYFUNCTION("""COMPUTED_VALUE"""),25.04)</f>
        <v>25.04</v>
      </c>
      <c r="C4124" s="1">
        <f>IFERROR(__xludf.DUMMYFUNCTION("""COMPUTED_VALUE"""),27.26)</f>
        <v>27.26</v>
      </c>
      <c r="D4124" s="1">
        <f>IFERROR(__xludf.DUMMYFUNCTION("""COMPUTED_VALUE"""),24.84)</f>
        <v>24.84</v>
      </c>
      <c r="E4124" s="1">
        <f>IFERROR(__xludf.DUMMYFUNCTION("""COMPUTED_VALUE"""),26.95)</f>
        <v>26.95</v>
      </c>
      <c r="F4124" s="1">
        <f>IFERROR(__xludf.DUMMYFUNCTION("""COMPUTED_VALUE"""),4994950.0)</f>
        <v>4994950</v>
      </c>
    </row>
    <row r="4125">
      <c r="A4125" s="2">
        <f>IFERROR(__xludf.DUMMYFUNCTION("""COMPUTED_VALUE"""),45153.66666666667)</f>
        <v>45153.66667</v>
      </c>
      <c r="B4125" s="1">
        <f>IFERROR(__xludf.DUMMYFUNCTION("""COMPUTED_VALUE"""),26.74)</f>
        <v>26.74</v>
      </c>
      <c r="C4125" s="1">
        <f>IFERROR(__xludf.DUMMYFUNCTION("""COMPUTED_VALUE"""),27.2)</f>
        <v>27.2</v>
      </c>
      <c r="D4125" s="1">
        <f>IFERROR(__xludf.DUMMYFUNCTION("""COMPUTED_VALUE"""),25.92)</f>
        <v>25.92</v>
      </c>
      <c r="E4125" s="1">
        <f>IFERROR(__xludf.DUMMYFUNCTION("""COMPUTED_VALUE"""),26.42)</f>
        <v>26.42</v>
      </c>
      <c r="F4125" s="1">
        <f>IFERROR(__xludf.DUMMYFUNCTION("""COMPUTED_VALUE"""),2320087.0)</f>
        <v>2320087</v>
      </c>
    </row>
    <row r="4126">
      <c r="A4126" s="2">
        <f>IFERROR(__xludf.DUMMYFUNCTION("""COMPUTED_VALUE"""),45154.66666666667)</f>
        <v>45154.66667</v>
      </c>
      <c r="B4126" s="1">
        <f>IFERROR(__xludf.DUMMYFUNCTION("""COMPUTED_VALUE"""),26.34)</f>
        <v>26.34</v>
      </c>
      <c r="C4126" s="1">
        <f>IFERROR(__xludf.DUMMYFUNCTION("""COMPUTED_VALUE"""),26.39)</f>
        <v>26.39</v>
      </c>
      <c r="D4126" s="1">
        <f>IFERROR(__xludf.DUMMYFUNCTION("""COMPUTED_VALUE"""),25.19)</f>
        <v>25.19</v>
      </c>
      <c r="E4126" s="1">
        <f>IFERROR(__xludf.DUMMYFUNCTION("""COMPUTED_VALUE"""),25.37)</f>
        <v>25.37</v>
      </c>
      <c r="F4126" s="1">
        <f>IFERROR(__xludf.DUMMYFUNCTION("""COMPUTED_VALUE"""),2494521.0)</f>
        <v>2494521</v>
      </c>
    </row>
    <row r="4127">
      <c r="A4127" s="2">
        <f>IFERROR(__xludf.DUMMYFUNCTION("""COMPUTED_VALUE"""),45155.66666666667)</f>
        <v>45155.66667</v>
      </c>
      <c r="B4127" s="1">
        <f>IFERROR(__xludf.DUMMYFUNCTION("""COMPUTED_VALUE"""),25.5)</f>
        <v>25.5</v>
      </c>
      <c r="C4127" s="1">
        <f>IFERROR(__xludf.DUMMYFUNCTION("""COMPUTED_VALUE"""),25.59)</f>
        <v>25.59</v>
      </c>
      <c r="D4127" s="1">
        <f>IFERROR(__xludf.DUMMYFUNCTION("""COMPUTED_VALUE"""),24.25)</f>
        <v>24.25</v>
      </c>
      <c r="E4127" s="1">
        <f>IFERROR(__xludf.DUMMYFUNCTION("""COMPUTED_VALUE"""),24.41)</f>
        <v>24.41</v>
      </c>
      <c r="F4127" s="1">
        <f>IFERROR(__xludf.DUMMYFUNCTION("""COMPUTED_VALUE"""),2504086.0)</f>
        <v>2504086</v>
      </c>
    </row>
    <row r="4128">
      <c r="A4128" s="2">
        <f>IFERROR(__xludf.DUMMYFUNCTION("""COMPUTED_VALUE"""),45156.66666666667)</f>
        <v>45156.66667</v>
      </c>
      <c r="B4128" s="1">
        <f>IFERROR(__xludf.DUMMYFUNCTION("""COMPUTED_VALUE"""),23.6)</f>
        <v>23.6</v>
      </c>
      <c r="C4128" s="1">
        <f>IFERROR(__xludf.DUMMYFUNCTION("""COMPUTED_VALUE"""),24.7)</f>
        <v>24.7</v>
      </c>
      <c r="D4128" s="1">
        <f>IFERROR(__xludf.DUMMYFUNCTION("""COMPUTED_VALUE"""),23.51)</f>
        <v>23.51</v>
      </c>
      <c r="E4128" s="1">
        <f>IFERROR(__xludf.DUMMYFUNCTION("""COMPUTED_VALUE"""),24.36)</f>
        <v>24.36</v>
      </c>
      <c r="F4128" s="1">
        <f>IFERROR(__xludf.DUMMYFUNCTION("""COMPUTED_VALUE"""),2739366.0)</f>
        <v>2739366</v>
      </c>
    </row>
    <row r="4129">
      <c r="A4129" s="2">
        <f>IFERROR(__xludf.DUMMYFUNCTION("""COMPUTED_VALUE"""),45159.66666666667)</f>
        <v>45159.66667</v>
      </c>
      <c r="B4129" s="1">
        <f>IFERROR(__xludf.DUMMYFUNCTION("""COMPUTED_VALUE"""),24.45)</f>
        <v>24.45</v>
      </c>
      <c r="C4129" s="1">
        <f>IFERROR(__xludf.DUMMYFUNCTION("""COMPUTED_VALUE"""),25.57)</f>
        <v>25.57</v>
      </c>
      <c r="D4129" s="1">
        <f>IFERROR(__xludf.DUMMYFUNCTION("""COMPUTED_VALUE"""),24.23)</f>
        <v>24.23</v>
      </c>
      <c r="E4129" s="1">
        <f>IFERROR(__xludf.DUMMYFUNCTION("""COMPUTED_VALUE"""),25.26)</f>
        <v>25.26</v>
      </c>
      <c r="F4129" s="1">
        <f>IFERROR(__xludf.DUMMYFUNCTION("""COMPUTED_VALUE"""),2674229.0)</f>
        <v>2674229</v>
      </c>
    </row>
    <row r="4130">
      <c r="A4130" s="2">
        <f>IFERROR(__xludf.DUMMYFUNCTION("""COMPUTED_VALUE"""),45160.66666666667)</f>
        <v>45160.66667</v>
      </c>
      <c r="B4130" s="1">
        <f>IFERROR(__xludf.DUMMYFUNCTION("""COMPUTED_VALUE"""),25.7)</f>
        <v>25.7</v>
      </c>
      <c r="C4130" s="1">
        <f>IFERROR(__xludf.DUMMYFUNCTION("""COMPUTED_VALUE"""),26.38)</f>
        <v>26.38</v>
      </c>
      <c r="D4130" s="1">
        <f>IFERROR(__xludf.DUMMYFUNCTION("""COMPUTED_VALUE"""),25.4)</f>
        <v>25.4</v>
      </c>
      <c r="E4130" s="1">
        <f>IFERROR(__xludf.DUMMYFUNCTION("""COMPUTED_VALUE"""),25.81)</f>
        <v>25.81</v>
      </c>
      <c r="F4130" s="1">
        <f>IFERROR(__xludf.DUMMYFUNCTION("""COMPUTED_VALUE"""),2766507.0)</f>
        <v>2766507</v>
      </c>
    </row>
    <row r="4131">
      <c r="A4131" s="2">
        <f>IFERROR(__xludf.DUMMYFUNCTION("""COMPUTED_VALUE"""),45161.66666666667)</f>
        <v>45161.66667</v>
      </c>
      <c r="B4131" s="1">
        <f>IFERROR(__xludf.DUMMYFUNCTION("""COMPUTED_VALUE"""),26.03)</f>
        <v>26.03</v>
      </c>
      <c r="C4131" s="1">
        <f>IFERROR(__xludf.DUMMYFUNCTION("""COMPUTED_VALUE"""),28.46)</f>
        <v>28.46</v>
      </c>
      <c r="D4131" s="1">
        <f>IFERROR(__xludf.DUMMYFUNCTION("""COMPUTED_VALUE"""),25.93)</f>
        <v>25.93</v>
      </c>
      <c r="E4131" s="1">
        <f>IFERROR(__xludf.DUMMYFUNCTION("""COMPUTED_VALUE"""),27.76)</f>
        <v>27.76</v>
      </c>
      <c r="F4131" s="1">
        <f>IFERROR(__xludf.DUMMYFUNCTION("""COMPUTED_VALUE"""),4460116.0)</f>
        <v>4460116</v>
      </c>
    </row>
    <row r="4132">
      <c r="A4132" s="2">
        <f>IFERROR(__xludf.DUMMYFUNCTION("""COMPUTED_VALUE"""),45162.66666666667)</f>
        <v>45162.66667</v>
      </c>
      <c r="B4132" s="1">
        <f>IFERROR(__xludf.DUMMYFUNCTION("""COMPUTED_VALUE"""),29.8)</f>
        <v>29.8</v>
      </c>
      <c r="C4132" s="1">
        <f>IFERROR(__xludf.DUMMYFUNCTION("""COMPUTED_VALUE"""),29.84)</f>
        <v>29.84</v>
      </c>
      <c r="D4132" s="1">
        <f>IFERROR(__xludf.DUMMYFUNCTION("""COMPUTED_VALUE"""),25.65)</f>
        <v>25.65</v>
      </c>
      <c r="E4132" s="1">
        <f>IFERROR(__xludf.DUMMYFUNCTION("""COMPUTED_VALUE"""),26.25)</f>
        <v>26.25</v>
      </c>
      <c r="F4132" s="1">
        <f>IFERROR(__xludf.DUMMYFUNCTION("""COMPUTED_VALUE"""),5783627.0)</f>
        <v>5783627</v>
      </c>
    </row>
    <row r="4133">
      <c r="A4133" s="2">
        <f>IFERROR(__xludf.DUMMYFUNCTION("""COMPUTED_VALUE"""),45163.66666666667)</f>
        <v>45163.66667</v>
      </c>
      <c r="B4133" s="1">
        <f>IFERROR(__xludf.DUMMYFUNCTION("""COMPUTED_VALUE"""),26.1)</f>
        <v>26.1</v>
      </c>
      <c r="C4133" s="1">
        <f>IFERROR(__xludf.DUMMYFUNCTION("""COMPUTED_VALUE"""),26.39)</f>
        <v>26.39</v>
      </c>
      <c r="D4133" s="1">
        <f>IFERROR(__xludf.DUMMYFUNCTION("""COMPUTED_VALUE"""),24.3)</f>
        <v>24.3</v>
      </c>
      <c r="E4133" s="1">
        <f>IFERROR(__xludf.DUMMYFUNCTION("""COMPUTED_VALUE"""),25.4)</f>
        <v>25.4</v>
      </c>
      <c r="F4133" s="1">
        <f>IFERROR(__xludf.DUMMYFUNCTION("""COMPUTED_VALUE"""),4102616.0)</f>
        <v>4102616</v>
      </c>
    </row>
    <row r="4134">
      <c r="A4134" s="2">
        <f>IFERROR(__xludf.DUMMYFUNCTION("""COMPUTED_VALUE"""),45166.66666666667)</f>
        <v>45166.66667</v>
      </c>
      <c r="B4134" s="1">
        <f>IFERROR(__xludf.DUMMYFUNCTION("""COMPUTED_VALUE"""),25.74)</f>
        <v>25.74</v>
      </c>
      <c r="C4134" s="1">
        <f>IFERROR(__xludf.DUMMYFUNCTION("""COMPUTED_VALUE"""),26.21)</f>
        <v>26.21</v>
      </c>
      <c r="D4134" s="1">
        <f>IFERROR(__xludf.DUMMYFUNCTION("""COMPUTED_VALUE"""),25.37)</f>
        <v>25.37</v>
      </c>
      <c r="E4134" s="1">
        <f>IFERROR(__xludf.DUMMYFUNCTION("""COMPUTED_VALUE"""),25.52)</f>
        <v>25.52</v>
      </c>
      <c r="F4134" s="1">
        <f>IFERROR(__xludf.DUMMYFUNCTION("""COMPUTED_VALUE"""),1974323.0)</f>
        <v>1974323</v>
      </c>
    </row>
    <row r="4135">
      <c r="A4135" s="2">
        <f>IFERROR(__xludf.DUMMYFUNCTION("""COMPUTED_VALUE"""),45167.66666666667)</f>
        <v>45167.66667</v>
      </c>
      <c r="B4135" s="1">
        <f>IFERROR(__xludf.DUMMYFUNCTION("""COMPUTED_VALUE"""),25.36)</f>
        <v>25.36</v>
      </c>
      <c r="C4135" s="1">
        <f>IFERROR(__xludf.DUMMYFUNCTION("""COMPUTED_VALUE"""),27.76)</f>
        <v>27.76</v>
      </c>
      <c r="D4135" s="1">
        <f>IFERROR(__xludf.DUMMYFUNCTION("""COMPUTED_VALUE"""),25.1)</f>
        <v>25.1</v>
      </c>
      <c r="E4135" s="1">
        <f>IFERROR(__xludf.DUMMYFUNCTION("""COMPUTED_VALUE"""),26.16)</f>
        <v>26.16</v>
      </c>
      <c r="F4135" s="1">
        <f>IFERROR(__xludf.DUMMYFUNCTION("""COMPUTED_VALUE"""),3637097.0)</f>
        <v>3637097</v>
      </c>
    </row>
    <row r="4136">
      <c r="A4136" s="2">
        <f>IFERROR(__xludf.DUMMYFUNCTION("""COMPUTED_VALUE"""),45168.66666666667)</f>
        <v>45168.66667</v>
      </c>
      <c r="B4136" s="1">
        <f>IFERROR(__xludf.DUMMYFUNCTION("""COMPUTED_VALUE"""),26.37)</f>
        <v>26.37</v>
      </c>
      <c r="C4136" s="1">
        <f>IFERROR(__xludf.DUMMYFUNCTION("""COMPUTED_VALUE"""),27.59)</f>
        <v>27.59</v>
      </c>
      <c r="D4136" s="1">
        <f>IFERROR(__xludf.DUMMYFUNCTION("""COMPUTED_VALUE"""),25.73)</f>
        <v>25.73</v>
      </c>
      <c r="E4136" s="1">
        <f>IFERROR(__xludf.DUMMYFUNCTION("""COMPUTED_VALUE"""),26.79)</f>
        <v>26.79</v>
      </c>
      <c r="F4136" s="1">
        <f>IFERROR(__xludf.DUMMYFUNCTION("""COMPUTED_VALUE"""),3483821.0)</f>
        <v>3483821</v>
      </c>
    </row>
    <row r="4137">
      <c r="A4137" s="2">
        <f>IFERROR(__xludf.DUMMYFUNCTION("""COMPUTED_VALUE"""),45169.66666666667)</f>
        <v>45169.66667</v>
      </c>
      <c r="B4137" s="1">
        <f>IFERROR(__xludf.DUMMYFUNCTION("""COMPUTED_VALUE"""),27.0)</f>
        <v>27</v>
      </c>
      <c r="C4137" s="1">
        <f>IFERROR(__xludf.DUMMYFUNCTION("""COMPUTED_VALUE"""),28.3)</f>
        <v>28.3</v>
      </c>
      <c r="D4137" s="1">
        <f>IFERROR(__xludf.DUMMYFUNCTION("""COMPUTED_VALUE"""),26.41)</f>
        <v>26.41</v>
      </c>
      <c r="E4137" s="1">
        <f>IFERROR(__xludf.DUMMYFUNCTION("""COMPUTED_VALUE"""),27.51)</f>
        <v>27.51</v>
      </c>
      <c r="F4137" s="1">
        <f>IFERROR(__xludf.DUMMYFUNCTION("""COMPUTED_VALUE"""),6637173.0)</f>
        <v>6637173</v>
      </c>
    </row>
    <row r="4138">
      <c r="A4138" s="2">
        <f>IFERROR(__xludf.DUMMYFUNCTION("""COMPUTED_VALUE"""),45170.66666666667)</f>
        <v>45170.66667</v>
      </c>
      <c r="B4138" s="1">
        <f>IFERROR(__xludf.DUMMYFUNCTION("""COMPUTED_VALUE"""),27.7)</f>
        <v>27.7</v>
      </c>
      <c r="C4138" s="1">
        <f>IFERROR(__xludf.DUMMYFUNCTION("""COMPUTED_VALUE"""),28.33)</f>
        <v>28.33</v>
      </c>
      <c r="D4138" s="1">
        <f>IFERROR(__xludf.DUMMYFUNCTION("""COMPUTED_VALUE"""),26.66)</f>
        <v>26.66</v>
      </c>
      <c r="E4138" s="1">
        <f>IFERROR(__xludf.DUMMYFUNCTION("""COMPUTED_VALUE"""),28.22)</f>
        <v>28.22</v>
      </c>
      <c r="F4138" s="1">
        <f>IFERROR(__xludf.DUMMYFUNCTION("""COMPUTED_VALUE"""),3753438.0)</f>
        <v>3753438</v>
      </c>
    </row>
    <row r="4139">
      <c r="A4139" s="2">
        <f>IFERROR(__xludf.DUMMYFUNCTION("""COMPUTED_VALUE"""),45174.66666666667)</f>
        <v>45174.66667</v>
      </c>
      <c r="B4139" s="1">
        <f>IFERROR(__xludf.DUMMYFUNCTION("""COMPUTED_VALUE"""),27.94)</f>
        <v>27.94</v>
      </c>
      <c r="C4139" s="1">
        <f>IFERROR(__xludf.DUMMYFUNCTION("""COMPUTED_VALUE"""),28.69)</f>
        <v>28.69</v>
      </c>
      <c r="D4139" s="1">
        <f>IFERROR(__xludf.DUMMYFUNCTION("""COMPUTED_VALUE"""),27.43)</f>
        <v>27.43</v>
      </c>
      <c r="E4139" s="1">
        <f>IFERROR(__xludf.DUMMYFUNCTION("""COMPUTED_VALUE"""),28.03)</f>
        <v>28.03</v>
      </c>
      <c r="F4139" s="1">
        <f>IFERROR(__xludf.DUMMYFUNCTION("""COMPUTED_VALUE"""),3360315.0)</f>
        <v>3360315</v>
      </c>
    </row>
    <row r="4140">
      <c r="A4140" s="2">
        <f>IFERROR(__xludf.DUMMYFUNCTION("""COMPUTED_VALUE"""),45175.66666666667)</f>
        <v>45175.66667</v>
      </c>
      <c r="B4140" s="1">
        <f>IFERROR(__xludf.DUMMYFUNCTION("""COMPUTED_VALUE"""),27.71)</f>
        <v>27.71</v>
      </c>
      <c r="C4140" s="1">
        <f>IFERROR(__xludf.DUMMYFUNCTION("""COMPUTED_VALUE"""),28.2)</f>
        <v>28.2</v>
      </c>
      <c r="D4140" s="1">
        <f>IFERROR(__xludf.DUMMYFUNCTION("""COMPUTED_VALUE"""),27.03)</f>
        <v>27.03</v>
      </c>
      <c r="E4140" s="1">
        <f>IFERROR(__xludf.DUMMYFUNCTION("""COMPUTED_VALUE"""),27.4)</f>
        <v>27.4</v>
      </c>
      <c r="F4140" s="1">
        <f>IFERROR(__xludf.DUMMYFUNCTION("""COMPUTED_VALUE"""),2461312.0)</f>
        <v>2461312</v>
      </c>
    </row>
    <row r="4141">
      <c r="A4141" s="2">
        <f>IFERROR(__xludf.DUMMYFUNCTION("""COMPUTED_VALUE"""),45176.66666666667)</f>
        <v>45176.66667</v>
      </c>
      <c r="B4141" s="1">
        <f>IFERROR(__xludf.DUMMYFUNCTION("""COMPUTED_VALUE"""),26.51)</f>
        <v>26.51</v>
      </c>
      <c r="C4141" s="1">
        <f>IFERROR(__xludf.DUMMYFUNCTION("""COMPUTED_VALUE"""),26.79)</f>
        <v>26.79</v>
      </c>
      <c r="D4141" s="1">
        <f>IFERROR(__xludf.DUMMYFUNCTION("""COMPUTED_VALUE"""),25.42)</f>
        <v>25.42</v>
      </c>
      <c r="E4141" s="1">
        <f>IFERROR(__xludf.DUMMYFUNCTION("""COMPUTED_VALUE"""),26.75)</f>
        <v>26.75</v>
      </c>
      <c r="F4141" s="1">
        <f>IFERROR(__xludf.DUMMYFUNCTION("""COMPUTED_VALUE"""),2922869.0)</f>
        <v>2922869</v>
      </c>
    </row>
    <row r="4142">
      <c r="A4142" s="2">
        <f>IFERROR(__xludf.DUMMYFUNCTION("""COMPUTED_VALUE"""),45177.66666666667)</f>
        <v>45177.66667</v>
      </c>
      <c r="B4142" s="1">
        <f>IFERROR(__xludf.DUMMYFUNCTION("""COMPUTED_VALUE"""),26.63)</f>
        <v>26.63</v>
      </c>
      <c r="C4142" s="1">
        <f>IFERROR(__xludf.DUMMYFUNCTION("""COMPUTED_VALUE"""),28.13)</f>
        <v>28.13</v>
      </c>
      <c r="D4142" s="1">
        <f>IFERROR(__xludf.DUMMYFUNCTION("""COMPUTED_VALUE"""),26.56)</f>
        <v>26.56</v>
      </c>
      <c r="E4142" s="1">
        <f>IFERROR(__xludf.DUMMYFUNCTION("""COMPUTED_VALUE"""),28.07)</f>
        <v>28.07</v>
      </c>
      <c r="F4142" s="1">
        <f>IFERROR(__xludf.DUMMYFUNCTION("""COMPUTED_VALUE"""),2937247.0)</f>
        <v>2937247</v>
      </c>
    </row>
    <row r="4143">
      <c r="A4143" s="2">
        <f>IFERROR(__xludf.DUMMYFUNCTION("""COMPUTED_VALUE"""),45180.66666666667)</f>
        <v>45180.66667</v>
      </c>
      <c r="B4143" s="1">
        <f>IFERROR(__xludf.DUMMYFUNCTION("""COMPUTED_VALUE"""),28.55)</f>
        <v>28.55</v>
      </c>
      <c r="C4143" s="1">
        <f>IFERROR(__xludf.DUMMYFUNCTION("""COMPUTED_VALUE"""),28.77)</f>
        <v>28.77</v>
      </c>
      <c r="D4143" s="1">
        <f>IFERROR(__xludf.DUMMYFUNCTION("""COMPUTED_VALUE"""),27.51)</f>
        <v>27.51</v>
      </c>
      <c r="E4143" s="1">
        <f>IFERROR(__xludf.DUMMYFUNCTION("""COMPUTED_VALUE"""),27.73)</f>
        <v>27.73</v>
      </c>
      <c r="F4143" s="1">
        <f>IFERROR(__xludf.DUMMYFUNCTION("""COMPUTED_VALUE"""),2953848.0)</f>
        <v>2953848</v>
      </c>
    </row>
    <row r="4144">
      <c r="A4144" s="2">
        <f>IFERROR(__xludf.DUMMYFUNCTION("""COMPUTED_VALUE"""),45181.66666666667)</f>
        <v>45181.66667</v>
      </c>
      <c r="B4144" s="1">
        <f>IFERROR(__xludf.DUMMYFUNCTION("""COMPUTED_VALUE"""),27.35)</f>
        <v>27.35</v>
      </c>
      <c r="C4144" s="1">
        <f>IFERROR(__xludf.DUMMYFUNCTION("""COMPUTED_VALUE"""),27.98)</f>
        <v>27.98</v>
      </c>
      <c r="D4144" s="1">
        <f>IFERROR(__xludf.DUMMYFUNCTION("""COMPUTED_VALUE"""),26.57)</f>
        <v>26.57</v>
      </c>
      <c r="E4144" s="1">
        <f>IFERROR(__xludf.DUMMYFUNCTION("""COMPUTED_VALUE"""),26.77)</f>
        <v>26.77</v>
      </c>
      <c r="F4144" s="1">
        <f>IFERROR(__xludf.DUMMYFUNCTION("""COMPUTED_VALUE"""),2213784.0)</f>
        <v>2213784</v>
      </c>
    </row>
    <row r="4145">
      <c r="A4145" s="2">
        <f>IFERROR(__xludf.DUMMYFUNCTION("""COMPUTED_VALUE"""),45182.66666666667)</f>
        <v>45182.66667</v>
      </c>
      <c r="B4145" s="1">
        <f>IFERROR(__xludf.DUMMYFUNCTION("""COMPUTED_VALUE"""),26.7)</f>
        <v>26.7</v>
      </c>
      <c r="C4145" s="1">
        <f>IFERROR(__xludf.DUMMYFUNCTION("""COMPUTED_VALUE"""),27.72)</f>
        <v>27.72</v>
      </c>
      <c r="D4145" s="1">
        <f>IFERROR(__xludf.DUMMYFUNCTION("""COMPUTED_VALUE"""),26.62)</f>
        <v>26.62</v>
      </c>
      <c r="E4145" s="1">
        <f>IFERROR(__xludf.DUMMYFUNCTION("""COMPUTED_VALUE"""),27.1)</f>
        <v>27.1</v>
      </c>
      <c r="F4145" s="1">
        <f>IFERROR(__xludf.DUMMYFUNCTION("""COMPUTED_VALUE"""),2581922.0)</f>
        <v>2581922</v>
      </c>
    </row>
    <row r="4146">
      <c r="A4146" s="2">
        <f>IFERROR(__xludf.DUMMYFUNCTION("""COMPUTED_VALUE"""),45183.66666666667)</f>
        <v>45183.66667</v>
      </c>
      <c r="B4146" s="1">
        <f>IFERROR(__xludf.DUMMYFUNCTION("""COMPUTED_VALUE"""),27.18)</f>
        <v>27.18</v>
      </c>
      <c r="C4146" s="1">
        <f>IFERROR(__xludf.DUMMYFUNCTION("""COMPUTED_VALUE"""),27.63)</f>
        <v>27.63</v>
      </c>
      <c r="D4146" s="1">
        <f>IFERROR(__xludf.DUMMYFUNCTION("""COMPUTED_VALUE"""),26.79)</f>
        <v>26.79</v>
      </c>
      <c r="E4146" s="1">
        <f>IFERROR(__xludf.DUMMYFUNCTION("""COMPUTED_VALUE"""),27.08)</f>
        <v>27.08</v>
      </c>
      <c r="F4146" s="1">
        <f>IFERROR(__xludf.DUMMYFUNCTION("""COMPUTED_VALUE"""),2412713.0)</f>
        <v>2412713</v>
      </c>
    </row>
    <row r="4147">
      <c r="A4147" s="2">
        <f>IFERROR(__xludf.DUMMYFUNCTION("""COMPUTED_VALUE"""),45184.66666666667)</f>
        <v>45184.66667</v>
      </c>
      <c r="B4147" s="1">
        <f>IFERROR(__xludf.DUMMYFUNCTION("""COMPUTED_VALUE"""),26.8)</f>
        <v>26.8</v>
      </c>
      <c r="C4147" s="1">
        <f>IFERROR(__xludf.DUMMYFUNCTION("""COMPUTED_VALUE"""),26.93)</f>
        <v>26.93</v>
      </c>
      <c r="D4147" s="1">
        <f>IFERROR(__xludf.DUMMYFUNCTION("""COMPUTED_VALUE"""),24.72)</f>
        <v>24.72</v>
      </c>
      <c r="E4147" s="1">
        <f>IFERROR(__xludf.DUMMYFUNCTION("""COMPUTED_VALUE"""),24.93)</f>
        <v>24.93</v>
      </c>
      <c r="F4147" s="1">
        <f>IFERROR(__xludf.DUMMYFUNCTION("""COMPUTED_VALUE"""),4578564.0)</f>
        <v>4578564</v>
      </c>
    </row>
    <row r="4148">
      <c r="A4148" s="2">
        <f>IFERROR(__xludf.DUMMYFUNCTION("""COMPUTED_VALUE"""),45187.66666666667)</f>
        <v>45187.66667</v>
      </c>
      <c r="B4148" s="1">
        <f>IFERROR(__xludf.DUMMYFUNCTION("""COMPUTED_VALUE"""),24.1)</f>
        <v>24.1</v>
      </c>
      <c r="C4148" s="1">
        <f>IFERROR(__xludf.DUMMYFUNCTION("""COMPUTED_VALUE"""),24.85)</f>
        <v>24.85</v>
      </c>
      <c r="D4148" s="1">
        <f>IFERROR(__xludf.DUMMYFUNCTION("""COMPUTED_VALUE"""),23.91)</f>
        <v>23.91</v>
      </c>
      <c r="E4148" s="1">
        <f>IFERROR(__xludf.DUMMYFUNCTION("""COMPUTED_VALUE"""),24.43)</f>
        <v>24.43</v>
      </c>
      <c r="F4148" s="1">
        <f>IFERROR(__xludf.DUMMYFUNCTION("""COMPUTED_VALUE"""),2611266.0)</f>
        <v>2611266</v>
      </c>
    </row>
    <row r="4149">
      <c r="A4149" s="2">
        <f>IFERROR(__xludf.DUMMYFUNCTION("""COMPUTED_VALUE"""),45188.66666666667)</f>
        <v>45188.66667</v>
      </c>
      <c r="B4149" s="1">
        <f>IFERROR(__xludf.DUMMYFUNCTION("""COMPUTED_VALUE"""),24.85)</f>
        <v>24.85</v>
      </c>
      <c r="C4149" s="1">
        <f>IFERROR(__xludf.DUMMYFUNCTION("""COMPUTED_VALUE"""),25.06)</f>
        <v>25.06</v>
      </c>
      <c r="D4149" s="1">
        <f>IFERROR(__xludf.DUMMYFUNCTION("""COMPUTED_VALUE"""),24.41)</f>
        <v>24.41</v>
      </c>
      <c r="E4149" s="1">
        <f>IFERROR(__xludf.DUMMYFUNCTION("""COMPUTED_VALUE"""),24.77)</f>
        <v>24.77</v>
      </c>
      <c r="F4149" s="1">
        <f>IFERROR(__xludf.DUMMYFUNCTION("""COMPUTED_VALUE"""),2030210.0)</f>
        <v>2030210</v>
      </c>
    </row>
    <row r="4150">
      <c r="A4150" s="2">
        <f>IFERROR(__xludf.DUMMYFUNCTION("""COMPUTED_VALUE"""),45189.66666666667)</f>
        <v>45189.66667</v>
      </c>
      <c r="B4150" s="1">
        <f>IFERROR(__xludf.DUMMYFUNCTION("""COMPUTED_VALUE"""),24.77)</f>
        <v>24.77</v>
      </c>
      <c r="C4150" s="1">
        <f>IFERROR(__xludf.DUMMYFUNCTION("""COMPUTED_VALUE"""),25.47)</f>
        <v>25.47</v>
      </c>
      <c r="D4150" s="1">
        <f>IFERROR(__xludf.DUMMYFUNCTION("""COMPUTED_VALUE"""),24.24)</f>
        <v>24.24</v>
      </c>
      <c r="E4150" s="1">
        <f>IFERROR(__xludf.DUMMYFUNCTION("""COMPUTED_VALUE"""),24.31)</f>
        <v>24.31</v>
      </c>
      <c r="F4150" s="1">
        <f>IFERROR(__xludf.DUMMYFUNCTION("""COMPUTED_VALUE"""),1571994.0)</f>
        <v>1571994</v>
      </c>
    </row>
    <row r="4151">
      <c r="A4151" s="2">
        <f>IFERROR(__xludf.DUMMYFUNCTION("""COMPUTED_VALUE"""),45190.66666666667)</f>
        <v>45190.66667</v>
      </c>
      <c r="B4151" s="1">
        <f>IFERROR(__xludf.DUMMYFUNCTION("""COMPUTED_VALUE"""),23.41)</f>
        <v>23.41</v>
      </c>
      <c r="C4151" s="1">
        <f>IFERROR(__xludf.DUMMYFUNCTION("""COMPUTED_VALUE"""),23.74)</f>
        <v>23.74</v>
      </c>
      <c r="D4151" s="1">
        <f>IFERROR(__xludf.DUMMYFUNCTION("""COMPUTED_VALUE"""),22.83)</f>
        <v>22.83</v>
      </c>
      <c r="E4151" s="1">
        <f>IFERROR(__xludf.DUMMYFUNCTION("""COMPUTED_VALUE"""),23.15)</f>
        <v>23.15</v>
      </c>
      <c r="F4151" s="1">
        <f>IFERROR(__xludf.DUMMYFUNCTION("""COMPUTED_VALUE"""),2551852.0)</f>
        <v>2551852</v>
      </c>
    </row>
    <row r="4152">
      <c r="A4152" s="2">
        <f>IFERROR(__xludf.DUMMYFUNCTION("""COMPUTED_VALUE"""),45191.66666666667)</f>
        <v>45191.66667</v>
      </c>
      <c r="B4152" s="1">
        <f>IFERROR(__xludf.DUMMYFUNCTION("""COMPUTED_VALUE"""),23.49)</f>
        <v>23.49</v>
      </c>
      <c r="C4152" s="1">
        <f>IFERROR(__xludf.DUMMYFUNCTION("""COMPUTED_VALUE"""),23.76)</f>
        <v>23.76</v>
      </c>
      <c r="D4152" s="1">
        <f>IFERROR(__xludf.DUMMYFUNCTION("""COMPUTED_VALUE"""),23.14)</f>
        <v>23.14</v>
      </c>
      <c r="E4152" s="1">
        <f>IFERROR(__xludf.DUMMYFUNCTION("""COMPUTED_VALUE"""),23.58)</f>
        <v>23.58</v>
      </c>
      <c r="F4152" s="1">
        <f>IFERROR(__xludf.DUMMYFUNCTION("""COMPUTED_VALUE"""),1603856.0)</f>
        <v>1603856</v>
      </c>
    </row>
    <row r="4153">
      <c r="A4153" s="2">
        <f>IFERROR(__xludf.DUMMYFUNCTION("""COMPUTED_VALUE"""),45194.66666666667)</f>
        <v>45194.66667</v>
      </c>
      <c r="B4153" s="1">
        <f>IFERROR(__xludf.DUMMYFUNCTION("""COMPUTED_VALUE"""),23.4)</f>
        <v>23.4</v>
      </c>
      <c r="C4153" s="1">
        <f>IFERROR(__xludf.DUMMYFUNCTION("""COMPUTED_VALUE"""),25.01)</f>
        <v>25.01</v>
      </c>
      <c r="D4153" s="1">
        <f>IFERROR(__xludf.DUMMYFUNCTION("""COMPUTED_VALUE"""),23.34)</f>
        <v>23.34</v>
      </c>
      <c r="E4153" s="1">
        <f>IFERROR(__xludf.DUMMYFUNCTION("""COMPUTED_VALUE"""),24.89)</f>
        <v>24.89</v>
      </c>
      <c r="F4153" s="1">
        <f>IFERROR(__xludf.DUMMYFUNCTION("""COMPUTED_VALUE"""),2558939.0)</f>
        <v>2558939</v>
      </c>
    </row>
    <row r="4154">
      <c r="A4154" s="2">
        <f>IFERROR(__xludf.DUMMYFUNCTION("""COMPUTED_VALUE"""),45195.66666666667)</f>
        <v>45195.66667</v>
      </c>
      <c r="B4154" s="1">
        <f>IFERROR(__xludf.DUMMYFUNCTION("""COMPUTED_VALUE"""),24.55)</f>
        <v>24.55</v>
      </c>
      <c r="C4154" s="1">
        <f>IFERROR(__xludf.DUMMYFUNCTION("""COMPUTED_VALUE"""),25.52)</f>
        <v>25.52</v>
      </c>
      <c r="D4154" s="1">
        <f>IFERROR(__xludf.DUMMYFUNCTION("""COMPUTED_VALUE"""),24.55)</f>
        <v>24.55</v>
      </c>
      <c r="E4154" s="1">
        <f>IFERROR(__xludf.DUMMYFUNCTION("""COMPUTED_VALUE"""),24.92)</f>
        <v>24.92</v>
      </c>
      <c r="F4154" s="1">
        <f>IFERROR(__xludf.DUMMYFUNCTION("""COMPUTED_VALUE"""),1989797.0)</f>
        <v>1989797</v>
      </c>
    </row>
    <row r="4155">
      <c r="A4155" s="2">
        <f>IFERROR(__xludf.DUMMYFUNCTION("""COMPUTED_VALUE"""),45196.66666666667)</f>
        <v>45196.66667</v>
      </c>
      <c r="B4155" s="1">
        <f>IFERROR(__xludf.DUMMYFUNCTION("""COMPUTED_VALUE"""),25.29)</f>
        <v>25.29</v>
      </c>
      <c r="C4155" s="1">
        <f>IFERROR(__xludf.DUMMYFUNCTION("""COMPUTED_VALUE"""),26.16)</f>
        <v>26.16</v>
      </c>
      <c r="D4155" s="1">
        <f>IFERROR(__xludf.DUMMYFUNCTION("""COMPUTED_VALUE"""),25.11)</f>
        <v>25.11</v>
      </c>
      <c r="E4155" s="1">
        <f>IFERROR(__xludf.DUMMYFUNCTION("""COMPUTED_VALUE"""),25.75)</f>
        <v>25.75</v>
      </c>
      <c r="F4155" s="1">
        <f>IFERROR(__xludf.DUMMYFUNCTION("""COMPUTED_VALUE"""),2805612.0)</f>
        <v>2805612</v>
      </c>
    </row>
    <row r="4156">
      <c r="A4156" s="2">
        <f>IFERROR(__xludf.DUMMYFUNCTION("""COMPUTED_VALUE"""),45197.66666666667)</f>
        <v>45197.66667</v>
      </c>
      <c r="B4156" s="1">
        <f>IFERROR(__xludf.DUMMYFUNCTION("""COMPUTED_VALUE"""),25.64)</f>
        <v>25.64</v>
      </c>
      <c r="C4156" s="1">
        <f>IFERROR(__xludf.DUMMYFUNCTION("""COMPUTED_VALUE"""),27.26)</f>
        <v>27.26</v>
      </c>
      <c r="D4156" s="1">
        <f>IFERROR(__xludf.DUMMYFUNCTION("""COMPUTED_VALUE"""),25.5)</f>
        <v>25.5</v>
      </c>
      <c r="E4156" s="1">
        <f>IFERROR(__xludf.DUMMYFUNCTION("""COMPUTED_VALUE"""),26.94)</f>
        <v>26.94</v>
      </c>
      <c r="F4156" s="1">
        <f>IFERROR(__xludf.DUMMYFUNCTION("""COMPUTED_VALUE"""),2713311.0)</f>
        <v>2713311</v>
      </c>
    </row>
    <row r="4157">
      <c r="A4157" s="2">
        <f>IFERROR(__xludf.DUMMYFUNCTION("""COMPUTED_VALUE"""),45198.66666666667)</f>
        <v>45198.66667</v>
      </c>
      <c r="B4157" s="1">
        <f>IFERROR(__xludf.DUMMYFUNCTION("""COMPUTED_VALUE"""),27.4)</f>
        <v>27.4</v>
      </c>
      <c r="C4157" s="1">
        <f>IFERROR(__xludf.DUMMYFUNCTION("""COMPUTED_VALUE"""),28.36)</f>
        <v>28.36</v>
      </c>
      <c r="D4157" s="1">
        <f>IFERROR(__xludf.DUMMYFUNCTION("""COMPUTED_VALUE"""),27.3)</f>
        <v>27.3</v>
      </c>
      <c r="E4157" s="1">
        <f>IFERROR(__xludf.DUMMYFUNCTION("""COMPUTED_VALUE"""),27.42)</f>
        <v>27.42</v>
      </c>
      <c r="F4157" s="1">
        <f>IFERROR(__xludf.DUMMYFUNCTION("""COMPUTED_VALUE"""),3360986.0)</f>
        <v>3360986</v>
      </c>
    </row>
    <row r="4158">
      <c r="A4158" s="2">
        <f>IFERROR(__xludf.DUMMYFUNCTION("""COMPUTED_VALUE"""),45201.66666666667)</f>
        <v>45201.66667</v>
      </c>
      <c r="B4158" s="1">
        <f>IFERROR(__xludf.DUMMYFUNCTION("""COMPUTED_VALUE"""),27.5)</f>
        <v>27.5</v>
      </c>
      <c r="C4158" s="1">
        <f>IFERROR(__xludf.DUMMYFUNCTION("""COMPUTED_VALUE"""),29.2)</f>
        <v>29.2</v>
      </c>
      <c r="D4158" s="1">
        <f>IFERROR(__xludf.DUMMYFUNCTION("""COMPUTED_VALUE"""),27.46)</f>
        <v>27.46</v>
      </c>
      <c r="E4158" s="1">
        <f>IFERROR(__xludf.DUMMYFUNCTION("""COMPUTED_VALUE"""),28.89)</f>
        <v>28.89</v>
      </c>
      <c r="F4158" s="1">
        <f>IFERROR(__xludf.DUMMYFUNCTION("""COMPUTED_VALUE"""),3486550.0)</f>
        <v>3486550</v>
      </c>
    </row>
    <row r="4159">
      <c r="A4159" s="2">
        <f>IFERROR(__xludf.DUMMYFUNCTION("""COMPUTED_VALUE"""),45202.66666666667)</f>
        <v>45202.66667</v>
      </c>
      <c r="B4159" s="1">
        <f>IFERROR(__xludf.DUMMYFUNCTION("""COMPUTED_VALUE"""),28.66)</f>
        <v>28.66</v>
      </c>
      <c r="C4159" s="1">
        <f>IFERROR(__xludf.DUMMYFUNCTION("""COMPUTED_VALUE"""),28.9)</f>
        <v>28.9</v>
      </c>
      <c r="D4159" s="1">
        <f>IFERROR(__xludf.DUMMYFUNCTION("""COMPUTED_VALUE"""),26.63)</f>
        <v>26.63</v>
      </c>
      <c r="E4159" s="1">
        <f>IFERROR(__xludf.DUMMYFUNCTION("""COMPUTED_VALUE"""),27.0)</f>
        <v>27</v>
      </c>
      <c r="F4159" s="1">
        <f>IFERROR(__xludf.DUMMYFUNCTION("""COMPUTED_VALUE"""),3789774.0)</f>
        <v>3789774</v>
      </c>
    </row>
    <row r="4160">
      <c r="A4160" s="2">
        <f>IFERROR(__xludf.DUMMYFUNCTION("""COMPUTED_VALUE"""),45203.66666666667)</f>
        <v>45203.66667</v>
      </c>
      <c r="B4160" s="1">
        <f>IFERROR(__xludf.DUMMYFUNCTION("""COMPUTED_VALUE"""),27.4)</f>
        <v>27.4</v>
      </c>
      <c r="C4160" s="1">
        <f>IFERROR(__xludf.DUMMYFUNCTION("""COMPUTED_VALUE"""),28.1)</f>
        <v>28.1</v>
      </c>
      <c r="D4160" s="1">
        <f>IFERROR(__xludf.DUMMYFUNCTION("""COMPUTED_VALUE"""),27.06)</f>
        <v>27.06</v>
      </c>
      <c r="E4160" s="1">
        <f>IFERROR(__xludf.DUMMYFUNCTION("""COMPUTED_VALUE"""),28.04)</f>
        <v>28.04</v>
      </c>
      <c r="F4160" s="1">
        <f>IFERROR(__xludf.DUMMYFUNCTION("""COMPUTED_VALUE"""),3093093.0)</f>
        <v>3093093</v>
      </c>
    </row>
    <row r="4161">
      <c r="A4161" s="2">
        <f>IFERROR(__xludf.DUMMYFUNCTION("""COMPUTED_VALUE"""),45204.66666666667)</f>
        <v>45204.66667</v>
      </c>
      <c r="B4161" s="1">
        <f>IFERROR(__xludf.DUMMYFUNCTION("""COMPUTED_VALUE"""),27.97)</f>
        <v>27.97</v>
      </c>
      <c r="C4161" s="1">
        <f>IFERROR(__xludf.DUMMYFUNCTION("""COMPUTED_VALUE"""),28.81)</f>
        <v>28.81</v>
      </c>
      <c r="D4161" s="1">
        <f>IFERROR(__xludf.DUMMYFUNCTION("""COMPUTED_VALUE"""),27.65)</f>
        <v>27.65</v>
      </c>
      <c r="E4161" s="1">
        <f>IFERROR(__xludf.DUMMYFUNCTION("""COMPUTED_VALUE"""),28.76)</f>
        <v>28.76</v>
      </c>
      <c r="F4161" s="1">
        <f>IFERROR(__xludf.DUMMYFUNCTION("""COMPUTED_VALUE"""),2857329.0)</f>
        <v>2857329</v>
      </c>
    </row>
    <row r="4162">
      <c r="A4162" s="2">
        <f>IFERROR(__xludf.DUMMYFUNCTION("""COMPUTED_VALUE"""),45205.66666666667)</f>
        <v>45205.66667</v>
      </c>
      <c r="B4162" s="1">
        <f>IFERROR(__xludf.DUMMYFUNCTION("""COMPUTED_VALUE"""),28.44)</f>
        <v>28.44</v>
      </c>
      <c r="C4162" s="1">
        <f>IFERROR(__xludf.DUMMYFUNCTION("""COMPUTED_VALUE"""),29.44)</f>
        <v>29.44</v>
      </c>
      <c r="D4162" s="1">
        <f>IFERROR(__xludf.DUMMYFUNCTION("""COMPUTED_VALUE"""),28.06)</f>
        <v>28.06</v>
      </c>
      <c r="E4162" s="1">
        <f>IFERROR(__xludf.DUMMYFUNCTION("""COMPUTED_VALUE"""),28.97)</f>
        <v>28.97</v>
      </c>
      <c r="F4162" s="1">
        <f>IFERROR(__xludf.DUMMYFUNCTION("""COMPUTED_VALUE"""),2827920.0)</f>
        <v>2827920</v>
      </c>
    </row>
    <row r="4163">
      <c r="A4163" s="2">
        <f>IFERROR(__xludf.DUMMYFUNCTION("""COMPUTED_VALUE"""),45208.66666666667)</f>
        <v>45208.66667</v>
      </c>
      <c r="B4163" s="1">
        <f>IFERROR(__xludf.DUMMYFUNCTION("""COMPUTED_VALUE"""),28.4)</f>
        <v>28.4</v>
      </c>
      <c r="C4163" s="1">
        <f>IFERROR(__xludf.DUMMYFUNCTION("""COMPUTED_VALUE"""),29.2)</f>
        <v>29.2</v>
      </c>
      <c r="D4163" s="1">
        <f>IFERROR(__xludf.DUMMYFUNCTION("""COMPUTED_VALUE"""),27.66)</f>
        <v>27.66</v>
      </c>
      <c r="E4163" s="1">
        <f>IFERROR(__xludf.DUMMYFUNCTION("""COMPUTED_VALUE"""),29.0)</f>
        <v>29</v>
      </c>
      <c r="F4163" s="1">
        <f>IFERROR(__xludf.DUMMYFUNCTION("""COMPUTED_VALUE"""),2430090.0)</f>
        <v>2430090</v>
      </c>
    </row>
    <row r="4164">
      <c r="A4164" s="2">
        <f>IFERROR(__xludf.DUMMYFUNCTION("""COMPUTED_VALUE"""),45209.66666666667)</f>
        <v>45209.66667</v>
      </c>
      <c r="B4164" s="1">
        <f>IFERROR(__xludf.DUMMYFUNCTION("""COMPUTED_VALUE"""),29.5)</f>
        <v>29.5</v>
      </c>
      <c r="C4164" s="1">
        <f>IFERROR(__xludf.DUMMYFUNCTION("""COMPUTED_VALUE"""),31.75)</f>
        <v>31.75</v>
      </c>
      <c r="D4164" s="1">
        <f>IFERROR(__xludf.DUMMYFUNCTION("""COMPUTED_VALUE"""),29.5)</f>
        <v>29.5</v>
      </c>
      <c r="E4164" s="1">
        <f>IFERROR(__xludf.DUMMYFUNCTION("""COMPUTED_VALUE"""),31.03)</f>
        <v>31.03</v>
      </c>
      <c r="F4164" s="1">
        <f>IFERROR(__xludf.DUMMYFUNCTION("""COMPUTED_VALUE"""),5138452.0)</f>
        <v>5138452</v>
      </c>
    </row>
    <row r="4165">
      <c r="A4165" s="2">
        <f>IFERROR(__xludf.DUMMYFUNCTION("""COMPUTED_VALUE"""),45210.66666666667)</f>
        <v>45210.66667</v>
      </c>
      <c r="B4165" s="1">
        <f>IFERROR(__xludf.DUMMYFUNCTION("""COMPUTED_VALUE"""),31.11)</f>
        <v>31.11</v>
      </c>
      <c r="C4165" s="1">
        <f>IFERROR(__xludf.DUMMYFUNCTION("""COMPUTED_VALUE"""),31.6)</f>
        <v>31.6</v>
      </c>
      <c r="D4165" s="1">
        <f>IFERROR(__xludf.DUMMYFUNCTION("""COMPUTED_VALUE"""),30.26)</f>
        <v>30.26</v>
      </c>
      <c r="E4165" s="1">
        <f>IFERROR(__xludf.DUMMYFUNCTION("""COMPUTED_VALUE"""),30.89)</f>
        <v>30.89</v>
      </c>
      <c r="F4165" s="1">
        <f>IFERROR(__xludf.DUMMYFUNCTION("""COMPUTED_VALUE"""),3699770.0)</f>
        <v>3699770</v>
      </c>
    </row>
    <row r="4166">
      <c r="A4166" s="2">
        <f>IFERROR(__xludf.DUMMYFUNCTION("""COMPUTED_VALUE"""),45211.66666666667)</f>
        <v>45211.66667</v>
      </c>
      <c r="B4166" s="1">
        <f>IFERROR(__xludf.DUMMYFUNCTION("""COMPUTED_VALUE"""),31.25)</f>
        <v>31.25</v>
      </c>
      <c r="C4166" s="1">
        <f>IFERROR(__xludf.DUMMYFUNCTION("""COMPUTED_VALUE"""),31.56)</f>
        <v>31.56</v>
      </c>
      <c r="D4166" s="1">
        <f>IFERROR(__xludf.DUMMYFUNCTION("""COMPUTED_VALUE"""),29.23)</f>
        <v>29.23</v>
      </c>
      <c r="E4166" s="1">
        <f>IFERROR(__xludf.DUMMYFUNCTION("""COMPUTED_VALUE"""),29.32)</f>
        <v>29.32</v>
      </c>
      <c r="F4166" s="1">
        <f>IFERROR(__xludf.DUMMYFUNCTION("""COMPUTED_VALUE"""),4055455.0)</f>
        <v>4055455</v>
      </c>
    </row>
    <row r="4167">
      <c r="A4167" s="2">
        <f>IFERROR(__xludf.DUMMYFUNCTION("""COMPUTED_VALUE"""),45212.66666666667)</f>
        <v>45212.66667</v>
      </c>
      <c r="B4167" s="1">
        <f>IFERROR(__xludf.DUMMYFUNCTION("""COMPUTED_VALUE"""),29.3)</f>
        <v>29.3</v>
      </c>
      <c r="C4167" s="1">
        <f>IFERROR(__xludf.DUMMYFUNCTION("""COMPUTED_VALUE"""),29.7)</f>
        <v>29.7</v>
      </c>
      <c r="D4167" s="1">
        <f>IFERROR(__xludf.DUMMYFUNCTION("""COMPUTED_VALUE"""),27.76)</f>
        <v>27.76</v>
      </c>
      <c r="E4167" s="1">
        <f>IFERROR(__xludf.DUMMYFUNCTION("""COMPUTED_VALUE"""),28.52)</f>
        <v>28.52</v>
      </c>
      <c r="F4167" s="1">
        <f>IFERROR(__xludf.DUMMYFUNCTION("""COMPUTED_VALUE"""),3798862.0)</f>
        <v>3798862</v>
      </c>
    </row>
    <row r="4168">
      <c r="A4168" s="2">
        <f>IFERROR(__xludf.DUMMYFUNCTION("""COMPUTED_VALUE"""),45215.66666666667)</f>
        <v>45215.66667</v>
      </c>
      <c r="B4168" s="1">
        <f>IFERROR(__xludf.DUMMYFUNCTION("""COMPUTED_VALUE"""),28.48)</f>
        <v>28.48</v>
      </c>
      <c r="C4168" s="1">
        <f>IFERROR(__xludf.DUMMYFUNCTION("""COMPUTED_VALUE"""),29.43)</f>
        <v>29.43</v>
      </c>
      <c r="D4168" s="1">
        <f>IFERROR(__xludf.DUMMYFUNCTION("""COMPUTED_VALUE"""),27.79)</f>
        <v>27.79</v>
      </c>
      <c r="E4168" s="1">
        <f>IFERROR(__xludf.DUMMYFUNCTION("""COMPUTED_VALUE"""),29.17)</f>
        <v>29.17</v>
      </c>
      <c r="F4168" s="1">
        <f>IFERROR(__xludf.DUMMYFUNCTION("""COMPUTED_VALUE"""),2417622.0)</f>
        <v>2417622</v>
      </c>
    </row>
    <row r="4169">
      <c r="A4169" s="2">
        <f>IFERROR(__xludf.DUMMYFUNCTION("""COMPUTED_VALUE"""),45216.66666666667)</f>
        <v>45216.66667</v>
      </c>
      <c r="B4169" s="1">
        <f>IFERROR(__xludf.DUMMYFUNCTION("""COMPUTED_VALUE"""),28.1)</f>
        <v>28.1</v>
      </c>
      <c r="C4169" s="1">
        <f>IFERROR(__xludf.DUMMYFUNCTION("""COMPUTED_VALUE"""),30.06)</f>
        <v>30.06</v>
      </c>
      <c r="D4169" s="1">
        <f>IFERROR(__xludf.DUMMYFUNCTION("""COMPUTED_VALUE"""),27.43)</f>
        <v>27.43</v>
      </c>
      <c r="E4169" s="1">
        <f>IFERROR(__xludf.DUMMYFUNCTION("""COMPUTED_VALUE"""),29.85)</f>
        <v>29.85</v>
      </c>
      <c r="F4169" s="1">
        <f>IFERROR(__xludf.DUMMYFUNCTION("""COMPUTED_VALUE"""),4287931.0)</f>
        <v>4287931</v>
      </c>
    </row>
    <row r="4170">
      <c r="A4170" s="2">
        <f>IFERROR(__xludf.DUMMYFUNCTION("""COMPUTED_VALUE"""),45217.66666666667)</f>
        <v>45217.66667</v>
      </c>
      <c r="B4170" s="1">
        <f>IFERROR(__xludf.DUMMYFUNCTION("""COMPUTED_VALUE"""),29.27)</f>
        <v>29.27</v>
      </c>
      <c r="C4170" s="1">
        <f>IFERROR(__xludf.DUMMYFUNCTION("""COMPUTED_VALUE"""),29.83)</f>
        <v>29.83</v>
      </c>
      <c r="D4170" s="1">
        <f>IFERROR(__xludf.DUMMYFUNCTION("""COMPUTED_VALUE"""),28.15)</f>
        <v>28.15</v>
      </c>
      <c r="E4170" s="1">
        <f>IFERROR(__xludf.DUMMYFUNCTION("""COMPUTED_VALUE"""),28.5)</f>
        <v>28.5</v>
      </c>
      <c r="F4170" s="1">
        <f>IFERROR(__xludf.DUMMYFUNCTION("""COMPUTED_VALUE"""),3213244.0)</f>
        <v>3213244</v>
      </c>
    </row>
    <row r="4171">
      <c r="A4171" s="2">
        <f>IFERROR(__xludf.DUMMYFUNCTION("""COMPUTED_VALUE"""),45218.66666666667)</f>
        <v>45218.66667</v>
      </c>
      <c r="B4171" s="1">
        <f>IFERROR(__xludf.DUMMYFUNCTION("""COMPUTED_VALUE"""),28.75)</f>
        <v>28.75</v>
      </c>
      <c r="C4171" s="1">
        <f>IFERROR(__xludf.DUMMYFUNCTION("""COMPUTED_VALUE"""),28.95)</f>
        <v>28.95</v>
      </c>
      <c r="D4171" s="1">
        <f>IFERROR(__xludf.DUMMYFUNCTION("""COMPUTED_VALUE"""),26.38)</f>
        <v>26.38</v>
      </c>
      <c r="E4171" s="1">
        <f>IFERROR(__xludf.DUMMYFUNCTION("""COMPUTED_VALUE"""),26.51)</f>
        <v>26.51</v>
      </c>
      <c r="F4171" s="1">
        <f>IFERROR(__xludf.DUMMYFUNCTION("""COMPUTED_VALUE"""),4021640.0)</f>
        <v>4021640</v>
      </c>
    </row>
    <row r="4172">
      <c r="A4172" s="2">
        <f>IFERROR(__xludf.DUMMYFUNCTION("""COMPUTED_VALUE"""),45219.66666666667)</f>
        <v>45219.66667</v>
      </c>
      <c r="B4172" s="1">
        <f>IFERROR(__xludf.DUMMYFUNCTION("""COMPUTED_VALUE"""),26.47)</f>
        <v>26.47</v>
      </c>
      <c r="C4172" s="1">
        <f>IFERROR(__xludf.DUMMYFUNCTION("""COMPUTED_VALUE"""),26.66)</f>
        <v>26.66</v>
      </c>
      <c r="D4172" s="1">
        <f>IFERROR(__xludf.DUMMYFUNCTION("""COMPUTED_VALUE"""),24.8)</f>
        <v>24.8</v>
      </c>
      <c r="E4172" s="1">
        <f>IFERROR(__xludf.DUMMYFUNCTION("""COMPUTED_VALUE"""),24.86)</f>
        <v>24.86</v>
      </c>
      <c r="F4172" s="1">
        <f>IFERROR(__xludf.DUMMYFUNCTION("""COMPUTED_VALUE"""),3614164.0)</f>
        <v>3614164</v>
      </c>
    </row>
    <row r="4173">
      <c r="A4173" s="2">
        <f>IFERROR(__xludf.DUMMYFUNCTION("""COMPUTED_VALUE"""),45222.66666666667)</f>
        <v>45222.66667</v>
      </c>
      <c r="B4173" s="1">
        <f>IFERROR(__xludf.DUMMYFUNCTION("""COMPUTED_VALUE"""),24.62)</f>
        <v>24.62</v>
      </c>
      <c r="C4173" s="1">
        <f>IFERROR(__xludf.DUMMYFUNCTION("""COMPUTED_VALUE"""),25.8)</f>
        <v>25.8</v>
      </c>
      <c r="D4173" s="1">
        <f>IFERROR(__xludf.DUMMYFUNCTION("""COMPUTED_VALUE"""),23.87)</f>
        <v>23.87</v>
      </c>
      <c r="E4173" s="1">
        <f>IFERROR(__xludf.DUMMYFUNCTION("""COMPUTED_VALUE"""),25.49)</f>
        <v>25.49</v>
      </c>
      <c r="F4173" s="1">
        <f>IFERROR(__xludf.DUMMYFUNCTION("""COMPUTED_VALUE"""),2947118.0)</f>
        <v>2947118</v>
      </c>
    </row>
    <row r="4174">
      <c r="A4174" s="2">
        <f>IFERROR(__xludf.DUMMYFUNCTION("""COMPUTED_VALUE"""),45223.66666666667)</f>
        <v>45223.66667</v>
      </c>
      <c r="B4174" s="1">
        <f>IFERROR(__xludf.DUMMYFUNCTION("""COMPUTED_VALUE"""),25.99)</f>
        <v>25.99</v>
      </c>
      <c r="C4174" s="1">
        <f>IFERROR(__xludf.DUMMYFUNCTION("""COMPUTED_VALUE"""),26.53)</f>
        <v>26.53</v>
      </c>
      <c r="D4174" s="1">
        <f>IFERROR(__xludf.DUMMYFUNCTION("""COMPUTED_VALUE"""),25.32)</f>
        <v>25.32</v>
      </c>
      <c r="E4174" s="1">
        <f>IFERROR(__xludf.DUMMYFUNCTION("""COMPUTED_VALUE"""),26.26)</f>
        <v>26.26</v>
      </c>
      <c r="F4174" s="1">
        <f>IFERROR(__xludf.DUMMYFUNCTION("""COMPUTED_VALUE"""),2514940.0)</f>
        <v>2514940</v>
      </c>
    </row>
    <row r="4175">
      <c r="A4175" s="2">
        <f>IFERROR(__xludf.DUMMYFUNCTION("""COMPUTED_VALUE"""),45224.66666666667)</f>
        <v>45224.66667</v>
      </c>
      <c r="B4175" s="1">
        <f>IFERROR(__xludf.DUMMYFUNCTION("""COMPUTED_VALUE"""),26.13)</f>
        <v>26.13</v>
      </c>
      <c r="C4175" s="1">
        <f>IFERROR(__xludf.DUMMYFUNCTION("""COMPUTED_VALUE"""),26.67)</f>
        <v>26.67</v>
      </c>
      <c r="D4175" s="1">
        <f>IFERROR(__xludf.DUMMYFUNCTION("""COMPUTED_VALUE"""),25.28)</f>
        <v>25.28</v>
      </c>
      <c r="E4175" s="1">
        <f>IFERROR(__xludf.DUMMYFUNCTION("""COMPUTED_VALUE"""),25.4)</f>
        <v>25.4</v>
      </c>
      <c r="F4175" s="1">
        <f>IFERROR(__xludf.DUMMYFUNCTION("""COMPUTED_VALUE"""),2238210.0)</f>
        <v>2238210</v>
      </c>
    </row>
    <row r="4176">
      <c r="A4176" s="2">
        <f>IFERROR(__xludf.DUMMYFUNCTION("""COMPUTED_VALUE"""),45225.66666666667)</f>
        <v>45225.66667</v>
      </c>
      <c r="B4176" s="1">
        <f>IFERROR(__xludf.DUMMYFUNCTION("""COMPUTED_VALUE"""),25.24)</f>
        <v>25.24</v>
      </c>
      <c r="C4176" s="1">
        <f>IFERROR(__xludf.DUMMYFUNCTION("""COMPUTED_VALUE"""),25.33)</f>
        <v>25.33</v>
      </c>
      <c r="D4176" s="1">
        <f>IFERROR(__xludf.DUMMYFUNCTION("""COMPUTED_VALUE"""),23.47)</f>
        <v>23.47</v>
      </c>
      <c r="E4176" s="1">
        <f>IFERROR(__xludf.DUMMYFUNCTION("""COMPUTED_VALUE"""),23.95)</f>
        <v>23.95</v>
      </c>
      <c r="F4176" s="1">
        <f>IFERROR(__xludf.DUMMYFUNCTION("""COMPUTED_VALUE"""),3103877.0)</f>
        <v>3103877</v>
      </c>
    </row>
    <row r="4177">
      <c r="A4177" s="2">
        <f>IFERROR(__xludf.DUMMYFUNCTION("""COMPUTED_VALUE"""),45226.66666666667)</f>
        <v>45226.66667</v>
      </c>
      <c r="B4177" s="1">
        <f>IFERROR(__xludf.DUMMYFUNCTION("""COMPUTED_VALUE"""),24.8)</f>
        <v>24.8</v>
      </c>
      <c r="C4177" s="1">
        <f>IFERROR(__xludf.DUMMYFUNCTION("""COMPUTED_VALUE"""),24.9)</f>
        <v>24.9</v>
      </c>
      <c r="D4177" s="1">
        <f>IFERROR(__xludf.DUMMYFUNCTION("""COMPUTED_VALUE"""),23.96)</f>
        <v>23.96</v>
      </c>
      <c r="E4177" s="1">
        <f>IFERROR(__xludf.DUMMYFUNCTION("""COMPUTED_VALUE"""),24.14)</f>
        <v>24.14</v>
      </c>
      <c r="F4177" s="1">
        <f>IFERROR(__xludf.DUMMYFUNCTION("""COMPUTED_VALUE"""),1811698.0)</f>
        <v>1811698</v>
      </c>
    </row>
    <row r="4178">
      <c r="A4178" s="2">
        <f>IFERROR(__xludf.DUMMYFUNCTION("""COMPUTED_VALUE"""),45229.66666666667)</f>
        <v>45229.66667</v>
      </c>
      <c r="B4178" s="1">
        <f>IFERROR(__xludf.DUMMYFUNCTION("""COMPUTED_VALUE"""),24.59)</f>
        <v>24.59</v>
      </c>
      <c r="C4178" s="1">
        <f>IFERROR(__xludf.DUMMYFUNCTION("""COMPUTED_VALUE"""),24.83)</f>
        <v>24.83</v>
      </c>
      <c r="D4178" s="1">
        <f>IFERROR(__xludf.DUMMYFUNCTION("""COMPUTED_VALUE"""),23.29)</f>
        <v>23.29</v>
      </c>
      <c r="E4178" s="1">
        <f>IFERROR(__xludf.DUMMYFUNCTION("""COMPUTED_VALUE"""),23.66)</f>
        <v>23.66</v>
      </c>
      <c r="F4178" s="1">
        <f>IFERROR(__xludf.DUMMYFUNCTION("""COMPUTED_VALUE"""),2631287.0)</f>
        <v>2631287</v>
      </c>
    </row>
    <row r="4179">
      <c r="A4179" s="2">
        <f>IFERROR(__xludf.DUMMYFUNCTION("""COMPUTED_VALUE"""),45230.66666666667)</f>
        <v>45230.66667</v>
      </c>
      <c r="B4179" s="1">
        <f>IFERROR(__xludf.DUMMYFUNCTION("""COMPUTED_VALUE"""),23.64)</f>
        <v>23.64</v>
      </c>
      <c r="C4179" s="1">
        <f>IFERROR(__xludf.DUMMYFUNCTION("""COMPUTED_VALUE"""),24.24)</f>
        <v>24.24</v>
      </c>
      <c r="D4179" s="1">
        <f>IFERROR(__xludf.DUMMYFUNCTION("""COMPUTED_VALUE"""),22.66)</f>
        <v>22.66</v>
      </c>
      <c r="E4179" s="1">
        <f>IFERROR(__xludf.DUMMYFUNCTION("""COMPUTED_VALUE"""),23.95)</f>
        <v>23.95</v>
      </c>
      <c r="F4179" s="1">
        <f>IFERROR(__xludf.DUMMYFUNCTION("""COMPUTED_VALUE"""),1931307.0)</f>
        <v>1931307</v>
      </c>
    </row>
    <row r="4180">
      <c r="A4180" s="2">
        <f>IFERROR(__xludf.DUMMYFUNCTION("""COMPUTED_VALUE"""),45231.66666666667)</f>
        <v>45231.66667</v>
      </c>
      <c r="B4180" s="1">
        <f>IFERROR(__xludf.DUMMYFUNCTION("""COMPUTED_VALUE"""),24.13)</f>
        <v>24.13</v>
      </c>
      <c r="C4180" s="1">
        <f>IFERROR(__xludf.DUMMYFUNCTION("""COMPUTED_VALUE"""),25.4)</f>
        <v>25.4</v>
      </c>
      <c r="D4180" s="1">
        <f>IFERROR(__xludf.DUMMYFUNCTION("""COMPUTED_VALUE"""),24.12)</f>
        <v>24.12</v>
      </c>
      <c r="E4180" s="1">
        <f>IFERROR(__xludf.DUMMYFUNCTION("""COMPUTED_VALUE"""),25.23)</f>
        <v>25.23</v>
      </c>
      <c r="F4180" s="1">
        <f>IFERROR(__xludf.DUMMYFUNCTION("""COMPUTED_VALUE"""),3814989.0)</f>
        <v>3814989</v>
      </c>
    </row>
    <row r="4181">
      <c r="A4181" s="2">
        <f>IFERROR(__xludf.DUMMYFUNCTION("""COMPUTED_VALUE"""),45232.66666666667)</f>
        <v>45232.66667</v>
      </c>
      <c r="B4181" s="1">
        <f>IFERROR(__xludf.DUMMYFUNCTION("""COMPUTED_VALUE"""),26.08)</f>
        <v>26.08</v>
      </c>
      <c r="C4181" s="1">
        <f>IFERROR(__xludf.DUMMYFUNCTION("""COMPUTED_VALUE"""),26.35)</f>
        <v>26.35</v>
      </c>
      <c r="D4181" s="1">
        <f>IFERROR(__xludf.DUMMYFUNCTION("""COMPUTED_VALUE"""),22.74)</f>
        <v>22.74</v>
      </c>
      <c r="E4181" s="1">
        <f>IFERROR(__xludf.DUMMYFUNCTION("""COMPUTED_VALUE"""),24.59)</f>
        <v>24.59</v>
      </c>
      <c r="F4181" s="1">
        <f>IFERROR(__xludf.DUMMYFUNCTION("""COMPUTED_VALUE"""),7467018.0)</f>
        <v>7467018</v>
      </c>
    </row>
    <row r="4182">
      <c r="A4182" s="2">
        <f>IFERROR(__xludf.DUMMYFUNCTION("""COMPUTED_VALUE"""),45233.66666666667)</f>
        <v>45233.66667</v>
      </c>
      <c r="B4182" s="1">
        <f>IFERROR(__xludf.DUMMYFUNCTION("""COMPUTED_VALUE"""),24.94)</f>
        <v>24.94</v>
      </c>
      <c r="C4182" s="1">
        <f>IFERROR(__xludf.DUMMYFUNCTION("""COMPUTED_VALUE"""),26.86)</f>
        <v>26.86</v>
      </c>
      <c r="D4182" s="1">
        <f>IFERROR(__xludf.DUMMYFUNCTION("""COMPUTED_VALUE"""),24.83)</f>
        <v>24.83</v>
      </c>
      <c r="E4182" s="1">
        <f>IFERROR(__xludf.DUMMYFUNCTION("""COMPUTED_VALUE"""),25.5)</f>
        <v>25.5</v>
      </c>
      <c r="F4182" s="1">
        <f>IFERROR(__xludf.DUMMYFUNCTION("""COMPUTED_VALUE"""),5000080.0)</f>
        <v>5000080</v>
      </c>
    </row>
    <row r="4183">
      <c r="A4183" s="2">
        <f>IFERROR(__xludf.DUMMYFUNCTION("""COMPUTED_VALUE"""),45236.66666666667)</f>
        <v>45236.66667</v>
      </c>
      <c r="B4183" s="1">
        <f>IFERROR(__xludf.DUMMYFUNCTION("""COMPUTED_VALUE"""),25.77)</f>
        <v>25.77</v>
      </c>
      <c r="C4183" s="1">
        <f>IFERROR(__xludf.DUMMYFUNCTION("""COMPUTED_VALUE"""),26.0)</f>
        <v>26</v>
      </c>
      <c r="D4183" s="1">
        <f>IFERROR(__xludf.DUMMYFUNCTION("""COMPUTED_VALUE"""),24.92)</f>
        <v>24.92</v>
      </c>
      <c r="E4183" s="1">
        <f>IFERROR(__xludf.DUMMYFUNCTION("""COMPUTED_VALUE"""),25.26)</f>
        <v>25.26</v>
      </c>
      <c r="F4183" s="1">
        <f>IFERROR(__xludf.DUMMYFUNCTION("""COMPUTED_VALUE"""),2523164.0)</f>
        <v>2523164</v>
      </c>
    </row>
    <row r="4184">
      <c r="A4184" s="2">
        <f>IFERROR(__xludf.DUMMYFUNCTION("""COMPUTED_VALUE"""),45237.66666666667)</f>
        <v>45237.66667</v>
      </c>
      <c r="B4184" s="1">
        <f>IFERROR(__xludf.DUMMYFUNCTION("""COMPUTED_VALUE"""),25.3)</f>
        <v>25.3</v>
      </c>
      <c r="C4184" s="1">
        <f>IFERROR(__xludf.DUMMYFUNCTION("""COMPUTED_VALUE"""),26.1)</f>
        <v>26.1</v>
      </c>
      <c r="D4184" s="1">
        <f>IFERROR(__xludf.DUMMYFUNCTION("""COMPUTED_VALUE"""),25.02)</f>
        <v>25.02</v>
      </c>
      <c r="E4184" s="1">
        <f>IFERROR(__xludf.DUMMYFUNCTION("""COMPUTED_VALUE"""),25.44)</f>
        <v>25.44</v>
      </c>
      <c r="F4184" s="1">
        <f>IFERROR(__xludf.DUMMYFUNCTION("""COMPUTED_VALUE"""),1930462.0)</f>
        <v>1930462</v>
      </c>
    </row>
    <row r="4185">
      <c r="A4185" s="2">
        <f>IFERROR(__xludf.DUMMYFUNCTION("""COMPUTED_VALUE"""),45238.66666666667)</f>
        <v>45238.66667</v>
      </c>
      <c r="B4185" s="1">
        <f>IFERROR(__xludf.DUMMYFUNCTION("""COMPUTED_VALUE"""),25.54)</f>
        <v>25.54</v>
      </c>
      <c r="C4185" s="1">
        <f>IFERROR(__xludf.DUMMYFUNCTION("""COMPUTED_VALUE"""),26.4)</f>
        <v>26.4</v>
      </c>
      <c r="D4185" s="1">
        <f>IFERROR(__xludf.DUMMYFUNCTION("""COMPUTED_VALUE"""),25.22)</f>
        <v>25.22</v>
      </c>
      <c r="E4185" s="1">
        <f>IFERROR(__xludf.DUMMYFUNCTION("""COMPUTED_VALUE"""),26.03)</f>
        <v>26.03</v>
      </c>
      <c r="F4185" s="1">
        <f>IFERROR(__xludf.DUMMYFUNCTION("""COMPUTED_VALUE"""),2128678.0)</f>
        <v>2128678</v>
      </c>
    </row>
    <row r="4186">
      <c r="A4186" s="2">
        <f>IFERROR(__xludf.DUMMYFUNCTION("""COMPUTED_VALUE"""),45239.66666666667)</f>
        <v>45239.66667</v>
      </c>
      <c r="B4186" s="1">
        <f>IFERROR(__xludf.DUMMYFUNCTION("""COMPUTED_VALUE"""),26.62)</f>
        <v>26.62</v>
      </c>
      <c r="C4186" s="1">
        <f>IFERROR(__xludf.DUMMYFUNCTION("""COMPUTED_VALUE"""),28.02)</f>
        <v>28.02</v>
      </c>
      <c r="D4186" s="1">
        <f>IFERROR(__xludf.DUMMYFUNCTION("""COMPUTED_VALUE"""),26.1)</f>
        <v>26.1</v>
      </c>
      <c r="E4186" s="1">
        <f>IFERROR(__xludf.DUMMYFUNCTION("""COMPUTED_VALUE"""),26.49)</f>
        <v>26.49</v>
      </c>
      <c r="F4186" s="1">
        <f>IFERROR(__xludf.DUMMYFUNCTION("""COMPUTED_VALUE"""),4015648.0)</f>
        <v>4015648</v>
      </c>
    </row>
    <row r="4187">
      <c r="A4187" s="2">
        <f>IFERROR(__xludf.DUMMYFUNCTION("""COMPUTED_VALUE"""),45240.66666666667)</f>
        <v>45240.66667</v>
      </c>
      <c r="B4187" s="1">
        <f>IFERROR(__xludf.DUMMYFUNCTION("""COMPUTED_VALUE"""),26.76)</f>
        <v>26.76</v>
      </c>
      <c r="C4187" s="1">
        <f>IFERROR(__xludf.DUMMYFUNCTION("""COMPUTED_VALUE"""),27.24)</f>
        <v>27.24</v>
      </c>
      <c r="D4187" s="1">
        <f>IFERROR(__xludf.DUMMYFUNCTION("""COMPUTED_VALUE"""),26.35)</f>
        <v>26.35</v>
      </c>
      <c r="E4187" s="1">
        <f>IFERROR(__xludf.DUMMYFUNCTION("""COMPUTED_VALUE"""),26.6)</f>
        <v>26.6</v>
      </c>
      <c r="F4187" s="1">
        <f>IFERROR(__xludf.DUMMYFUNCTION("""COMPUTED_VALUE"""),2536800.0)</f>
        <v>2536800</v>
      </c>
    </row>
    <row r="4188">
      <c r="A4188" s="2">
        <f>IFERROR(__xludf.DUMMYFUNCTION("""COMPUTED_VALUE"""),45243.66666666667)</f>
        <v>45243.66667</v>
      </c>
      <c r="B4188" s="1">
        <f>IFERROR(__xludf.DUMMYFUNCTION("""COMPUTED_VALUE"""),26.48)</f>
        <v>26.48</v>
      </c>
      <c r="C4188" s="1">
        <f>IFERROR(__xludf.DUMMYFUNCTION("""COMPUTED_VALUE"""),26.51)</f>
        <v>26.51</v>
      </c>
      <c r="D4188" s="1">
        <f>IFERROR(__xludf.DUMMYFUNCTION("""COMPUTED_VALUE"""),25.31)</f>
        <v>25.31</v>
      </c>
      <c r="E4188" s="1">
        <f>IFERROR(__xludf.DUMMYFUNCTION("""COMPUTED_VALUE"""),25.58)</f>
        <v>25.58</v>
      </c>
      <c r="F4188" s="1">
        <f>IFERROR(__xludf.DUMMYFUNCTION("""COMPUTED_VALUE"""),2989163.0)</f>
        <v>2989163</v>
      </c>
    </row>
    <row r="4189">
      <c r="A4189" s="2">
        <f>IFERROR(__xludf.DUMMYFUNCTION("""COMPUTED_VALUE"""),45244.66666666667)</f>
        <v>45244.66667</v>
      </c>
      <c r="B4189" s="1">
        <f>IFERROR(__xludf.DUMMYFUNCTION("""COMPUTED_VALUE"""),26.6)</f>
        <v>26.6</v>
      </c>
      <c r="C4189" s="1">
        <f>IFERROR(__xludf.DUMMYFUNCTION("""COMPUTED_VALUE"""),29.47)</f>
        <v>29.47</v>
      </c>
      <c r="D4189" s="1">
        <f>IFERROR(__xludf.DUMMYFUNCTION("""COMPUTED_VALUE"""),26.45)</f>
        <v>26.45</v>
      </c>
      <c r="E4189" s="1">
        <f>IFERROR(__xludf.DUMMYFUNCTION("""COMPUTED_VALUE"""),29.39)</f>
        <v>29.39</v>
      </c>
      <c r="F4189" s="1">
        <f>IFERROR(__xludf.DUMMYFUNCTION("""COMPUTED_VALUE"""),6250371.0)</f>
        <v>6250371</v>
      </c>
    </row>
    <row r="4190">
      <c r="A4190" s="2">
        <f>IFERROR(__xludf.DUMMYFUNCTION("""COMPUTED_VALUE"""),45245.66666666667)</f>
        <v>45245.66667</v>
      </c>
      <c r="B4190" s="1">
        <f>IFERROR(__xludf.DUMMYFUNCTION("""COMPUTED_VALUE"""),29.5)</f>
        <v>29.5</v>
      </c>
      <c r="C4190" s="1">
        <f>IFERROR(__xludf.DUMMYFUNCTION("""COMPUTED_VALUE"""),29.75)</f>
        <v>29.75</v>
      </c>
      <c r="D4190" s="1">
        <f>IFERROR(__xludf.DUMMYFUNCTION("""COMPUTED_VALUE"""),28.31)</f>
        <v>28.31</v>
      </c>
      <c r="E4190" s="1">
        <f>IFERROR(__xludf.DUMMYFUNCTION("""COMPUTED_VALUE"""),28.78)</f>
        <v>28.78</v>
      </c>
      <c r="F4190" s="1">
        <f>IFERROR(__xludf.DUMMYFUNCTION("""COMPUTED_VALUE"""),3605455.0)</f>
        <v>3605455</v>
      </c>
    </row>
    <row r="4191">
      <c r="A4191" s="2">
        <f>IFERROR(__xludf.DUMMYFUNCTION("""COMPUTED_VALUE"""),45246.66666666667)</f>
        <v>45246.66667</v>
      </c>
      <c r="B4191" s="1">
        <f>IFERROR(__xludf.DUMMYFUNCTION("""COMPUTED_VALUE"""),28.3)</f>
        <v>28.3</v>
      </c>
      <c r="C4191" s="1">
        <f>IFERROR(__xludf.DUMMYFUNCTION("""COMPUTED_VALUE"""),28.93)</f>
        <v>28.93</v>
      </c>
      <c r="D4191" s="1">
        <f>IFERROR(__xludf.DUMMYFUNCTION("""COMPUTED_VALUE"""),27.8)</f>
        <v>27.8</v>
      </c>
      <c r="E4191" s="1">
        <f>IFERROR(__xludf.DUMMYFUNCTION("""COMPUTED_VALUE"""),28.37)</f>
        <v>28.37</v>
      </c>
      <c r="F4191" s="1">
        <f>IFERROR(__xludf.DUMMYFUNCTION("""COMPUTED_VALUE"""),1833361.0)</f>
        <v>1833361</v>
      </c>
    </row>
    <row r="4192">
      <c r="A4192" s="2">
        <f>IFERROR(__xludf.DUMMYFUNCTION("""COMPUTED_VALUE"""),45247.66666666667)</f>
        <v>45247.66667</v>
      </c>
      <c r="B4192" s="1">
        <f>IFERROR(__xludf.DUMMYFUNCTION("""COMPUTED_VALUE"""),28.5)</f>
        <v>28.5</v>
      </c>
      <c r="C4192" s="1">
        <f>IFERROR(__xludf.DUMMYFUNCTION("""COMPUTED_VALUE"""),29.54)</f>
        <v>29.54</v>
      </c>
      <c r="D4192" s="1">
        <f>IFERROR(__xludf.DUMMYFUNCTION("""COMPUTED_VALUE"""),28.37)</f>
        <v>28.37</v>
      </c>
      <c r="E4192" s="1">
        <f>IFERROR(__xludf.DUMMYFUNCTION("""COMPUTED_VALUE"""),28.86)</f>
        <v>28.86</v>
      </c>
      <c r="F4192" s="1">
        <f>IFERROR(__xludf.DUMMYFUNCTION("""COMPUTED_VALUE"""),2337289.0)</f>
        <v>2337289</v>
      </c>
    </row>
    <row r="4193">
      <c r="A4193" s="2">
        <f>IFERROR(__xludf.DUMMYFUNCTION("""COMPUTED_VALUE"""),45250.66666666667)</f>
        <v>45250.66667</v>
      </c>
      <c r="B4193" s="1">
        <f>IFERROR(__xludf.DUMMYFUNCTION("""COMPUTED_VALUE"""),28.9)</f>
        <v>28.9</v>
      </c>
      <c r="C4193" s="1">
        <f>IFERROR(__xludf.DUMMYFUNCTION("""COMPUTED_VALUE"""),30.59)</f>
        <v>30.59</v>
      </c>
      <c r="D4193" s="1">
        <f>IFERROR(__xludf.DUMMYFUNCTION("""COMPUTED_VALUE"""),28.9)</f>
        <v>28.9</v>
      </c>
      <c r="E4193" s="1">
        <f>IFERROR(__xludf.DUMMYFUNCTION("""COMPUTED_VALUE"""),30.46)</f>
        <v>30.46</v>
      </c>
      <c r="F4193" s="1">
        <f>IFERROR(__xludf.DUMMYFUNCTION("""COMPUTED_VALUE"""),2912999.0)</f>
        <v>2912999</v>
      </c>
    </row>
    <row r="4194">
      <c r="A4194" s="2">
        <f>IFERROR(__xludf.DUMMYFUNCTION("""COMPUTED_VALUE"""),45251.66666666667)</f>
        <v>45251.66667</v>
      </c>
      <c r="B4194" s="1">
        <f>IFERROR(__xludf.DUMMYFUNCTION("""COMPUTED_VALUE"""),29.9)</f>
        <v>29.9</v>
      </c>
      <c r="C4194" s="1">
        <f>IFERROR(__xludf.DUMMYFUNCTION("""COMPUTED_VALUE"""),30.3)</f>
        <v>30.3</v>
      </c>
      <c r="D4194" s="1">
        <f>IFERROR(__xludf.DUMMYFUNCTION("""COMPUTED_VALUE"""),28.97)</f>
        <v>28.97</v>
      </c>
      <c r="E4194" s="1">
        <f>IFERROR(__xludf.DUMMYFUNCTION("""COMPUTED_VALUE"""),28.99)</f>
        <v>28.99</v>
      </c>
      <c r="F4194" s="1">
        <f>IFERROR(__xludf.DUMMYFUNCTION("""COMPUTED_VALUE"""),2886118.0)</f>
        <v>2886118</v>
      </c>
    </row>
    <row r="4195">
      <c r="A4195" s="2">
        <f>IFERROR(__xludf.DUMMYFUNCTION("""COMPUTED_VALUE"""),45252.66666666667)</f>
        <v>45252.66667</v>
      </c>
      <c r="B4195" s="1">
        <f>IFERROR(__xludf.DUMMYFUNCTION("""COMPUTED_VALUE"""),29.32)</f>
        <v>29.32</v>
      </c>
      <c r="C4195" s="1">
        <f>IFERROR(__xludf.DUMMYFUNCTION("""COMPUTED_VALUE"""),30.16)</f>
        <v>30.16</v>
      </c>
      <c r="D4195" s="1">
        <f>IFERROR(__xludf.DUMMYFUNCTION("""COMPUTED_VALUE"""),27.65)</f>
        <v>27.65</v>
      </c>
      <c r="E4195" s="1">
        <f>IFERROR(__xludf.DUMMYFUNCTION("""COMPUTED_VALUE"""),28.67)</f>
        <v>28.67</v>
      </c>
      <c r="F4195" s="1">
        <f>IFERROR(__xludf.DUMMYFUNCTION("""COMPUTED_VALUE"""),3975093.0)</f>
        <v>3975093</v>
      </c>
    </row>
    <row r="4196">
      <c r="A4196" s="2">
        <f>IFERROR(__xludf.DUMMYFUNCTION("""COMPUTED_VALUE"""),45254.54513888889)</f>
        <v>45254.54514</v>
      </c>
      <c r="B4196" s="1">
        <f>IFERROR(__xludf.DUMMYFUNCTION("""COMPUTED_VALUE"""),28.36)</f>
        <v>28.36</v>
      </c>
      <c r="C4196" s="1">
        <f>IFERROR(__xludf.DUMMYFUNCTION("""COMPUTED_VALUE"""),28.83)</f>
        <v>28.83</v>
      </c>
      <c r="D4196" s="1">
        <f>IFERROR(__xludf.DUMMYFUNCTION("""COMPUTED_VALUE"""),28.07)</f>
        <v>28.07</v>
      </c>
      <c r="E4196" s="1">
        <f>IFERROR(__xludf.DUMMYFUNCTION("""COMPUTED_VALUE"""),28.57)</f>
        <v>28.57</v>
      </c>
      <c r="F4196" s="1">
        <f>IFERROR(__xludf.DUMMYFUNCTION("""COMPUTED_VALUE"""),965459.0)</f>
        <v>965459</v>
      </c>
    </row>
    <row r="4197">
      <c r="A4197" s="2">
        <f>IFERROR(__xludf.DUMMYFUNCTION("""COMPUTED_VALUE"""),45257.66666666667)</f>
        <v>45257.66667</v>
      </c>
      <c r="B4197" s="1">
        <f>IFERROR(__xludf.DUMMYFUNCTION("""COMPUTED_VALUE"""),28.41)</f>
        <v>28.41</v>
      </c>
      <c r="C4197" s="1">
        <f>IFERROR(__xludf.DUMMYFUNCTION("""COMPUTED_VALUE"""),29.84)</f>
        <v>29.84</v>
      </c>
      <c r="D4197" s="1">
        <f>IFERROR(__xludf.DUMMYFUNCTION("""COMPUTED_VALUE"""),28.35)</f>
        <v>28.35</v>
      </c>
      <c r="E4197" s="1">
        <f>IFERROR(__xludf.DUMMYFUNCTION("""COMPUTED_VALUE"""),29.04)</f>
        <v>29.04</v>
      </c>
      <c r="F4197" s="1">
        <f>IFERROR(__xludf.DUMMYFUNCTION("""COMPUTED_VALUE"""),2357031.0)</f>
        <v>2357031</v>
      </c>
    </row>
    <row r="4198">
      <c r="A4198" s="2">
        <f>IFERROR(__xludf.DUMMYFUNCTION("""COMPUTED_VALUE"""),45258.66666666667)</f>
        <v>45258.66667</v>
      </c>
      <c r="B4198" s="1">
        <f>IFERROR(__xludf.DUMMYFUNCTION("""COMPUTED_VALUE"""),29.1)</f>
        <v>29.1</v>
      </c>
      <c r="C4198" s="1">
        <f>IFERROR(__xludf.DUMMYFUNCTION("""COMPUTED_VALUE"""),29.55)</f>
        <v>29.55</v>
      </c>
      <c r="D4198" s="1">
        <f>IFERROR(__xludf.DUMMYFUNCTION("""COMPUTED_VALUE"""),28.21)</f>
        <v>28.21</v>
      </c>
      <c r="E4198" s="1">
        <f>IFERROR(__xludf.DUMMYFUNCTION("""COMPUTED_VALUE"""),28.56)</f>
        <v>28.56</v>
      </c>
      <c r="F4198" s="1">
        <f>IFERROR(__xludf.DUMMYFUNCTION("""COMPUTED_VALUE"""),2332711.0)</f>
        <v>2332711</v>
      </c>
    </row>
    <row r="4199">
      <c r="A4199" s="2">
        <f>IFERROR(__xludf.DUMMYFUNCTION("""COMPUTED_VALUE"""),45259.66666666667)</f>
        <v>45259.66667</v>
      </c>
      <c r="B4199" s="1">
        <f>IFERROR(__xludf.DUMMYFUNCTION("""COMPUTED_VALUE"""),29.13)</f>
        <v>29.13</v>
      </c>
      <c r="C4199" s="1">
        <f>IFERROR(__xludf.DUMMYFUNCTION("""COMPUTED_VALUE"""),30.65)</f>
        <v>30.65</v>
      </c>
      <c r="D4199" s="1">
        <f>IFERROR(__xludf.DUMMYFUNCTION("""COMPUTED_VALUE"""),28.68)</f>
        <v>28.68</v>
      </c>
      <c r="E4199" s="1">
        <f>IFERROR(__xludf.DUMMYFUNCTION("""COMPUTED_VALUE"""),28.76)</f>
        <v>28.76</v>
      </c>
      <c r="F4199" s="1">
        <f>IFERROR(__xludf.DUMMYFUNCTION("""COMPUTED_VALUE"""),3663363.0)</f>
        <v>3663363</v>
      </c>
    </row>
    <row r="4200">
      <c r="A4200" s="2">
        <f>IFERROR(__xludf.DUMMYFUNCTION("""COMPUTED_VALUE"""),45260.66666666667)</f>
        <v>45260.66667</v>
      </c>
      <c r="B4200" s="1">
        <f>IFERROR(__xludf.DUMMYFUNCTION("""COMPUTED_VALUE"""),28.99)</f>
        <v>28.99</v>
      </c>
      <c r="C4200" s="1">
        <f>IFERROR(__xludf.DUMMYFUNCTION("""COMPUTED_VALUE"""),29.17)</f>
        <v>29.17</v>
      </c>
      <c r="D4200" s="1">
        <f>IFERROR(__xludf.DUMMYFUNCTION("""COMPUTED_VALUE"""),26.77)</f>
        <v>26.77</v>
      </c>
      <c r="E4200" s="1">
        <f>IFERROR(__xludf.DUMMYFUNCTION("""COMPUTED_VALUE"""),27.35)</f>
        <v>27.35</v>
      </c>
      <c r="F4200" s="1">
        <f>IFERROR(__xludf.DUMMYFUNCTION("""COMPUTED_VALUE"""),4083672.0)</f>
        <v>4083672</v>
      </c>
    </row>
    <row r="4201">
      <c r="A4201" s="2">
        <f>IFERROR(__xludf.DUMMYFUNCTION("""COMPUTED_VALUE"""),45261.66666666667)</f>
        <v>45261.66667</v>
      </c>
      <c r="B4201" s="1">
        <f>IFERROR(__xludf.DUMMYFUNCTION("""COMPUTED_VALUE"""),26.23)</f>
        <v>26.23</v>
      </c>
      <c r="C4201" s="1">
        <f>IFERROR(__xludf.DUMMYFUNCTION("""COMPUTED_VALUE"""),27.07)</f>
        <v>27.07</v>
      </c>
      <c r="D4201" s="1">
        <f>IFERROR(__xludf.DUMMYFUNCTION("""COMPUTED_VALUE"""),26.03)</f>
        <v>26.03</v>
      </c>
      <c r="E4201" s="1">
        <f>IFERROR(__xludf.DUMMYFUNCTION("""COMPUTED_VALUE"""),26.96)</f>
        <v>26.96</v>
      </c>
      <c r="F4201" s="1">
        <f>IFERROR(__xludf.DUMMYFUNCTION("""COMPUTED_VALUE"""),4297581.0)</f>
        <v>4297581</v>
      </c>
    </row>
    <row r="4202">
      <c r="A4202" s="2">
        <f>IFERROR(__xludf.DUMMYFUNCTION("""COMPUTED_VALUE"""),45264.66666666667)</f>
        <v>45264.66667</v>
      </c>
      <c r="B4202" s="1">
        <f>IFERROR(__xludf.DUMMYFUNCTION("""COMPUTED_VALUE"""),26.72)</f>
        <v>26.72</v>
      </c>
      <c r="C4202" s="1">
        <f>IFERROR(__xludf.DUMMYFUNCTION("""COMPUTED_VALUE"""),26.92)</f>
        <v>26.92</v>
      </c>
      <c r="D4202" s="1">
        <f>IFERROR(__xludf.DUMMYFUNCTION("""COMPUTED_VALUE"""),25.68)</f>
        <v>25.68</v>
      </c>
      <c r="E4202" s="1">
        <f>IFERROR(__xludf.DUMMYFUNCTION("""COMPUTED_VALUE"""),26.64)</f>
        <v>26.64</v>
      </c>
      <c r="F4202" s="1">
        <f>IFERROR(__xludf.DUMMYFUNCTION("""COMPUTED_VALUE"""),2959802.0)</f>
        <v>2959802</v>
      </c>
    </row>
    <row r="4203">
      <c r="A4203" s="2">
        <f>IFERROR(__xludf.DUMMYFUNCTION("""COMPUTED_VALUE"""),45265.66666666667)</f>
        <v>45265.66667</v>
      </c>
      <c r="B4203" s="1">
        <f>IFERROR(__xludf.DUMMYFUNCTION("""COMPUTED_VALUE"""),26.35)</f>
        <v>26.35</v>
      </c>
      <c r="C4203" s="1">
        <f>IFERROR(__xludf.DUMMYFUNCTION("""COMPUTED_VALUE"""),26.99)</f>
        <v>26.99</v>
      </c>
      <c r="D4203" s="1">
        <f>IFERROR(__xludf.DUMMYFUNCTION("""COMPUTED_VALUE"""),25.97)</f>
        <v>25.97</v>
      </c>
      <c r="E4203" s="1">
        <f>IFERROR(__xludf.DUMMYFUNCTION("""COMPUTED_VALUE"""),26.3)</f>
        <v>26.3</v>
      </c>
      <c r="F4203" s="1">
        <f>IFERROR(__xludf.DUMMYFUNCTION("""COMPUTED_VALUE"""),2559803.0)</f>
        <v>2559803</v>
      </c>
    </row>
    <row r="4204">
      <c r="A4204" s="2">
        <f>IFERROR(__xludf.DUMMYFUNCTION("""COMPUTED_VALUE"""),45266.66666666667)</f>
        <v>45266.66667</v>
      </c>
      <c r="B4204" s="1">
        <f>IFERROR(__xludf.DUMMYFUNCTION("""COMPUTED_VALUE"""),26.75)</f>
        <v>26.75</v>
      </c>
      <c r="C4204" s="1">
        <f>IFERROR(__xludf.DUMMYFUNCTION("""COMPUTED_VALUE"""),26.81)</f>
        <v>26.81</v>
      </c>
      <c r="D4204" s="1">
        <f>IFERROR(__xludf.DUMMYFUNCTION("""COMPUTED_VALUE"""),25.34)</f>
        <v>25.34</v>
      </c>
      <c r="E4204" s="1">
        <f>IFERROR(__xludf.DUMMYFUNCTION("""COMPUTED_VALUE"""),25.34)</f>
        <v>25.34</v>
      </c>
      <c r="F4204" s="1">
        <f>IFERROR(__xludf.DUMMYFUNCTION("""COMPUTED_VALUE"""),2859854.0)</f>
        <v>2859854</v>
      </c>
    </row>
    <row r="4205">
      <c r="A4205" s="2">
        <f>IFERROR(__xludf.DUMMYFUNCTION("""COMPUTED_VALUE"""),45267.66666666667)</f>
        <v>45267.66667</v>
      </c>
      <c r="B4205" s="1">
        <f>IFERROR(__xludf.DUMMYFUNCTION("""COMPUTED_VALUE"""),25.55)</f>
        <v>25.55</v>
      </c>
      <c r="C4205" s="1">
        <f>IFERROR(__xludf.DUMMYFUNCTION("""COMPUTED_VALUE"""),25.85)</f>
        <v>25.85</v>
      </c>
      <c r="D4205" s="1">
        <f>IFERROR(__xludf.DUMMYFUNCTION("""COMPUTED_VALUE"""),25.13)</f>
        <v>25.13</v>
      </c>
      <c r="E4205" s="1">
        <f>IFERROR(__xludf.DUMMYFUNCTION("""COMPUTED_VALUE"""),25.62)</f>
        <v>25.62</v>
      </c>
      <c r="F4205" s="1">
        <f>IFERROR(__xludf.DUMMYFUNCTION("""COMPUTED_VALUE"""),2399711.0)</f>
        <v>2399711</v>
      </c>
    </row>
    <row r="4206">
      <c r="A4206" s="2">
        <f>IFERROR(__xludf.DUMMYFUNCTION("""COMPUTED_VALUE"""),45268.66666666667)</f>
        <v>45268.66667</v>
      </c>
      <c r="B4206" s="1">
        <f>IFERROR(__xludf.DUMMYFUNCTION("""COMPUTED_VALUE"""),25.5)</f>
        <v>25.5</v>
      </c>
      <c r="C4206" s="1">
        <f>IFERROR(__xludf.DUMMYFUNCTION("""COMPUTED_VALUE"""),27.42)</f>
        <v>27.42</v>
      </c>
      <c r="D4206" s="1">
        <f>IFERROR(__xludf.DUMMYFUNCTION("""COMPUTED_VALUE"""),25.46)</f>
        <v>25.46</v>
      </c>
      <c r="E4206" s="1">
        <f>IFERROR(__xludf.DUMMYFUNCTION("""COMPUTED_VALUE"""),27.27)</f>
        <v>27.27</v>
      </c>
      <c r="F4206" s="1">
        <f>IFERROR(__xludf.DUMMYFUNCTION("""COMPUTED_VALUE"""),3157504.0)</f>
        <v>3157504</v>
      </c>
    </row>
    <row r="4207">
      <c r="A4207" s="2">
        <f>IFERROR(__xludf.DUMMYFUNCTION("""COMPUTED_VALUE"""),45271.66666666667)</f>
        <v>45271.66667</v>
      </c>
      <c r="B4207" s="1">
        <f>IFERROR(__xludf.DUMMYFUNCTION("""COMPUTED_VALUE"""),26.3)</f>
        <v>26.3</v>
      </c>
      <c r="C4207" s="1">
        <f>IFERROR(__xludf.DUMMYFUNCTION("""COMPUTED_VALUE"""),27.07)</f>
        <v>27.07</v>
      </c>
      <c r="D4207" s="1">
        <f>IFERROR(__xludf.DUMMYFUNCTION("""COMPUTED_VALUE"""),25.7)</f>
        <v>25.7</v>
      </c>
      <c r="E4207" s="1">
        <f>IFERROR(__xludf.DUMMYFUNCTION("""COMPUTED_VALUE"""),26.23)</f>
        <v>26.23</v>
      </c>
      <c r="F4207" s="1">
        <f>IFERROR(__xludf.DUMMYFUNCTION("""COMPUTED_VALUE"""),3135952.0)</f>
        <v>3135952</v>
      </c>
    </row>
    <row r="4208">
      <c r="A4208" s="2">
        <f>IFERROR(__xludf.DUMMYFUNCTION("""COMPUTED_VALUE"""),45272.66666666667)</f>
        <v>45272.66667</v>
      </c>
      <c r="B4208" s="1">
        <f>IFERROR(__xludf.DUMMYFUNCTION("""COMPUTED_VALUE"""),26.16)</f>
        <v>26.16</v>
      </c>
      <c r="C4208" s="1">
        <f>IFERROR(__xludf.DUMMYFUNCTION("""COMPUTED_VALUE"""),26.86)</f>
        <v>26.86</v>
      </c>
      <c r="D4208" s="1">
        <f>IFERROR(__xludf.DUMMYFUNCTION("""COMPUTED_VALUE"""),25.83)</f>
        <v>25.83</v>
      </c>
      <c r="E4208" s="1">
        <f>IFERROR(__xludf.DUMMYFUNCTION("""COMPUTED_VALUE"""),26.54)</f>
        <v>26.54</v>
      </c>
      <c r="F4208" s="1">
        <f>IFERROR(__xludf.DUMMYFUNCTION("""COMPUTED_VALUE"""),2178323.0)</f>
        <v>2178323</v>
      </c>
    </row>
    <row r="4209">
      <c r="A4209" s="2">
        <f>IFERROR(__xludf.DUMMYFUNCTION("""COMPUTED_VALUE"""),45273.66666666667)</f>
        <v>45273.66667</v>
      </c>
      <c r="B4209" s="1">
        <f>IFERROR(__xludf.DUMMYFUNCTION("""COMPUTED_VALUE"""),26.7)</f>
        <v>26.7</v>
      </c>
      <c r="C4209" s="1">
        <f>IFERROR(__xludf.DUMMYFUNCTION("""COMPUTED_VALUE"""),27.56)</f>
        <v>27.56</v>
      </c>
      <c r="D4209" s="1">
        <f>IFERROR(__xludf.DUMMYFUNCTION("""COMPUTED_VALUE"""),26.25)</f>
        <v>26.25</v>
      </c>
      <c r="E4209" s="1">
        <f>IFERROR(__xludf.DUMMYFUNCTION("""COMPUTED_VALUE"""),27.33)</f>
        <v>27.33</v>
      </c>
      <c r="F4209" s="1">
        <f>IFERROR(__xludf.DUMMYFUNCTION("""COMPUTED_VALUE"""),2735787.0)</f>
        <v>2735787</v>
      </c>
    </row>
    <row r="4210">
      <c r="A4210" s="2">
        <f>IFERROR(__xludf.DUMMYFUNCTION("""COMPUTED_VALUE"""),45274.66666666667)</f>
        <v>45274.66667</v>
      </c>
      <c r="B4210" s="1">
        <f>IFERROR(__xludf.DUMMYFUNCTION("""COMPUTED_VALUE"""),27.8)</f>
        <v>27.8</v>
      </c>
      <c r="C4210" s="1">
        <f>IFERROR(__xludf.DUMMYFUNCTION("""COMPUTED_VALUE"""),29.63)</f>
        <v>29.63</v>
      </c>
      <c r="D4210" s="1">
        <f>IFERROR(__xludf.DUMMYFUNCTION("""COMPUTED_VALUE"""),27.79)</f>
        <v>27.79</v>
      </c>
      <c r="E4210" s="1">
        <f>IFERROR(__xludf.DUMMYFUNCTION("""COMPUTED_VALUE"""),29.44)</f>
        <v>29.44</v>
      </c>
      <c r="F4210" s="1">
        <f>IFERROR(__xludf.DUMMYFUNCTION("""COMPUTED_VALUE"""),4544096.0)</f>
        <v>4544096</v>
      </c>
    </row>
    <row r="4211">
      <c r="A4211" s="2">
        <f>IFERROR(__xludf.DUMMYFUNCTION("""COMPUTED_VALUE"""),45275.66666666667)</f>
        <v>45275.66667</v>
      </c>
      <c r="B4211" s="1">
        <f>IFERROR(__xludf.DUMMYFUNCTION("""COMPUTED_VALUE"""),29.5)</f>
        <v>29.5</v>
      </c>
      <c r="C4211" s="1">
        <f>IFERROR(__xludf.DUMMYFUNCTION("""COMPUTED_VALUE"""),30.19)</f>
        <v>30.19</v>
      </c>
      <c r="D4211" s="1">
        <f>IFERROR(__xludf.DUMMYFUNCTION("""COMPUTED_VALUE"""),29.25)</f>
        <v>29.25</v>
      </c>
      <c r="E4211" s="1">
        <f>IFERROR(__xludf.DUMMYFUNCTION("""COMPUTED_VALUE"""),30.01)</f>
        <v>30.01</v>
      </c>
      <c r="F4211" s="1">
        <f>IFERROR(__xludf.DUMMYFUNCTION("""COMPUTED_VALUE"""),3752700.0)</f>
        <v>3752700</v>
      </c>
    </row>
    <row r="4212">
      <c r="A4212" s="2">
        <f>IFERROR(__xludf.DUMMYFUNCTION("""COMPUTED_VALUE"""),45278.66666666667)</f>
        <v>45278.66667</v>
      </c>
      <c r="B4212" s="1">
        <f>IFERROR(__xludf.DUMMYFUNCTION("""COMPUTED_VALUE"""),30.44)</f>
        <v>30.44</v>
      </c>
      <c r="C4212" s="1">
        <f>IFERROR(__xludf.DUMMYFUNCTION("""COMPUTED_VALUE"""),32.76)</f>
        <v>32.76</v>
      </c>
      <c r="D4212" s="1">
        <f>IFERROR(__xludf.DUMMYFUNCTION("""COMPUTED_VALUE"""),30.29)</f>
        <v>30.29</v>
      </c>
      <c r="E4212" s="1">
        <f>IFERROR(__xludf.DUMMYFUNCTION("""COMPUTED_VALUE"""),32.22)</f>
        <v>32.22</v>
      </c>
      <c r="F4212" s="1">
        <f>IFERROR(__xludf.DUMMYFUNCTION("""COMPUTED_VALUE"""),5741008.0)</f>
        <v>5741008</v>
      </c>
    </row>
    <row r="4213">
      <c r="A4213" s="2">
        <f>IFERROR(__xludf.DUMMYFUNCTION("""COMPUTED_VALUE"""),45279.66666666667)</f>
        <v>45279.66667</v>
      </c>
      <c r="B4213" s="1">
        <f>IFERROR(__xludf.DUMMYFUNCTION("""COMPUTED_VALUE"""),31.5)</f>
        <v>31.5</v>
      </c>
      <c r="C4213" s="1">
        <f>IFERROR(__xludf.DUMMYFUNCTION("""COMPUTED_VALUE"""),32.13)</f>
        <v>32.13</v>
      </c>
      <c r="D4213" s="1">
        <f>IFERROR(__xludf.DUMMYFUNCTION("""COMPUTED_VALUE"""),30.8)</f>
        <v>30.8</v>
      </c>
      <c r="E4213" s="1">
        <f>IFERROR(__xludf.DUMMYFUNCTION("""COMPUTED_VALUE"""),31.59)</f>
        <v>31.59</v>
      </c>
      <c r="F4213" s="1">
        <f>IFERROR(__xludf.DUMMYFUNCTION("""COMPUTED_VALUE"""),4014274.0)</f>
        <v>4014274</v>
      </c>
    </row>
    <row r="4214">
      <c r="A4214" s="2">
        <f>IFERROR(__xludf.DUMMYFUNCTION("""COMPUTED_VALUE"""),45280.66666666667)</f>
        <v>45280.66667</v>
      </c>
      <c r="B4214" s="1">
        <f>IFERROR(__xludf.DUMMYFUNCTION("""COMPUTED_VALUE"""),31.55)</f>
        <v>31.55</v>
      </c>
      <c r="C4214" s="1">
        <f>IFERROR(__xludf.DUMMYFUNCTION("""COMPUTED_VALUE"""),32.06)</f>
        <v>32.06</v>
      </c>
      <c r="D4214" s="1">
        <f>IFERROR(__xludf.DUMMYFUNCTION("""COMPUTED_VALUE"""),30.11)</f>
        <v>30.11</v>
      </c>
      <c r="E4214" s="1">
        <f>IFERROR(__xludf.DUMMYFUNCTION("""COMPUTED_VALUE"""),30.21)</f>
        <v>30.21</v>
      </c>
      <c r="F4214" s="1">
        <f>IFERROR(__xludf.DUMMYFUNCTION("""COMPUTED_VALUE"""),3122931.0)</f>
        <v>3122931</v>
      </c>
    </row>
    <row r="4215">
      <c r="A4215" s="2">
        <f>IFERROR(__xludf.DUMMYFUNCTION("""COMPUTED_VALUE"""),45281.66666666667)</f>
        <v>45281.66667</v>
      </c>
      <c r="B4215" s="1">
        <f>IFERROR(__xludf.DUMMYFUNCTION("""COMPUTED_VALUE"""),30.89)</f>
        <v>30.89</v>
      </c>
      <c r="C4215" s="1">
        <f>IFERROR(__xludf.DUMMYFUNCTION("""COMPUTED_VALUE"""),31.4)</f>
        <v>31.4</v>
      </c>
      <c r="D4215" s="1">
        <f>IFERROR(__xludf.DUMMYFUNCTION("""COMPUTED_VALUE"""),30.07)</f>
        <v>30.07</v>
      </c>
      <c r="E4215" s="1">
        <f>IFERROR(__xludf.DUMMYFUNCTION("""COMPUTED_VALUE"""),30.42)</f>
        <v>30.42</v>
      </c>
      <c r="F4215" s="1">
        <f>IFERROR(__xludf.DUMMYFUNCTION("""COMPUTED_VALUE"""),2508423.0)</f>
        <v>2508423</v>
      </c>
    </row>
    <row r="4216">
      <c r="A4216" s="2">
        <f>IFERROR(__xludf.DUMMYFUNCTION("""COMPUTED_VALUE"""),45282.66666666667)</f>
        <v>45282.66667</v>
      </c>
      <c r="B4216" s="1">
        <f>IFERROR(__xludf.DUMMYFUNCTION("""COMPUTED_VALUE"""),30.76)</f>
        <v>30.76</v>
      </c>
      <c r="C4216" s="1">
        <f>IFERROR(__xludf.DUMMYFUNCTION("""COMPUTED_VALUE"""),30.93)</f>
        <v>30.93</v>
      </c>
      <c r="D4216" s="1">
        <f>IFERROR(__xludf.DUMMYFUNCTION("""COMPUTED_VALUE"""),28.51)</f>
        <v>28.51</v>
      </c>
      <c r="E4216" s="1">
        <f>IFERROR(__xludf.DUMMYFUNCTION("""COMPUTED_VALUE"""),28.97)</f>
        <v>28.97</v>
      </c>
      <c r="F4216" s="1">
        <f>IFERROR(__xludf.DUMMYFUNCTION("""COMPUTED_VALUE"""),4439496.0)</f>
        <v>4439496</v>
      </c>
    </row>
    <row r="4217">
      <c r="A4217" s="2">
        <f>IFERROR(__xludf.DUMMYFUNCTION("""COMPUTED_VALUE"""),45286.66666666667)</f>
        <v>45286.66667</v>
      </c>
      <c r="B4217" s="1">
        <f>IFERROR(__xludf.DUMMYFUNCTION("""COMPUTED_VALUE"""),29.09)</f>
        <v>29.09</v>
      </c>
      <c r="C4217" s="1">
        <f>IFERROR(__xludf.DUMMYFUNCTION("""COMPUTED_VALUE"""),29.67)</f>
        <v>29.67</v>
      </c>
      <c r="D4217" s="1">
        <f>IFERROR(__xludf.DUMMYFUNCTION("""COMPUTED_VALUE"""),28.74)</f>
        <v>28.74</v>
      </c>
      <c r="E4217" s="1">
        <f>IFERROR(__xludf.DUMMYFUNCTION("""COMPUTED_VALUE"""),29.43)</f>
        <v>29.43</v>
      </c>
      <c r="F4217" s="1">
        <f>IFERROR(__xludf.DUMMYFUNCTION("""COMPUTED_VALUE"""),2422059.0)</f>
        <v>2422059</v>
      </c>
    </row>
    <row r="4218">
      <c r="A4218" s="2">
        <f>IFERROR(__xludf.DUMMYFUNCTION("""COMPUTED_VALUE"""),45287.66666666667)</f>
        <v>45287.66667</v>
      </c>
      <c r="B4218" s="1">
        <f>IFERROR(__xludf.DUMMYFUNCTION("""COMPUTED_VALUE"""),29.8)</f>
        <v>29.8</v>
      </c>
      <c r="C4218" s="1">
        <f>IFERROR(__xludf.DUMMYFUNCTION("""COMPUTED_VALUE"""),29.9)</f>
        <v>29.9</v>
      </c>
      <c r="D4218" s="1">
        <f>IFERROR(__xludf.DUMMYFUNCTION("""COMPUTED_VALUE"""),29.09)</f>
        <v>29.09</v>
      </c>
      <c r="E4218" s="1">
        <f>IFERROR(__xludf.DUMMYFUNCTION("""COMPUTED_VALUE"""),29.5)</f>
        <v>29.5</v>
      </c>
      <c r="F4218" s="1">
        <f>IFERROR(__xludf.DUMMYFUNCTION("""COMPUTED_VALUE"""),1411700.0)</f>
        <v>1411700</v>
      </c>
    </row>
    <row r="4219">
      <c r="A4219" s="2">
        <f>IFERROR(__xludf.DUMMYFUNCTION("""COMPUTED_VALUE"""),45288.66666666667)</f>
        <v>45288.66667</v>
      </c>
      <c r="B4219" s="1">
        <f>IFERROR(__xludf.DUMMYFUNCTION("""COMPUTED_VALUE"""),29.36)</f>
        <v>29.36</v>
      </c>
      <c r="C4219" s="1">
        <f>IFERROR(__xludf.DUMMYFUNCTION("""COMPUTED_VALUE"""),29.73)</f>
        <v>29.73</v>
      </c>
      <c r="D4219" s="1">
        <f>IFERROR(__xludf.DUMMYFUNCTION("""COMPUTED_VALUE"""),29.06)</f>
        <v>29.06</v>
      </c>
      <c r="E4219" s="1">
        <f>IFERROR(__xludf.DUMMYFUNCTION("""COMPUTED_VALUE"""),29.15)</f>
        <v>29.15</v>
      </c>
      <c r="F4219" s="1">
        <f>IFERROR(__xludf.DUMMYFUNCTION("""COMPUTED_VALUE"""),1265106.0)</f>
        <v>1265106</v>
      </c>
    </row>
    <row r="4220">
      <c r="A4220" s="2">
        <f>IFERROR(__xludf.DUMMYFUNCTION("""COMPUTED_VALUE"""),45289.66666666667)</f>
        <v>45289.66667</v>
      </c>
      <c r="B4220" s="1">
        <f>IFERROR(__xludf.DUMMYFUNCTION("""COMPUTED_VALUE"""),29.15)</f>
        <v>29.15</v>
      </c>
      <c r="C4220" s="1">
        <f>IFERROR(__xludf.DUMMYFUNCTION("""COMPUTED_VALUE"""),29.33)</f>
        <v>29.33</v>
      </c>
      <c r="D4220" s="1">
        <f>IFERROR(__xludf.DUMMYFUNCTION("""COMPUTED_VALUE"""),28.02)</f>
        <v>28.02</v>
      </c>
      <c r="E4220" s="1">
        <f>IFERROR(__xludf.DUMMYFUNCTION("""COMPUTED_VALUE"""),28.43)</f>
        <v>28.43</v>
      </c>
      <c r="F4220" s="1">
        <f>IFERROR(__xludf.DUMMYFUNCTION("""COMPUTED_VALUE"""),2104416.0)</f>
        <v>2104416</v>
      </c>
    </row>
    <row r="4221">
      <c r="A4221" s="2">
        <f>IFERROR(__xludf.DUMMYFUNCTION("""COMPUTED_VALUE"""),45293.66666666667)</f>
        <v>45293.66667</v>
      </c>
      <c r="B4221" s="1">
        <f>IFERROR(__xludf.DUMMYFUNCTION("""COMPUTED_VALUE"""),28.0)</f>
        <v>28</v>
      </c>
      <c r="C4221" s="1">
        <f>IFERROR(__xludf.DUMMYFUNCTION("""COMPUTED_VALUE"""),28.7)</f>
        <v>28.7</v>
      </c>
      <c r="D4221" s="1">
        <f>IFERROR(__xludf.DUMMYFUNCTION("""COMPUTED_VALUE"""),27.59)</f>
        <v>27.59</v>
      </c>
      <c r="E4221" s="1">
        <f>IFERROR(__xludf.DUMMYFUNCTION("""COMPUTED_VALUE"""),28.55)</f>
        <v>28.55</v>
      </c>
      <c r="F4221" s="1">
        <f>IFERROR(__xludf.DUMMYFUNCTION("""COMPUTED_VALUE"""),1904226.0)</f>
        <v>1904226</v>
      </c>
    </row>
    <row r="4222">
      <c r="A4222" s="2">
        <f>IFERROR(__xludf.DUMMYFUNCTION("""COMPUTED_VALUE"""),45294.66666666667)</f>
        <v>45294.66667</v>
      </c>
      <c r="B4222" s="1">
        <f>IFERROR(__xludf.DUMMYFUNCTION("""COMPUTED_VALUE"""),27.73)</f>
        <v>27.73</v>
      </c>
      <c r="C4222" s="1">
        <f>IFERROR(__xludf.DUMMYFUNCTION("""COMPUTED_VALUE"""),28.79)</f>
        <v>28.79</v>
      </c>
      <c r="D4222" s="1">
        <f>IFERROR(__xludf.DUMMYFUNCTION("""COMPUTED_VALUE"""),27.65)</f>
        <v>27.65</v>
      </c>
      <c r="E4222" s="1">
        <f>IFERROR(__xludf.DUMMYFUNCTION("""COMPUTED_VALUE"""),28.06)</f>
        <v>28.06</v>
      </c>
      <c r="F4222" s="1">
        <f>IFERROR(__xludf.DUMMYFUNCTION("""COMPUTED_VALUE"""),1677613.0)</f>
        <v>1677613</v>
      </c>
    </row>
    <row r="4223">
      <c r="A4223" s="2">
        <f>IFERROR(__xludf.DUMMYFUNCTION("""COMPUTED_VALUE"""),45295.66666666667)</f>
        <v>45295.66667</v>
      </c>
      <c r="B4223" s="1">
        <f>IFERROR(__xludf.DUMMYFUNCTION("""COMPUTED_VALUE"""),28.05)</f>
        <v>28.05</v>
      </c>
      <c r="C4223" s="1">
        <f>IFERROR(__xludf.DUMMYFUNCTION("""COMPUTED_VALUE"""),29.55)</f>
        <v>29.55</v>
      </c>
      <c r="D4223" s="1">
        <f>IFERROR(__xludf.DUMMYFUNCTION("""COMPUTED_VALUE"""),27.63)</f>
        <v>27.63</v>
      </c>
      <c r="E4223" s="1">
        <f>IFERROR(__xludf.DUMMYFUNCTION("""COMPUTED_VALUE"""),28.88)</f>
        <v>28.88</v>
      </c>
      <c r="F4223" s="1">
        <f>IFERROR(__xludf.DUMMYFUNCTION("""COMPUTED_VALUE"""),2311056.0)</f>
        <v>2311056</v>
      </c>
    </row>
    <row r="4224">
      <c r="A4224" s="2">
        <f>IFERROR(__xludf.DUMMYFUNCTION("""COMPUTED_VALUE"""),45296.66666666667)</f>
        <v>45296.66667</v>
      </c>
      <c r="B4224" s="1">
        <f>IFERROR(__xludf.DUMMYFUNCTION("""COMPUTED_VALUE"""),28.88)</f>
        <v>28.88</v>
      </c>
      <c r="C4224" s="1">
        <f>IFERROR(__xludf.DUMMYFUNCTION("""COMPUTED_VALUE"""),29.89)</f>
        <v>29.89</v>
      </c>
      <c r="D4224" s="1">
        <f>IFERROR(__xludf.DUMMYFUNCTION("""COMPUTED_VALUE"""),28.76)</f>
        <v>28.76</v>
      </c>
      <c r="E4224" s="1">
        <f>IFERROR(__xludf.DUMMYFUNCTION("""COMPUTED_VALUE"""),29.21)</f>
        <v>29.21</v>
      </c>
      <c r="F4224" s="1">
        <f>IFERROR(__xludf.DUMMYFUNCTION("""COMPUTED_VALUE"""),2343098.0)</f>
        <v>2343098</v>
      </c>
    </row>
    <row r="4225">
      <c r="A4225" s="2">
        <f>IFERROR(__xludf.DUMMYFUNCTION("""COMPUTED_VALUE"""),45299.66666666667)</f>
        <v>45299.66667</v>
      </c>
      <c r="B4225" s="1">
        <f>IFERROR(__xludf.DUMMYFUNCTION("""COMPUTED_VALUE"""),29.49)</f>
        <v>29.49</v>
      </c>
      <c r="C4225" s="1">
        <f>IFERROR(__xludf.DUMMYFUNCTION("""COMPUTED_VALUE"""),32.18)</f>
        <v>32.18</v>
      </c>
      <c r="D4225" s="1">
        <f>IFERROR(__xludf.DUMMYFUNCTION("""COMPUTED_VALUE"""),29.35)</f>
        <v>29.35</v>
      </c>
      <c r="E4225" s="1">
        <f>IFERROR(__xludf.DUMMYFUNCTION("""COMPUTED_VALUE"""),32.03)</f>
        <v>32.03</v>
      </c>
      <c r="F4225" s="1">
        <f>IFERROR(__xludf.DUMMYFUNCTION("""COMPUTED_VALUE"""),4262624.0)</f>
        <v>4262624</v>
      </c>
    </row>
    <row r="4226">
      <c r="A4226" s="2">
        <f>IFERROR(__xludf.DUMMYFUNCTION("""COMPUTED_VALUE"""),45300.66666666667)</f>
        <v>45300.66667</v>
      </c>
      <c r="B4226" s="1">
        <f>IFERROR(__xludf.DUMMYFUNCTION("""COMPUTED_VALUE"""),31.83)</f>
        <v>31.83</v>
      </c>
      <c r="C4226" s="1">
        <f>IFERROR(__xludf.DUMMYFUNCTION("""COMPUTED_VALUE"""),34.92)</f>
        <v>34.92</v>
      </c>
      <c r="D4226" s="1">
        <f>IFERROR(__xludf.DUMMYFUNCTION("""COMPUTED_VALUE"""),31.72)</f>
        <v>31.72</v>
      </c>
      <c r="E4226" s="1">
        <f>IFERROR(__xludf.DUMMYFUNCTION("""COMPUTED_VALUE"""),34.37)</f>
        <v>34.37</v>
      </c>
      <c r="F4226" s="1">
        <f>IFERROR(__xludf.DUMMYFUNCTION("""COMPUTED_VALUE"""),6703270.0)</f>
        <v>6703270</v>
      </c>
    </row>
    <row r="4227">
      <c r="A4227" s="2">
        <f>IFERROR(__xludf.DUMMYFUNCTION("""COMPUTED_VALUE"""),45301.66666666667)</f>
        <v>45301.66667</v>
      </c>
      <c r="B4227" s="1">
        <f>IFERROR(__xludf.DUMMYFUNCTION("""COMPUTED_VALUE"""),34.7)</f>
        <v>34.7</v>
      </c>
      <c r="C4227" s="1">
        <f>IFERROR(__xludf.DUMMYFUNCTION("""COMPUTED_VALUE"""),35.8)</f>
        <v>35.8</v>
      </c>
      <c r="D4227" s="1">
        <f>IFERROR(__xludf.DUMMYFUNCTION("""COMPUTED_VALUE"""),33.22)</f>
        <v>33.22</v>
      </c>
      <c r="E4227" s="1">
        <f>IFERROR(__xludf.DUMMYFUNCTION("""COMPUTED_VALUE"""),34.24)</f>
        <v>34.24</v>
      </c>
      <c r="F4227" s="1">
        <f>IFERROR(__xludf.DUMMYFUNCTION("""COMPUTED_VALUE"""),5345446.0)</f>
        <v>5345446</v>
      </c>
    </row>
    <row r="4228">
      <c r="A4228" s="2">
        <f>IFERROR(__xludf.DUMMYFUNCTION("""COMPUTED_VALUE"""),45302.66666666667)</f>
        <v>45302.66667</v>
      </c>
      <c r="B4228" s="1">
        <f>IFERROR(__xludf.DUMMYFUNCTION("""COMPUTED_VALUE"""),34.48)</f>
        <v>34.48</v>
      </c>
      <c r="C4228" s="1">
        <f>IFERROR(__xludf.DUMMYFUNCTION("""COMPUTED_VALUE"""),35.52)</f>
        <v>35.52</v>
      </c>
      <c r="D4228" s="1">
        <f>IFERROR(__xludf.DUMMYFUNCTION("""COMPUTED_VALUE"""),33.07)</f>
        <v>33.07</v>
      </c>
      <c r="E4228" s="1">
        <f>IFERROR(__xludf.DUMMYFUNCTION("""COMPUTED_VALUE"""),34.33)</f>
        <v>34.33</v>
      </c>
      <c r="F4228" s="1">
        <f>IFERROR(__xludf.DUMMYFUNCTION("""COMPUTED_VALUE"""),4172923.0)</f>
        <v>4172923</v>
      </c>
    </row>
    <row r="4229">
      <c r="A4229" s="2">
        <f>IFERROR(__xludf.DUMMYFUNCTION("""COMPUTED_VALUE"""),45303.66666666667)</f>
        <v>45303.66667</v>
      </c>
      <c r="B4229" s="1">
        <f>IFERROR(__xludf.DUMMYFUNCTION("""COMPUTED_VALUE"""),34.55)</f>
        <v>34.55</v>
      </c>
      <c r="C4229" s="1">
        <f>IFERROR(__xludf.DUMMYFUNCTION("""COMPUTED_VALUE"""),34.95)</f>
        <v>34.95</v>
      </c>
      <c r="D4229" s="1">
        <f>IFERROR(__xludf.DUMMYFUNCTION("""COMPUTED_VALUE"""),33.83)</f>
        <v>33.83</v>
      </c>
      <c r="E4229" s="1">
        <f>IFERROR(__xludf.DUMMYFUNCTION("""COMPUTED_VALUE"""),33.96)</f>
        <v>33.96</v>
      </c>
      <c r="F4229" s="1">
        <f>IFERROR(__xludf.DUMMYFUNCTION("""COMPUTED_VALUE"""),2289206.0)</f>
        <v>2289206</v>
      </c>
    </row>
    <row r="4230">
      <c r="A4230" s="2">
        <f>IFERROR(__xludf.DUMMYFUNCTION("""COMPUTED_VALUE"""),45307.66666666667)</f>
        <v>45307.66667</v>
      </c>
      <c r="B4230" s="1">
        <f>IFERROR(__xludf.DUMMYFUNCTION("""COMPUTED_VALUE"""),34.06)</f>
        <v>34.06</v>
      </c>
      <c r="C4230" s="1">
        <f>IFERROR(__xludf.DUMMYFUNCTION("""COMPUTED_VALUE"""),35.2)</f>
        <v>35.2</v>
      </c>
      <c r="D4230" s="1">
        <f>IFERROR(__xludf.DUMMYFUNCTION("""COMPUTED_VALUE"""),32.43)</f>
        <v>32.43</v>
      </c>
      <c r="E4230" s="1">
        <f>IFERROR(__xludf.DUMMYFUNCTION("""COMPUTED_VALUE"""),32.63)</f>
        <v>32.63</v>
      </c>
      <c r="F4230" s="1">
        <f>IFERROR(__xludf.DUMMYFUNCTION("""COMPUTED_VALUE"""),4732855.0)</f>
        <v>4732855</v>
      </c>
    </row>
    <row r="4231">
      <c r="A4231" s="2">
        <f>IFERROR(__xludf.DUMMYFUNCTION("""COMPUTED_VALUE"""),45308.66666666667)</f>
        <v>45308.66667</v>
      </c>
      <c r="B4231" s="1">
        <f>IFERROR(__xludf.DUMMYFUNCTION("""COMPUTED_VALUE"""),32.05)</f>
        <v>32.05</v>
      </c>
      <c r="C4231" s="1">
        <f>IFERROR(__xludf.DUMMYFUNCTION("""COMPUTED_VALUE"""),32.2)</f>
        <v>32.2</v>
      </c>
      <c r="D4231" s="1">
        <f>IFERROR(__xludf.DUMMYFUNCTION("""COMPUTED_VALUE"""),30.58)</f>
        <v>30.58</v>
      </c>
      <c r="E4231" s="1">
        <f>IFERROR(__xludf.DUMMYFUNCTION("""COMPUTED_VALUE"""),31.82)</f>
        <v>31.82</v>
      </c>
      <c r="F4231" s="1">
        <f>IFERROR(__xludf.DUMMYFUNCTION("""COMPUTED_VALUE"""),3585772.0)</f>
        <v>3585772</v>
      </c>
    </row>
    <row r="4232">
      <c r="A4232" s="2">
        <f>IFERROR(__xludf.DUMMYFUNCTION("""COMPUTED_VALUE"""),45309.66666666667)</f>
        <v>45309.66667</v>
      </c>
      <c r="B4232" s="1">
        <f>IFERROR(__xludf.DUMMYFUNCTION("""COMPUTED_VALUE"""),33.0)</f>
        <v>33</v>
      </c>
      <c r="C4232" s="1">
        <f>IFERROR(__xludf.DUMMYFUNCTION("""COMPUTED_VALUE"""),33.4)</f>
        <v>33.4</v>
      </c>
      <c r="D4232" s="1">
        <f>IFERROR(__xludf.DUMMYFUNCTION("""COMPUTED_VALUE"""),30.65)</f>
        <v>30.65</v>
      </c>
      <c r="E4232" s="1">
        <f>IFERROR(__xludf.DUMMYFUNCTION("""COMPUTED_VALUE"""),31.14)</f>
        <v>31.14</v>
      </c>
      <c r="F4232" s="1">
        <f>IFERROR(__xludf.DUMMYFUNCTION("""COMPUTED_VALUE"""),4875126.0)</f>
        <v>4875126</v>
      </c>
    </row>
    <row r="4233">
      <c r="A4233" s="2">
        <f>IFERROR(__xludf.DUMMYFUNCTION("""COMPUTED_VALUE"""),45310.66666666667)</f>
        <v>45310.66667</v>
      </c>
      <c r="B4233" s="1">
        <f>IFERROR(__xludf.DUMMYFUNCTION("""COMPUTED_VALUE"""),34.76)</f>
        <v>34.76</v>
      </c>
      <c r="C4233" s="1">
        <f>IFERROR(__xludf.DUMMYFUNCTION("""COMPUTED_VALUE"""),42.87)</f>
        <v>42.87</v>
      </c>
      <c r="D4233" s="1">
        <f>IFERROR(__xludf.DUMMYFUNCTION("""COMPUTED_VALUE"""),33.89)</f>
        <v>33.89</v>
      </c>
      <c r="E4233" s="1">
        <f>IFERROR(__xludf.DUMMYFUNCTION("""COMPUTED_VALUE"""),42.34)</f>
        <v>42.34</v>
      </c>
      <c r="F4233" s="1">
        <f>IFERROR(__xludf.DUMMYFUNCTION("""COMPUTED_VALUE"""),2.3112517E7)</f>
        <v>23112517</v>
      </c>
    </row>
    <row r="4234">
      <c r="A4234" s="2">
        <f>IFERROR(__xludf.DUMMYFUNCTION("""COMPUTED_VALUE"""),45313.66666666667)</f>
        <v>45313.66667</v>
      </c>
      <c r="B4234" s="1">
        <f>IFERROR(__xludf.DUMMYFUNCTION("""COMPUTED_VALUE"""),45.64)</f>
        <v>45.64</v>
      </c>
      <c r="C4234" s="1">
        <f>IFERROR(__xludf.DUMMYFUNCTION("""COMPUTED_VALUE"""),48.59)</f>
        <v>48.59</v>
      </c>
      <c r="D4234" s="1">
        <f>IFERROR(__xludf.DUMMYFUNCTION("""COMPUTED_VALUE"""),41.02)</f>
        <v>41.02</v>
      </c>
      <c r="E4234" s="1">
        <f>IFERROR(__xludf.DUMMYFUNCTION("""COMPUTED_VALUE"""),43.62)</f>
        <v>43.62</v>
      </c>
      <c r="F4234" s="1">
        <f>IFERROR(__xludf.DUMMYFUNCTION("""COMPUTED_VALUE"""),1.8823317E7)</f>
        <v>18823317</v>
      </c>
    </row>
    <row r="4235">
      <c r="A4235" s="2">
        <f>IFERROR(__xludf.DUMMYFUNCTION("""COMPUTED_VALUE"""),45314.66666666667)</f>
        <v>45314.66667</v>
      </c>
      <c r="B4235" s="1">
        <f>IFERROR(__xludf.DUMMYFUNCTION("""COMPUTED_VALUE"""),43.6)</f>
        <v>43.6</v>
      </c>
      <c r="C4235" s="1">
        <f>IFERROR(__xludf.DUMMYFUNCTION("""COMPUTED_VALUE"""),45.83)</f>
        <v>45.83</v>
      </c>
      <c r="D4235" s="1">
        <f>IFERROR(__xludf.DUMMYFUNCTION("""COMPUTED_VALUE"""),41.65)</f>
        <v>41.65</v>
      </c>
      <c r="E4235" s="1">
        <f>IFERROR(__xludf.DUMMYFUNCTION("""COMPUTED_VALUE"""),45.74)</f>
        <v>45.74</v>
      </c>
      <c r="F4235" s="1">
        <f>IFERROR(__xludf.DUMMYFUNCTION("""COMPUTED_VALUE"""),9677196.0)</f>
        <v>9677196</v>
      </c>
    </row>
    <row r="4236">
      <c r="A4236" s="2">
        <f>IFERROR(__xludf.DUMMYFUNCTION("""COMPUTED_VALUE"""),45315.66666666667)</f>
        <v>45315.66667</v>
      </c>
      <c r="B4236" s="1">
        <f>IFERROR(__xludf.DUMMYFUNCTION("""COMPUTED_VALUE"""),47.13)</f>
        <v>47.13</v>
      </c>
      <c r="C4236" s="1">
        <f>IFERROR(__xludf.DUMMYFUNCTION("""COMPUTED_VALUE"""),49.68)</f>
        <v>49.68</v>
      </c>
      <c r="D4236" s="1">
        <f>IFERROR(__xludf.DUMMYFUNCTION("""COMPUTED_VALUE"""),46.02)</f>
        <v>46.02</v>
      </c>
      <c r="E4236" s="1">
        <f>IFERROR(__xludf.DUMMYFUNCTION("""COMPUTED_VALUE"""),47.02)</f>
        <v>47.02</v>
      </c>
      <c r="F4236" s="1">
        <f>IFERROR(__xludf.DUMMYFUNCTION("""COMPUTED_VALUE"""),1.2116966E7)</f>
        <v>12116966</v>
      </c>
    </row>
    <row r="4237">
      <c r="A4237" s="2">
        <f>IFERROR(__xludf.DUMMYFUNCTION("""COMPUTED_VALUE"""),45316.66666666667)</f>
        <v>45316.66667</v>
      </c>
      <c r="B4237" s="1">
        <f>IFERROR(__xludf.DUMMYFUNCTION("""COMPUTED_VALUE"""),47.61)</f>
        <v>47.61</v>
      </c>
      <c r="C4237" s="1">
        <f>IFERROR(__xludf.DUMMYFUNCTION("""COMPUTED_VALUE"""),48.37)</f>
        <v>48.37</v>
      </c>
      <c r="D4237" s="1">
        <f>IFERROR(__xludf.DUMMYFUNCTION("""COMPUTED_VALUE"""),46.61)</f>
        <v>46.61</v>
      </c>
      <c r="E4237" s="1">
        <f>IFERROR(__xludf.DUMMYFUNCTION("""COMPUTED_VALUE"""),47.56)</f>
        <v>47.56</v>
      </c>
      <c r="F4237" s="1">
        <f>IFERROR(__xludf.DUMMYFUNCTION("""COMPUTED_VALUE"""),6717272.0)</f>
        <v>6717272</v>
      </c>
    </row>
    <row r="4238">
      <c r="A4238" s="2">
        <f>IFERROR(__xludf.DUMMYFUNCTION("""COMPUTED_VALUE"""),45317.66666666667)</f>
        <v>45317.66667</v>
      </c>
      <c r="B4238" s="1">
        <f>IFERROR(__xludf.DUMMYFUNCTION("""COMPUTED_VALUE"""),46.71)</f>
        <v>46.71</v>
      </c>
      <c r="C4238" s="1">
        <f>IFERROR(__xludf.DUMMYFUNCTION("""COMPUTED_VALUE"""),48.33)</f>
        <v>48.33</v>
      </c>
      <c r="D4238" s="1">
        <f>IFERROR(__xludf.DUMMYFUNCTION("""COMPUTED_VALUE"""),45.97)</f>
        <v>45.97</v>
      </c>
      <c r="E4238" s="1">
        <f>IFERROR(__xludf.DUMMYFUNCTION("""COMPUTED_VALUE"""),47.42)</f>
        <v>47.42</v>
      </c>
      <c r="F4238" s="1">
        <f>IFERROR(__xludf.DUMMYFUNCTION("""COMPUTED_VALUE"""),5035554.0)</f>
        <v>5035554</v>
      </c>
    </row>
    <row r="4239">
      <c r="A4239" s="2">
        <f>IFERROR(__xludf.DUMMYFUNCTION("""COMPUTED_VALUE"""),45320.66666666667)</f>
        <v>45320.66667</v>
      </c>
      <c r="B4239" s="1">
        <f>IFERROR(__xludf.DUMMYFUNCTION("""COMPUTED_VALUE"""),47.57)</f>
        <v>47.57</v>
      </c>
      <c r="C4239" s="1">
        <f>IFERROR(__xludf.DUMMYFUNCTION("""COMPUTED_VALUE"""),49.57)</f>
        <v>49.57</v>
      </c>
      <c r="D4239" s="1">
        <f>IFERROR(__xludf.DUMMYFUNCTION("""COMPUTED_VALUE"""),47.19)</f>
        <v>47.19</v>
      </c>
      <c r="E4239" s="1">
        <f>IFERROR(__xludf.DUMMYFUNCTION("""COMPUTED_VALUE"""),49.57)</f>
        <v>49.57</v>
      </c>
      <c r="F4239" s="1">
        <f>IFERROR(__xludf.DUMMYFUNCTION("""COMPUTED_VALUE"""),1.152512E7)</f>
        <v>11525120</v>
      </c>
    </row>
    <row r="4240">
      <c r="A4240" s="2">
        <f>IFERROR(__xludf.DUMMYFUNCTION("""COMPUTED_VALUE"""),45321.66666666667)</f>
        <v>45321.66667</v>
      </c>
      <c r="B4240" s="1">
        <f>IFERROR(__xludf.DUMMYFUNCTION("""COMPUTED_VALUE"""),54.73)</f>
        <v>54.73</v>
      </c>
      <c r="C4240" s="1">
        <f>IFERROR(__xludf.DUMMYFUNCTION("""COMPUTED_VALUE"""),55.44)</f>
        <v>55.44</v>
      </c>
      <c r="D4240" s="1">
        <f>IFERROR(__xludf.DUMMYFUNCTION("""COMPUTED_VALUE"""),50.12)</f>
        <v>50.12</v>
      </c>
      <c r="E4240" s="1">
        <f>IFERROR(__xludf.DUMMYFUNCTION("""COMPUTED_VALUE"""),51.3)</f>
        <v>51.3</v>
      </c>
      <c r="F4240" s="1">
        <f>IFERROR(__xludf.DUMMYFUNCTION("""COMPUTED_VALUE"""),1.7956424E7)</f>
        <v>17956424</v>
      </c>
    </row>
    <row r="4241">
      <c r="A4241" s="2">
        <f>IFERROR(__xludf.DUMMYFUNCTION("""COMPUTED_VALUE"""),45322.66666666667)</f>
        <v>45322.66667</v>
      </c>
      <c r="B4241" s="1">
        <f>IFERROR(__xludf.DUMMYFUNCTION("""COMPUTED_VALUE"""),50.34)</f>
        <v>50.34</v>
      </c>
      <c r="C4241" s="1">
        <f>IFERROR(__xludf.DUMMYFUNCTION("""COMPUTED_VALUE"""),54.6)</f>
        <v>54.6</v>
      </c>
      <c r="D4241" s="1">
        <f>IFERROR(__xludf.DUMMYFUNCTION("""COMPUTED_VALUE"""),50.33)</f>
        <v>50.33</v>
      </c>
      <c r="E4241" s="1">
        <f>IFERROR(__xludf.DUMMYFUNCTION("""COMPUTED_VALUE"""),52.96)</f>
        <v>52.96</v>
      </c>
      <c r="F4241" s="1">
        <f>IFERROR(__xludf.DUMMYFUNCTION("""COMPUTED_VALUE"""),1.1997282E7)</f>
        <v>11997282</v>
      </c>
    </row>
    <row r="4242">
      <c r="A4242" s="2">
        <f>IFERROR(__xludf.DUMMYFUNCTION("""COMPUTED_VALUE"""),45323.66666666667)</f>
        <v>45323.66667</v>
      </c>
      <c r="B4242" s="1">
        <f>IFERROR(__xludf.DUMMYFUNCTION("""COMPUTED_VALUE"""),54.0)</f>
        <v>54</v>
      </c>
      <c r="C4242" s="1">
        <f>IFERROR(__xludf.DUMMYFUNCTION("""COMPUTED_VALUE"""),58.76)</f>
        <v>58.76</v>
      </c>
      <c r="D4242" s="1">
        <f>IFERROR(__xludf.DUMMYFUNCTION("""COMPUTED_VALUE"""),53.6)</f>
        <v>53.6</v>
      </c>
      <c r="E4242" s="1">
        <f>IFERROR(__xludf.DUMMYFUNCTION("""COMPUTED_VALUE"""),58.35)</f>
        <v>58.35</v>
      </c>
      <c r="F4242" s="1">
        <f>IFERROR(__xludf.DUMMYFUNCTION("""COMPUTED_VALUE"""),1.3609604E7)</f>
        <v>13609604</v>
      </c>
    </row>
    <row r="4243">
      <c r="A4243" s="2">
        <f>IFERROR(__xludf.DUMMYFUNCTION("""COMPUTED_VALUE"""),45324.66666666667)</f>
        <v>45324.66667</v>
      </c>
      <c r="B4243" s="1">
        <f>IFERROR(__xludf.DUMMYFUNCTION("""COMPUTED_VALUE"""),59.25)</f>
        <v>59.25</v>
      </c>
      <c r="C4243" s="1">
        <f>IFERROR(__xludf.DUMMYFUNCTION("""COMPUTED_VALUE"""),60.6)</f>
        <v>60.6</v>
      </c>
      <c r="D4243" s="1">
        <f>IFERROR(__xludf.DUMMYFUNCTION("""COMPUTED_VALUE"""),56.5)</f>
        <v>56.5</v>
      </c>
      <c r="E4243" s="1">
        <f>IFERROR(__xludf.DUMMYFUNCTION("""COMPUTED_VALUE"""),57.96)</f>
        <v>57.96</v>
      </c>
      <c r="F4243" s="1">
        <f>IFERROR(__xludf.DUMMYFUNCTION("""COMPUTED_VALUE"""),1.2189571E7)</f>
        <v>12189571</v>
      </c>
    </row>
    <row r="4244">
      <c r="A4244" s="2">
        <f>IFERROR(__xludf.DUMMYFUNCTION("""COMPUTED_VALUE"""),45327.66666666667)</f>
        <v>45327.66667</v>
      </c>
      <c r="B4244" s="1">
        <f>IFERROR(__xludf.DUMMYFUNCTION("""COMPUTED_VALUE"""),58.99)</f>
        <v>58.99</v>
      </c>
      <c r="C4244" s="1">
        <f>IFERROR(__xludf.DUMMYFUNCTION("""COMPUTED_VALUE"""),67.0)</f>
        <v>67</v>
      </c>
      <c r="D4244" s="1">
        <f>IFERROR(__xludf.DUMMYFUNCTION("""COMPUTED_VALUE"""),58.8)</f>
        <v>58.8</v>
      </c>
      <c r="E4244" s="1">
        <f>IFERROR(__xludf.DUMMYFUNCTION("""COMPUTED_VALUE"""),66.33)</f>
        <v>66.33</v>
      </c>
      <c r="F4244" s="1">
        <f>IFERROR(__xludf.DUMMYFUNCTION("""COMPUTED_VALUE"""),1.7596383E7)</f>
        <v>17596383</v>
      </c>
    </row>
    <row r="4245">
      <c r="A4245" s="2">
        <f>IFERROR(__xludf.DUMMYFUNCTION("""COMPUTED_VALUE"""),45328.66666666667)</f>
        <v>45328.66667</v>
      </c>
      <c r="B4245" s="1">
        <f>IFERROR(__xludf.DUMMYFUNCTION("""COMPUTED_VALUE"""),67.3)</f>
        <v>67.3</v>
      </c>
      <c r="C4245" s="1">
        <f>IFERROR(__xludf.DUMMYFUNCTION("""COMPUTED_VALUE"""),68.6)</f>
        <v>68.6</v>
      </c>
      <c r="D4245" s="1">
        <f>IFERROR(__xludf.DUMMYFUNCTION("""COMPUTED_VALUE"""),62.58)</f>
        <v>62.58</v>
      </c>
      <c r="E4245" s="1">
        <f>IFERROR(__xludf.DUMMYFUNCTION("""COMPUTED_VALUE"""),68.16)</f>
        <v>68.16</v>
      </c>
      <c r="F4245" s="1">
        <f>IFERROR(__xludf.DUMMYFUNCTION("""COMPUTED_VALUE"""),1.8488979E7)</f>
        <v>18488979</v>
      </c>
    </row>
    <row r="4246">
      <c r="A4246" s="2">
        <f>IFERROR(__xludf.DUMMYFUNCTION("""COMPUTED_VALUE"""),45329.66666666667)</f>
        <v>45329.66667</v>
      </c>
      <c r="B4246" s="1">
        <f>IFERROR(__xludf.DUMMYFUNCTION("""COMPUTED_VALUE"""),67.5)</f>
        <v>67.5</v>
      </c>
      <c r="C4246" s="1">
        <f>IFERROR(__xludf.DUMMYFUNCTION("""COMPUTED_VALUE"""),69.98)</f>
        <v>69.98</v>
      </c>
      <c r="D4246" s="1">
        <f>IFERROR(__xludf.DUMMYFUNCTION("""COMPUTED_VALUE"""),66.0)</f>
        <v>66</v>
      </c>
      <c r="E4246" s="1">
        <f>IFERROR(__xludf.DUMMYFUNCTION("""COMPUTED_VALUE"""),68.36)</f>
        <v>68.36</v>
      </c>
      <c r="F4246" s="1">
        <f>IFERROR(__xludf.DUMMYFUNCTION("""COMPUTED_VALUE"""),1.2332979E7)</f>
        <v>12332979</v>
      </c>
    </row>
    <row r="4247">
      <c r="A4247" s="2">
        <f>IFERROR(__xludf.DUMMYFUNCTION("""COMPUTED_VALUE"""),45330.66666666667)</f>
        <v>45330.66667</v>
      </c>
      <c r="B4247" s="1">
        <f>IFERROR(__xludf.DUMMYFUNCTION("""COMPUTED_VALUE"""),67.08)</f>
        <v>67.08</v>
      </c>
      <c r="C4247" s="1">
        <f>IFERROR(__xludf.DUMMYFUNCTION("""COMPUTED_VALUE"""),71.45)</f>
        <v>71.45</v>
      </c>
      <c r="D4247" s="1">
        <f>IFERROR(__xludf.DUMMYFUNCTION("""COMPUTED_VALUE"""),66.61)</f>
        <v>66.61</v>
      </c>
      <c r="E4247" s="1">
        <f>IFERROR(__xludf.DUMMYFUNCTION("""COMPUTED_VALUE"""),69.8)</f>
        <v>69.8</v>
      </c>
      <c r="F4247" s="1">
        <f>IFERROR(__xludf.DUMMYFUNCTION("""COMPUTED_VALUE"""),9413737.0)</f>
        <v>9413737</v>
      </c>
    </row>
    <row r="4248">
      <c r="A4248" s="2">
        <f>IFERROR(__xludf.DUMMYFUNCTION("""COMPUTED_VALUE"""),45331.66666666667)</f>
        <v>45331.66667</v>
      </c>
      <c r="B4248" s="1">
        <f>IFERROR(__xludf.DUMMYFUNCTION("""COMPUTED_VALUE"""),71.01)</f>
        <v>71.01</v>
      </c>
      <c r="C4248" s="1">
        <f>IFERROR(__xludf.DUMMYFUNCTION("""COMPUTED_VALUE"""),74.52)</f>
        <v>74.52</v>
      </c>
      <c r="D4248" s="1">
        <f>IFERROR(__xludf.DUMMYFUNCTION("""COMPUTED_VALUE"""),70.89)</f>
        <v>70.89</v>
      </c>
      <c r="E4248" s="1">
        <f>IFERROR(__xludf.DUMMYFUNCTION("""COMPUTED_VALUE"""),74.03)</f>
        <v>74.03</v>
      </c>
      <c r="F4248" s="1">
        <f>IFERROR(__xludf.DUMMYFUNCTION("""COMPUTED_VALUE"""),1.0834792E7)</f>
        <v>10834792</v>
      </c>
    </row>
    <row r="4249">
      <c r="A4249" s="2">
        <f>IFERROR(__xludf.DUMMYFUNCTION("""COMPUTED_VALUE"""),45334.66666666667)</f>
        <v>45334.66667</v>
      </c>
      <c r="B4249" s="1">
        <f>IFERROR(__xludf.DUMMYFUNCTION("""COMPUTED_VALUE"""),76.13)</f>
        <v>76.13</v>
      </c>
      <c r="C4249" s="1">
        <f>IFERROR(__xludf.DUMMYFUNCTION("""COMPUTED_VALUE"""),81.0)</f>
        <v>81</v>
      </c>
      <c r="D4249" s="1">
        <f>IFERROR(__xludf.DUMMYFUNCTION("""COMPUTED_VALUE"""),74.51)</f>
        <v>74.51</v>
      </c>
      <c r="E4249" s="1">
        <f>IFERROR(__xludf.DUMMYFUNCTION("""COMPUTED_VALUE"""),77.3)</f>
        <v>77.3</v>
      </c>
      <c r="F4249" s="1">
        <f>IFERROR(__xludf.DUMMYFUNCTION("""COMPUTED_VALUE"""),1.6872321E7)</f>
        <v>16872321</v>
      </c>
    </row>
    <row r="4250">
      <c r="A4250" s="2">
        <f>IFERROR(__xludf.DUMMYFUNCTION("""COMPUTED_VALUE"""),45335.66666666667)</f>
        <v>45335.66667</v>
      </c>
      <c r="B4250" s="1">
        <f>IFERROR(__xludf.DUMMYFUNCTION("""COMPUTED_VALUE"""),75.0)</f>
        <v>75</v>
      </c>
      <c r="C4250" s="1">
        <f>IFERROR(__xludf.DUMMYFUNCTION("""COMPUTED_VALUE"""),80.0)</f>
        <v>80</v>
      </c>
      <c r="D4250" s="1">
        <f>IFERROR(__xludf.DUMMYFUNCTION("""COMPUTED_VALUE"""),74.55)</f>
        <v>74.55</v>
      </c>
      <c r="E4250" s="1">
        <f>IFERROR(__xludf.DUMMYFUNCTION("""COMPUTED_VALUE"""),79.15)</f>
        <v>79.15</v>
      </c>
      <c r="F4250" s="1">
        <f>IFERROR(__xludf.DUMMYFUNCTION("""COMPUTED_VALUE"""),1.4480457E7)</f>
        <v>14480457</v>
      </c>
    </row>
    <row r="4251">
      <c r="A4251" s="2">
        <f>IFERROR(__xludf.DUMMYFUNCTION("""COMPUTED_VALUE"""),45336.66666666667)</f>
        <v>45336.66667</v>
      </c>
      <c r="B4251" s="1">
        <f>IFERROR(__xludf.DUMMYFUNCTION("""COMPUTED_VALUE"""),82.33)</f>
        <v>82.33</v>
      </c>
      <c r="C4251" s="1">
        <f>IFERROR(__xludf.DUMMYFUNCTION("""COMPUTED_VALUE"""),88.6)</f>
        <v>88.6</v>
      </c>
      <c r="D4251" s="1">
        <f>IFERROR(__xludf.DUMMYFUNCTION("""COMPUTED_VALUE"""),82.09)</f>
        <v>82.09</v>
      </c>
      <c r="E4251" s="1">
        <f>IFERROR(__xludf.DUMMYFUNCTION("""COMPUTED_VALUE"""),88.06)</f>
        <v>88.06</v>
      </c>
      <c r="F4251" s="1">
        <f>IFERROR(__xludf.DUMMYFUNCTION("""COMPUTED_VALUE"""),2.0128571E7)</f>
        <v>20128571</v>
      </c>
    </row>
    <row r="4252">
      <c r="A4252" s="2">
        <f>IFERROR(__xludf.DUMMYFUNCTION("""COMPUTED_VALUE"""),45337.66666666667)</f>
        <v>45337.66667</v>
      </c>
      <c r="B4252" s="1">
        <f>IFERROR(__xludf.DUMMYFUNCTION("""COMPUTED_VALUE"""),94.5)</f>
        <v>94.5</v>
      </c>
      <c r="C4252" s="1">
        <f>IFERROR(__xludf.DUMMYFUNCTION("""COMPUTED_VALUE"""),100.63)</f>
        <v>100.63</v>
      </c>
      <c r="D4252" s="1">
        <f>IFERROR(__xludf.DUMMYFUNCTION("""COMPUTED_VALUE"""),91.77)</f>
        <v>91.77</v>
      </c>
      <c r="E4252" s="1">
        <f>IFERROR(__xludf.DUMMYFUNCTION("""COMPUTED_VALUE"""),100.4)</f>
        <v>100.4</v>
      </c>
      <c r="F4252" s="1">
        <f>IFERROR(__xludf.DUMMYFUNCTION("""COMPUTED_VALUE"""),2.52406E7)</f>
        <v>25240600</v>
      </c>
    </row>
    <row r="4253">
      <c r="A4253" s="2">
        <f>IFERROR(__xludf.DUMMYFUNCTION("""COMPUTED_VALUE"""),45338.66666666667)</f>
        <v>45338.66667</v>
      </c>
      <c r="B4253" s="1">
        <f>IFERROR(__xludf.DUMMYFUNCTION("""COMPUTED_VALUE"""),104.55)</f>
        <v>104.55</v>
      </c>
      <c r="C4253" s="1">
        <f>IFERROR(__xludf.DUMMYFUNCTION("""COMPUTED_VALUE"""),107.79)</f>
        <v>107.79</v>
      </c>
      <c r="D4253" s="1">
        <f>IFERROR(__xludf.DUMMYFUNCTION("""COMPUTED_VALUE"""),80.11)</f>
        <v>80.11</v>
      </c>
      <c r="E4253" s="1">
        <f>IFERROR(__xludf.DUMMYFUNCTION("""COMPUTED_VALUE"""),80.33)</f>
        <v>80.33</v>
      </c>
      <c r="F4253" s="1">
        <f>IFERROR(__xludf.DUMMYFUNCTION("""COMPUTED_VALUE"""),3.4038342E7)</f>
        <v>34038342</v>
      </c>
    </row>
    <row r="4254">
      <c r="A4254" s="2">
        <f>IFERROR(__xludf.DUMMYFUNCTION("""COMPUTED_VALUE"""),45342.66666666667)</f>
        <v>45342.66667</v>
      </c>
      <c r="B4254" s="1">
        <f>IFERROR(__xludf.DUMMYFUNCTION("""COMPUTED_VALUE"""),79.0)</f>
        <v>79</v>
      </c>
      <c r="C4254" s="1">
        <f>IFERROR(__xludf.DUMMYFUNCTION("""COMPUTED_VALUE"""),80.2)</f>
        <v>80.2</v>
      </c>
      <c r="D4254" s="1">
        <f>IFERROR(__xludf.DUMMYFUNCTION("""COMPUTED_VALUE"""),69.25)</f>
        <v>69.25</v>
      </c>
      <c r="E4254" s="1">
        <f>IFERROR(__xludf.DUMMYFUNCTION("""COMPUTED_VALUE"""),78.76)</f>
        <v>78.76</v>
      </c>
      <c r="F4254" s="1">
        <f>IFERROR(__xludf.DUMMYFUNCTION("""COMPUTED_VALUE"""),2.5412556E7)</f>
        <v>25412556</v>
      </c>
    </row>
    <row r="4255">
      <c r="A4255" s="2">
        <f>IFERROR(__xludf.DUMMYFUNCTION("""COMPUTED_VALUE"""),45343.66666666667)</f>
        <v>45343.66667</v>
      </c>
      <c r="B4255" s="1">
        <f>IFERROR(__xludf.DUMMYFUNCTION("""COMPUTED_VALUE"""),74.97)</f>
        <v>74.97</v>
      </c>
      <c r="C4255" s="1">
        <f>IFERROR(__xludf.DUMMYFUNCTION("""COMPUTED_VALUE"""),77.25)</f>
        <v>77.25</v>
      </c>
      <c r="D4255" s="1">
        <f>IFERROR(__xludf.DUMMYFUNCTION("""COMPUTED_VALUE"""),70.81)</f>
        <v>70.81</v>
      </c>
      <c r="E4255" s="1">
        <f>IFERROR(__xludf.DUMMYFUNCTION("""COMPUTED_VALUE"""),73.42)</f>
        <v>73.42</v>
      </c>
      <c r="F4255" s="1">
        <f>IFERROR(__xludf.DUMMYFUNCTION("""COMPUTED_VALUE"""),1.4962936E7)</f>
        <v>14962936</v>
      </c>
    </row>
    <row r="4256">
      <c r="A4256" s="2">
        <f>IFERROR(__xludf.DUMMYFUNCTION("""COMPUTED_VALUE"""),45344.66666666667)</f>
        <v>45344.66667</v>
      </c>
      <c r="B4256" s="1">
        <f>IFERROR(__xludf.DUMMYFUNCTION("""COMPUTED_VALUE"""),86.5)</f>
        <v>86.5</v>
      </c>
      <c r="C4256" s="1">
        <f>IFERROR(__xludf.DUMMYFUNCTION("""COMPUTED_VALUE"""),100.35)</f>
        <v>100.35</v>
      </c>
      <c r="D4256" s="1">
        <f>IFERROR(__xludf.DUMMYFUNCTION("""COMPUTED_VALUE"""),83.4)</f>
        <v>83.4</v>
      </c>
      <c r="E4256" s="1">
        <f>IFERROR(__xludf.DUMMYFUNCTION("""COMPUTED_VALUE"""),97.55)</f>
        <v>97.55</v>
      </c>
      <c r="F4256" s="1">
        <f>IFERROR(__xludf.DUMMYFUNCTION("""COMPUTED_VALUE"""),2.5372699E7)</f>
        <v>25372699</v>
      </c>
    </row>
    <row r="4257">
      <c r="A4257" s="2">
        <f>IFERROR(__xludf.DUMMYFUNCTION("""COMPUTED_VALUE"""),45345.66666666667)</f>
        <v>45345.66667</v>
      </c>
      <c r="B4257" s="1">
        <f>IFERROR(__xludf.DUMMYFUNCTION("""COMPUTED_VALUE"""),93.82)</f>
        <v>93.82</v>
      </c>
      <c r="C4257" s="1">
        <f>IFERROR(__xludf.DUMMYFUNCTION("""COMPUTED_VALUE"""),99.5)</f>
        <v>99.5</v>
      </c>
      <c r="D4257" s="1">
        <f>IFERROR(__xludf.DUMMYFUNCTION("""COMPUTED_VALUE"""),82.4)</f>
        <v>82.4</v>
      </c>
      <c r="E4257" s="1">
        <f>IFERROR(__xludf.DUMMYFUNCTION("""COMPUTED_VALUE"""),86.0)</f>
        <v>86</v>
      </c>
      <c r="F4257" s="1">
        <f>IFERROR(__xludf.DUMMYFUNCTION("""COMPUTED_VALUE"""),1.9384365E7)</f>
        <v>19384365</v>
      </c>
    </row>
    <row r="4258">
      <c r="A4258" s="2">
        <f>IFERROR(__xludf.DUMMYFUNCTION("""COMPUTED_VALUE"""),45348.66666666667)</f>
        <v>45348.66667</v>
      </c>
      <c r="B4258" s="1">
        <f>IFERROR(__xludf.DUMMYFUNCTION("""COMPUTED_VALUE"""),88.45)</f>
        <v>88.45</v>
      </c>
      <c r="C4258" s="1">
        <f>IFERROR(__xludf.DUMMYFUNCTION("""COMPUTED_VALUE"""),89.6)</f>
        <v>89.6</v>
      </c>
      <c r="D4258" s="1">
        <f>IFERROR(__xludf.DUMMYFUNCTION("""COMPUTED_VALUE"""),83.0)</f>
        <v>83</v>
      </c>
      <c r="E4258" s="1">
        <f>IFERROR(__xludf.DUMMYFUNCTION("""COMPUTED_VALUE"""),87.63)</f>
        <v>87.63</v>
      </c>
      <c r="F4258" s="1">
        <f>IFERROR(__xludf.DUMMYFUNCTION("""COMPUTED_VALUE"""),9607835.0)</f>
        <v>9607835</v>
      </c>
    </row>
    <row r="4259">
      <c r="A4259" s="2">
        <f>IFERROR(__xludf.DUMMYFUNCTION("""COMPUTED_VALUE"""),45349.66666666667)</f>
        <v>45349.66667</v>
      </c>
      <c r="B4259" s="1">
        <f>IFERROR(__xludf.DUMMYFUNCTION("""COMPUTED_VALUE"""),86.29)</f>
        <v>86.29</v>
      </c>
      <c r="C4259" s="1">
        <f>IFERROR(__xludf.DUMMYFUNCTION("""COMPUTED_VALUE"""),86.9)</f>
        <v>86.9</v>
      </c>
      <c r="D4259" s="1">
        <f>IFERROR(__xludf.DUMMYFUNCTION("""COMPUTED_VALUE"""),81.4)</f>
        <v>81.4</v>
      </c>
      <c r="E4259" s="1">
        <f>IFERROR(__xludf.DUMMYFUNCTION("""COMPUTED_VALUE"""),85.11)</f>
        <v>85.11</v>
      </c>
      <c r="F4259" s="1">
        <f>IFERROR(__xludf.DUMMYFUNCTION("""COMPUTED_VALUE"""),6910368.0)</f>
        <v>6910368</v>
      </c>
    </row>
    <row r="4260">
      <c r="A4260" s="2">
        <f>IFERROR(__xludf.DUMMYFUNCTION("""COMPUTED_VALUE"""),45350.66666666667)</f>
        <v>45350.66667</v>
      </c>
      <c r="B4260" s="1">
        <f>IFERROR(__xludf.DUMMYFUNCTION("""COMPUTED_VALUE"""),82.0)</f>
        <v>82</v>
      </c>
      <c r="C4260" s="1">
        <f>IFERROR(__xludf.DUMMYFUNCTION("""COMPUTED_VALUE"""),84.65)</f>
        <v>84.65</v>
      </c>
      <c r="D4260" s="1">
        <f>IFERROR(__xludf.DUMMYFUNCTION("""COMPUTED_VALUE"""),81.2)</f>
        <v>81.2</v>
      </c>
      <c r="E4260" s="1">
        <f>IFERROR(__xludf.DUMMYFUNCTION("""COMPUTED_VALUE"""),81.65)</f>
        <v>81.65</v>
      </c>
      <c r="F4260" s="1">
        <f>IFERROR(__xludf.DUMMYFUNCTION("""COMPUTED_VALUE"""),6032474.0)</f>
        <v>6032474</v>
      </c>
    </row>
    <row r="4261">
      <c r="A4261" s="2">
        <f>IFERROR(__xludf.DUMMYFUNCTION("""COMPUTED_VALUE"""),45351.66666666667)</f>
        <v>45351.66667</v>
      </c>
      <c r="B4261" s="1">
        <f>IFERROR(__xludf.DUMMYFUNCTION("""COMPUTED_VALUE"""),83.9)</f>
        <v>83.9</v>
      </c>
      <c r="C4261" s="1">
        <f>IFERROR(__xludf.DUMMYFUNCTION("""COMPUTED_VALUE"""),89.05)</f>
        <v>89.05</v>
      </c>
      <c r="D4261" s="1">
        <f>IFERROR(__xludf.DUMMYFUNCTION("""COMPUTED_VALUE"""),83.9)</f>
        <v>83.9</v>
      </c>
      <c r="E4261" s="1">
        <f>IFERROR(__xludf.DUMMYFUNCTION("""COMPUTED_VALUE"""),86.61)</f>
        <v>86.61</v>
      </c>
      <c r="F4261" s="1">
        <f>IFERROR(__xludf.DUMMYFUNCTION("""COMPUTED_VALUE"""),8842858.0)</f>
        <v>8842858</v>
      </c>
    </row>
    <row r="4262">
      <c r="A4262" s="2">
        <f>IFERROR(__xludf.DUMMYFUNCTION("""COMPUTED_VALUE"""),45352.66666666667)</f>
        <v>45352.66667</v>
      </c>
      <c r="B4262" s="1">
        <f>IFERROR(__xludf.DUMMYFUNCTION("""COMPUTED_VALUE"""),88.19)</f>
        <v>88.19</v>
      </c>
      <c r="C4262" s="1">
        <f>IFERROR(__xludf.DUMMYFUNCTION("""COMPUTED_VALUE"""),92.7)</f>
        <v>92.7</v>
      </c>
      <c r="D4262" s="1">
        <f>IFERROR(__xludf.DUMMYFUNCTION("""COMPUTED_VALUE"""),88.1)</f>
        <v>88.1</v>
      </c>
      <c r="E4262" s="1">
        <f>IFERROR(__xludf.DUMMYFUNCTION("""COMPUTED_VALUE"""),90.55)</f>
        <v>90.55</v>
      </c>
      <c r="F4262" s="1">
        <f>IFERROR(__xludf.DUMMYFUNCTION("""COMPUTED_VALUE"""),1.0881603E7)</f>
        <v>10881603</v>
      </c>
    </row>
    <row r="4263">
      <c r="A4263" s="2">
        <f>IFERROR(__xludf.DUMMYFUNCTION("""COMPUTED_VALUE"""),45355.66666666667)</f>
        <v>45355.66667</v>
      </c>
      <c r="B4263" s="1">
        <f>IFERROR(__xludf.DUMMYFUNCTION("""COMPUTED_VALUE"""),103.9)</f>
        <v>103.9</v>
      </c>
      <c r="C4263" s="1">
        <f>IFERROR(__xludf.DUMMYFUNCTION("""COMPUTED_VALUE"""),115.5)</f>
        <v>115.5</v>
      </c>
      <c r="D4263" s="1">
        <f>IFERROR(__xludf.DUMMYFUNCTION("""COMPUTED_VALUE"""),102.03)</f>
        <v>102.03</v>
      </c>
      <c r="E4263" s="1">
        <f>IFERROR(__xludf.DUMMYFUNCTION("""COMPUTED_VALUE"""),107.43)</f>
        <v>107.43</v>
      </c>
      <c r="F4263" s="1">
        <f>IFERROR(__xludf.DUMMYFUNCTION("""COMPUTED_VALUE"""),2.0162093E7)</f>
        <v>20162093</v>
      </c>
    </row>
    <row r="4264">
      <c r="A4264" s="2">
        <f>IFERROR(__xludf.DUMMYFUNCTION("""COMPUTED_VALUE"""),45356.66666666667)</f>
        <v>45356.66667</v>
      </c>
      <c r="B4264" s="1">
        <f>IFERROR(__xludf.DUMMYFUNCTION("""COMPUTED_VALUE"""),103.5)</f>
        <v>103.5</v>
      </c>
      <c r="C4264" s="1">
        <f>IFERROR(__xludf.DUMMYFUNCTION("""COMPUTED_VALUE"""),109.75)</f>
        <v>109.75</v>
      </c>
      <c r="D4264" s="1">
        <f>IFERROR(__xludf.DUMMYFUNCTION("""COMPUTED_VALUE"""),97.61)</f>
        <v>97.61</v>
      </c>
      <c r="E4264" s="1">
        <f>IFERROR(__xludf.DUMMYFUNCTION("""COMPUTED_VALUE"""),109.08)</f>
        <v>109.08</v>
      </c>
      <c r="F4264" s="1">
        <f>IFERROR(__xludf.DUMMYFUNCTION("""COMPUTED_VALUE"""),1.33044E7)</f>
        <v>13304400</v>
      </c>
    </row>
    <row r="4265">
      <c r="A4265" s="2">
        <f>IFERROR(__xludf.DUMMYFUNCTION("""COMPUTED_VALUE"""),45357.66666666667)</f>
        <v>45357.66667</v>
      </c>
      <c r="B4265" s="1">
        <f>IFERROR(__xludf.DUMMYFUNCTION("""COMPUTED_VALUE"""),115.8)</f>
        <v>115.8</v>
      </c>
      <c r="C4265" s="1">
        <f>IFERROR(__xludf.DUMMYFUNCTION("""COMPUTED_VALUE"""),116.95)</f>
        <v>116.95</v>
      </c>
      <c r="D4265" s="1">
        <f>IFERROR(__xludf.DUMMYFUNCTION("""COMPUTED_VALUE"""),109.2)</f>
        <v>109.2</v>
      </c>
      <c r="E4265" s="1">
        <f>IFERROR(__xludf.DUMMYFUNCTION("""COMPUTED_VALUE"""),112.47)</f>
        <v>112.47</v>
      </c>
      <c r="F4265" s="1">
        <f>IFERROR(__xludf.DUMMYFUNCTION("""COMPUTED_VALUE"""),1.1893338E7)</f>
        <v>11893338</v>
      </c>
    </row>
    <row r="4266">
      <c r="A4266" s="2">
        <f>IFERROR(__xludf.DUMMYFUNCTION("""COMPUTED_VALUE"""),45358.66666666667)</f>
        <v>45358.66667</v>
      </c>
      <c r="B4266" s="1">
        <f>IFERROR(__xludf.DUMMYFUNCTION("""COMPUTED_VALUE"""),113.3)</f>
        <v>113.3</v>
      </c>
      <c r="C4266" s="1">
        <f>IFERROR(__xludf.DUMMYFUNCTION("""COMPUTED_VALUE"""),116.2)</f>
        <v>116.2</v>
      </c>
      <c r="D4266" s="1">
        <f>IFERROR(__xludf.DUMMYFUNCTION("""COMPUTED_VALUE"""),109.03)</f>
        <v>109.03</v>
      </c>
      <c r="E4266" s="1">
        <f>IFERROR(__xludf.DUMMYFUNCTION("""COMPUTED_VALUE"""),115.98)</f>
        <v>115.98</v>
      </c>
      <c r="F4266" s="1">
        <f>IFERROR(__xludf.DUMMYFUNCTION("""COMPUTED_VALUE"""),8824257.0)</f>
        <v>8824257</v>
      </c>
    </row>
    <row r="4267">
      <c r="A4267" s="2">
        <f>IFERROR(__xludf.DUMMYFUNCTION("""COMPUTED_VALUE"""),45359.66666666667)</f>
        <v>45359.66667</v>
      </c>
      <c r="B4267" s="1">
        <f>IFERROR(__xludf.DUMMYFUNCTION("""COMPUTED_VALUE"""),121.2)</f>
        <v>121.2</v>
      </c>
      <c r="C4267" s="1">
        <f>IFERROR(__xludf.DUMMYFUNCTION("""COMPUTED_VALUE"""),122.9)</f>
        <v>122.9</v>
      </c>
      <c r="D4267" s="1">
        <f>IFERROR(__xludf.DUMMYFUNCTION("""COMPUTED_VALUE"""),109.2)</f>
        <v>109.2</v>
      </c>
      <c r="E4267" s="1">
        <f>IFERROR(__xludf.DUMMYFUNCTION("""COMPUTED_VALUE"""),114.0)</f>
        <v>114</v>
      </c>
      <c r="F4267" s="1">
        <f>IFERROR(__xludf.DUMMYFUNCTION("""COMPUTED_VALUE"""),1.1750598E7)</f>
        <v>11750598</v>
      </c>
    </row>
    <row r="4268">
      <c r="A4268" s="2">
        <f>IFERROR(__xludf.DUMMYFUNCTION("""COMPUTED_VALUE"""),45362.66666666667)</f>
        <v>45362.66667</v>
      </c>
      <c r="B4268" s="1">
        <f>IFERROR(__xludf.DUMMYFUNCTION("""COMPUTED_VALUE"""),110.03)</f>
        <v>110.03</v>
      </c>
      <c r="C4268" s="1">
        <f>IFERROR(__xludf.DUMMYFUNCTION("""COMPUTED_VALUE"""),111.1)</f>
        <v>111.1</v>
      </c>
      <c r="D4268" s="1">
        <f>IFERROR(__xludf.DUMMYFUNCTION("""COMPUTED_VALUE"""),102.5)</f>
        <v>102.5</v>
      </c>
      <c r="E4268" s="1">
        <f>IFERROR(__xludf.DUMMYFUNCTION("""COMPUTED_VALUE"""),108.02)</f>
        <v>108.02</v>
      </c>
      <c r="F4268" s="1">
        <f>IFERROR(__xludf.DUMMYFUNCTION("""COMPUTED_VALUE"""),7115493.0)</f>
        <v>7115493</v>
      </c>
    </row>
    <row r="4269">
      <c r="A4269" s="2">
        <f>IFERROR(__xludf.DUMMYFUNCTION("""COMPUTED_VALUE"""),45363.66666666667)</f>
        <v>45363.66667</v>
      </c>
      <c r="B4269" s="1">
        <f>IFERROR(__xludf.DUMMYFUNCTION("""COMPUTED_VALUE"""),112.43)</f>
        <v>112.43</v>
      </c>
      <c r="C4269" s="1">
        <f>IFERROR(__xludf.DUMMYFUNCTION("""COMPUTED_VALUE"""),116.63)</f>
        <v>116.63</v>
      </c>
      <c r="D4269" s="1">
        <f>IFERROR(__xludf.DUMMYFUNCTION("""COMPUTED_VALUE"""),109.4)</f>
        <v>109.4</v>
      </c>
      <c r="E4269" s="1">
        <f>IFERROR(__xludf.DUMMYFUNCTION("""COMPUTED_VALUE"""),116.3)</f>
        <v>116.3</v>
      </c>
      <c r="F4269" s="1">
        <f>IFERROR(__xludf.DUMMYFUNCTION("""COMPUTED_VALUE"""),6747296.0)</f>
        <v>6747296</v>
      </c>
    </row>
    <row r="4270">
      <c r="A4270" s="2">
        <f>IFERROR(__xludf.DUMMYFUNCTION("""COMPUTED_VALUE"""),45364.66666666667)</f>
        <v>45364.66667</v>
      </c>
      <c r="B4270" s="1">
        <f>IFERROR(__xludf.DUMMYFUNCTION("""COMPUTED_VALUE"""),114.87)</f>
        <v>114.87</v>
      </c>
      <c r="C4270" s="1">
        <f>IFERROR(__xludf.DUMMYFUNCTION("""COMPUTED_VALUE"""),119.8)</f>
        <v>119.8</v>
      </c>
      <c r="D4270" s="1">
        <f>IFERROR(__xludf.DUMMYFUNCTION("""COMPUTED_VALUE"""),112.23)</f>
        <v>112.23</v>
      </c>
      <c r="E4270" s="1">
        <f>IFERROR(__xludf.DUMMYFUNCTION("""COMPUTED_VALUE"""),118.81)</f>
        <v>118.81</v>
      </c>
      <c r="F4270" s="1">
        <f>IFERROR(__xludf.DUMMYFUNCTION("""COMPUTED_VALUE"""),5875960.0)</f>
        <v>5875960</v>
      </c>
    </row>
    <row r="4271">
      <c r="A4271" s="2">
        <f>IFERROR(__xludf.DUMMYFUNCTION("""COMPUTED_VALUE"""),45365.66666666667)</f>
        <v>45365.66667</v>
      </c>
      <c r="B4271" s="1">
        <f>IFERROR(__xludf.DUMMYFUNCTION("""COMPUTED_VALUE"""),117.5)</f>
        <v>117.5</v>
      </c>
      <c r="C4271" s="1">
        <f>IFERROR(__xludf.DUMMYFUNCTION("""COMPUTED_VALUE"""),119.56)</f>
        <v>119.56</v>
      </c>
      <c r="D4271" s="1">
        <f>IFERROR(__xludf.DUMMYFUNCTION("""COMPUTED_VALUE"""),111.05)</f>
        <v>111.05</v>
      </c>
      <c r="E4271" s="1">
        <f>IFERROR(__xludf.DUMMYFUNCTION("""COMPUTED_VALUE"""),113.01)</f>
        <v>113.01</v>
      </c>
      <c r="F4271" s="1">
        <f>IFERROR(__xludf.DUMMYFUNCTION("""COMPUTED_VALUE"""),6244526.0)</f>
        <v>6244526</v>
      </c>
    </row>
    <row r="4272">
      <c r="A4272" s="2">
        <f>IFERROR(__xludf.DUMMYFUNCTION("""COMPUTED_VALUE"""),45366.66666666667)</f>
        <v>45366.66667</v>
      </c>
      <c r="B4272" s="1">
        <f>IFERROR(__xludf.DUMMYFUNCTION("""COMPUTED_VALUE"""),112.35)</f>
        <v>112.35</v>
      </c>
      <c r="C4272" s="1">
        <f>IFERROR(__xludf.DUMMYFUNCTION("""COMPUTED_VALUE"""),113.56)</f>
        <v>113.56</v>
      </c>
      <c r="D4272" s="1">
        <f>IFERROR(__xludf.DUMMYFUNCTION("""COMPUTED_VALUE"""),106.63)</f>
        <v>106.63</v>
      </c>
      <c r="E4272" s="1">
        <f>IFERROR(__xludf.DUMMYFUNCTION("""COMPUTED_VALUE"""),106.88)</f>
        <v>106.88</v>
      </c>
      <c r="F4272" s="1">
        <f>IFERROR(__xludf.DUMMYFUNCTION("""COMPUTED_VALUE"""),1.6964046E7)</f>
        <v>16964046</v>
      </c>
    </row>
    <row r="4273">
      <c r="A4273" s="2">
        <f>IFERROR(__xludf.DUMMYFUNCTION("""COMPUTED_VALUE"""),45369.66666666667)</f>
        <v>45369.66667</v>
      </c>
      <c r="B4273" s="1">
        <f>IFERROR(__xludf.DUMMYFUNCTION("""COMPUTED_VALUE"""),110.7)</f>
        <v>110.7</v>
      </c>
      <c r="C4273" s="1">
        <f>IFERROR(__xludf.DUMMYFUNCTION("""COMPUTED_VALUE"""),114.78)</f>
        <v>114.78</v>
      </c>
      <c r="D4273" s="1">
        <f>IFERROR(__xludf.DUMMYFUNCTION("""COMPUTED_VALUE"""),95.21)</f>
        <v>95.21</v>
      </c>
      <c r="E4273" s="1">
        <f>IFERROR(__xludf.DUMMYFUNCTION("""COMPUTED_VALUE"""),100.07)</f>
        <v>100.07</v>
      </c>
      <c r="F4273" s="1">
        <f>IFERROR(__xludf.DUMMYFUNCTION("""COMPUTED_VALUE"""),1.153072E7)</f>
        <v>11530720</v>
      </c>
    </row>
    <row r="4274">
      <c r="A4274" s="2">
        <f>IFERROR(__xludf.DUMMYFUNCTION("""COMPUTED_VALUE"""),45370.66666666667)</f>
        <v>45370.66667</v>
      </c>
      <c r="B4274" s="1">
        <f>IFERROR(__xludf.DUMMYFUNCTION("""COMPUTED_VALUE"""),88.86)</f>
        <v>88.86</v>
      </c>
      <c r="C4274" s="1">
        <f>IFERROR(__xludf.DUMMYFUNCTION("""COMPUTED_VALUE"""),92.5)</f>
        <v>92.5</v>
      </c>
      <c r="D4274" s="1">
        <f>IFERROR(__xludf.DUMMYFUNCTION("""COMPUTED_VALUE"""),86.3)</f>
        <v>86.3</v>
      </c>
      <c r="E4274" s="1">
        <f>IFERROR(__xludf.DUMMYFUNCTION("""COMPUTED_VALUE"""),91.1)</f>
        <v>91.1</v>
      </c>
      <c r="F4274" s="1">
        <f>IFERROR(__xludf.DUMMYFUNCTION("""COMPUTED_VALUE"""),1.0484363E7)</f>
        <v>10484363</v>
      </c>
    </row>
    <row r="4275">
      <c r="A4275" s="2">
        <f>IFERROR(__xludf.DUMMYFUNCTION("""COMPUTED_VALUE"""),45371.66666666667)</f>
        <v>45371.66667</v>
      </c>
      <c r="B4275" s="1">
        <f>IFERROR(__xludf.DUMMYFUNCTION("""COMPUTED_VALUE"""),90.0)</f>
        <v>90</v>
      </c>
      <c r="C4275" s="1">
        <f>IFERROR(__xludf.DUMMYFUNCTION("""COMPUTED_VALUE"""),90.55)</f>
        <v>90.55</v>
      </c>
      <c r="D4275" s="1">
        <f>IFERROR(__xludf.DUMMYFUNCTION("""COMPUTED_VALUE"""),85.5)</f>
        <v>85.5</v>
      </c>
      <c r="E4275" s="1">
        <f>IFERROR(__xludf.DUMMYFUNCTION("""COMPUTED_VALUE"""),89.65)</f>
        <v>89.65</v>
      </c>
      <c r="F4275" s="1">
        <f>IFERROR(__xludf.DUMMYFUNCTION("""COMPUTED_VALUE"""),7645674.0)</f>
        <v>7645674</v>
      </c>
    </row>
    <row r="4276">
      <c r="A4276" s="2">
        <f>IFERROR(__xludf.DUMMYFUNCTION("""COMPUTED_VALUE"""),45372.66666666667)</f>
        <v>45372.66667</v>
      </c>
      <c r="B4276" s="1">
        <f>IFERROR(__xludf.DUMMYFUNCTION("""COMPUTED_VALUE"""),93.8)</f>
        <v>93.8</v>
      </c>
      <c r="C4276" s="1">
        <f>IFERROR(__xludf.DUMMYFUNCTION("""COMPUTED_VALUE"""),99.44)</f>
        <v>99.44</v>
      </c>
      <c r="D4276" s="1">
        <f>IFERROR(__xludf.DUMMYFUNCTION("""COMPUTED_VALUE"""),90.62)</f>
        <v>90.62</v>
      </c>
      <c r="E4276" s="1">
        <f>IFERROR(__xludf.DUMMYFUNCTION("""COMPUTED_VALUE"""),97.16)</f>
        <v>97.16</v>
      </c>
      <c r="F4276" s="1">
        <f>IFERROR(__xludf.DUMMYFUNCTION("""COMPUTED_VALUE"""),8563013.0)</f>
        <v>8563013</v>
      </c>
    </row>
    <row r="4277">
      <c r="A4277" s="2">
        <f>IFERROR(__xludf.DUMMYFUNCTION("""COMPUTED_VALUE"""),45373.66666666667)</f>
        <v>45373.66667</v>
      </c>
      <c r="B4277" s="1">
        <f>IFERROR(__xludf.DUMMYFUNCTION("""COMPUTED_VALUE"""),95.45)</f>
        <v>95.45</v>
      </c>
      <c r="C4277" s="1">
        <f>IFERROR(__xludf.DUMMYFUNCTION("""COMPUTED_VALUE"""),98.55)</f>
        <v>98.55</v>
      </c>
      <c r="D4277" s="1">
        <f>IFERROR(__xludf.DUMMYFUNCTION("""COMPUTED_VALUE"""),94.72)</f>
        <v>94.72</v>
      </c>
      <c r="E4277" s="1">
        <f>IFERROR(__xludf.DUMMYFUNCTION("""COMPUTED_VALUE"""),97.27)</f>
        <v>97.27</v>
      </c>
      <c r="F4277" s="1">
        <f>IFERROR(__xludf.DUMMYFUNCTION("""COMPUTED_VALUE"""),5069105.0)</f>
        <v>5069105</v>
      </c>
    </row>
    <row r="4278">
      <c r="A4278" s="2">
        <f>IFERROR(__xludf.DUMMYFUNCTION("""COMPUTED_VALUE"""),45376.66666666667)</f>
        <v>45376.66667</v>
      </c>
      <c r="B4278" s="1">
        <f>IFERROR(__xludf.DUMMYFUNCTION("""COMPUTED_VALUE"""),97.28)</f>
        <v>97.28</v>
      </c>
      <c r="C4278" s="1">
        <f>IFERROR(__xludf.DUMMYFUNCTION("""COMPUTED_VALUE"""),107.27)</f>
        <v>107.27</v>
      </c>
      <c r="D4278" s="1">
        <f>IFERROR(__xludf.DUMMYFUNCTION("""COMPUTED_VALUE"""),96.7)</f>
        <v>96.7</v>
      </c>
      <c r="E4278" s="1">
        <f>IFERROR(__xludf.DUMMYFUNCTION("""COMPUTED_VALUE"""),104.28)</f>
        <v>104.28</v>
      </c>
      <c r="F4278" s="1">
        <f>IFERROR(__xludf.DUMMYFUNCTION("""COMPUTED_VALUE"""),7017240.0)</f>
        <v>7017240</v>
      </c>
    </row>
    <row r="4279">
      <c r="A4279" s="2">
        <f>IFERROR(__xludf.DUMMYFUNCTION("""COMPUTED_VALUE"""),45377.66666666667)</f>
        <v>45377.66667</v>
      </c>
      <c r="B4279" s="1">
        <f>IFERROR(__xludf.DUMMYFUNCTION("""COMPUTED_VALUE"""),108.7)</f>
        <v>108.7</v>
      </c>
      <c r="C4279" s="1">
        <f>IFERROR(__xludf.DUMMYFUNCTION("""COMPUTED_VALUE"""),110.61)</f>
        <v>110.61</v>
      </c>
      <c r="D4279" s="1">
        <f>IFERROR(__xludf.DUMMYFUNCTION("""COMPUTED_VALUE"""),102.21)</f>
        <v>102.21</v>
      </c>
      <c r="E4279" s="1">
        <f>IFERROR(__xludf.DUMMYFUNCTION("""COMPUTED_VALUE"""),102.51)</f>
        <v>102.51</v>
      </c>
      <c r="F4279" s="1">
        <f>IFERROR(__xludf.DUMMYFUNCTION("""COMPUTED_VALUE"""),6356346.0)</f>
        <v>6356346</v>
      </c>
    </row>
    <row r="4280">
      <c r="A4280" s="2">
        <f>IFERROR(__xludf.DUMMYFUNCTION("""COMPUTED_VALUE"""),45378.66666666667)</f>
        <v>45378.66667</v>
      </c>
      <c r="B4280" s="1">
        <f>IFERROR(__xludf.DUMMYFUNCTION("""COMPUTED_VALUE"""),104.21)</f>
        <v>104.21</v>
      </c>
      <c r="C4280" s="1">
        <f>IFERROR(__xludf.DUMMYFUNCTION("""COMPUTED_VALUE"""),104.78)</f>
        <v>104.78</v>
      </c>
      <c r="D4280" s="1">
        <f>IFERROR(__xludf.DUMMYFUNCTION("""COMPUTED_VALUE"""),98.63)</f>
        <v>98.63</v>
      </c>
      <c r="E4280" s="1">
        <f>IFERROR(__xludf.DUMMYFUNCTION("""COMPUTED_VALUE"""),102.33)</f>
        <v>102.33</v>
      </c>
      <c r="F4280" s="1">
        <f>IFERROR(__xludf.DUMMYFUNCTION("""COMPUTED_VALUE"""),5257844.0)</f>
        <v>5257844</v>
      </c>
    </row>
    <row r="4281">
      <c r="A4281" s="2">
        <f>IFERROR(__xludf.DUMMYFUNCTION("""COMPUTED_VALUE"""),45379.66666666667)</f>
        <v>45379.66667</v>
      </c>
      <c r="B4281" s="1">
        <f>IFERROR(__xludf.DUMMYFUNCTION("""COMPUTED_VALUE"""),100.86)</f>
        <v>100.86</v>
      </c>
      <c r="C4281" s="1">
        <f>IFERROR(__xludf.DUMMYFUNCTION("""COMPUTED_VALUE"""),103.3)</f>
        <v>103.3</v>
      </c>
      <c r="D4281" s="1">
        <f>IFERROR(__xludf.DUMMYFUNCTION("""COMPUTED_VALUE"""),99.7)</f>
        <v>99.7</v>
      </c>
      <c r="E4281" s="1">
        <f>IFERROR(__xludf.DUMMYFUNCTION("""COMPUTED_VALUE"""),101.0)</f>
        <v>101</v>
      </c>
      <c r="F4281" s="1">
        <f>IFERROR(__xludf.DUMMYFUNCTION("""COMPUTED_VALUE"""),3463092.0)</f>
        <v>3463092</v>
      </c>
    </row>
    <row r="4282">
      <c r="A4282" s="2">
        <f>IFERROR(__xludf.DUMMYFUNCTION("""COMPUTED_VALUE"""),45383.66666666667)</f>
        <v>45383.66667</v>
      </c>
      <c r="B4282" s="1">
        <f>IFERROR(__xludf.DUMMYFUNCTION("""COMPUTED_VALUE"""),101.0)</f>
        <v>101</v>
      </c>
      <c r="C4282" s="1">
        <f>IFERROR(__xludf.DUMMYFUNCTION("""COMPUTED_VALUE"""),106.9)</f>
        <v>106.9</v>
      </c>
      <c r="D4282" s="1">
        <f>IFERROR(__xludf.DUMMYFUNCTION("""COMPUTED_VALUE"""),100.5)</f>
        <v>100.5</v>
      </c>
      <c r="E4282" s="1">
        <f>IFERROR(__xludf.DUMMYFUNCTION("""COMPUTED_VALUE"""),103.72)</f>
        <v>103.72</v>
      </c>
      <c r="F4282" s="1">
        <f>IFERROR(__xludf.DUMMYFUNCTION("""COMPUTED_VALUE"""),5185227.0)</f>
        <v>5185227</v>
      </c>
    </row>
    <row r="4283">
      <c r="A4283" s="2">
        <f>IFERROR(__xludf.DUMMYFUNCTION("""COMPUTED_VALUE"""),45384.66666666667)</f>
        <v>45384.66667</v>
      </c>
      <c r="B4283" s="1">
        <f>IFERROR(__xludf.DUMMYFUNCTION("""COMPUTED_VALUE"""),100.0)</f>
        <v>100</v>
      </c>
      <c r="C4283" s="1">
        <f>IFERROR(__xludf.DUMMYFUNCTION("""COMPUTED_VALUE"""),101.26)</f>
        <v>101.26</v>
      </c>
      <c r="D4283" s="1">
        <f>IFERROR(__xludf.DUMMYFUNCTION("""COMPUTED_VALUE"""),97.51)</f>
        <v>97.51</v>
      </c>
      <c r="E4283" s="1">
        <f>IFERROR(__xludf.DUMMYFUNCTION("""COMPUTED_VALUE"""),100.99)</f>
        <v>100.99</v>
      </c>
      <c r="F4283" s="1">
        <f>IFERROR(__xludf.DUMMYFUNCTION("""COMPUTED_VALUE"""),4230101.0)</f>
        <v>4230101</v>
      </c>
    </row>
    <row r="4284">
      <c r="A4284" s="2">
        <f>IFERROR(__xludf.DUMMYFUNCTION("""COMPUTED_VALUE"""),45385.66666666667)</f>
        <v>45385.66667</v>
      </c>
      <c r="B4284" s="1">
        <f>IFERROR(__xludf.DUMMYFUNCTION("""COMPUTED_VALUE"""),97.5)</f>
        <v>97.5</v>
      </c>
      <c r="C4284" s="1">
        <f>IFERROR(__xludf.DUMMYFUNCTION("""COMPUTED_VALUE"""),104.24)</f>
        <v>104.24</v>
      </c>
      <c r="D4284" s="1">
        <f>IFERROR(__xludf.DUMMYFUNCTION("""COMPUTED_VALUE"""),96.58)</f>
        <v>96.58</v>
      </c>
      <c r="E4284" s="1">
        <f>IFERROR(__xludf.DUMMYFUNCTION("""COMPUTED_VALUE"""),101.56)</f>
        <v>101.56</v>
      </c>
      <c r="F4284" s="1">
        <f>IFERROR(__xludf.DUMMYFUNCTION("""COMPUTED_VALUE"""),6182434.0)</f>
        <v>6182434</v>
      </c>
    </row>
    <row r="4285">
      <c r="A4285" s="2">
        <f>IFERROR(__xludf.DUMMYFUNCTION("""COMPUTED_VALUE"""),45386.66666666667)</f>
        <v>45386.66667</v>
      </c>
      <c r="B4285" s="1">
        <f>IFERROR(__xludf.DUMMYFUNCTION("""COMPUTED_VALUE"""),103.07)</f>
        <v>103.07</v>
      </c>
      <c r="C4285" s="1">
        <f>IFERROR(__xludf.DUMMYFUNCTION("""COMPUTED_VALUE"""),105.72)</f>
        <v>105.72</v>
      </c>
      <c r="D4285" s="1">
        <f>IFERROR(__xludf.DUMMYFUNCTION("""COMPUTED_VALUE"""),95.62)</f>
        <v>95.62</v>
      </c>
      <c r="E4285" s="1">
        <f>IFERROR(__xludf.DUMMYFUNCTION("""COMPUTED_VALUE"""),95.8)</f>
        <v>95.8</v>
      </c>
      <c r="F4285" s="1">
        <f>IFERROR(__xludf.DUMMYFUNCTION("""COMPUTED_VALUE"""),5816629.0)</f>
        <v>5816629</v>
      </c>
    </row>
    <row r="4286">
      <c r="A4286" s="2">
        <f>IFERROR(__xludf.DUMMYFUNCTION("""COMPUTED_VALUE"""),45387.66666666667)</f>
        <v>45387.66667</v>
      </c>
      <c r="B4286" s="1">
        <f>IFERROR(__xludf.DUMMYFUNCTION("""COMPUTED_VALUE"""),96.8)</f>
        <v>96.8</v>
      </c>
      <c r="C4286" s="1">
        <f>IFERROR(__xludf.DUMMYFUNCTION("""COMPUTED_VALUE"""),98.2)</f>
        <v>98.2</v>
      </c>
      <c r="D4286" s="1">
        <f>IFERROR(__xludf.DUMMYFUNCTION("""COMPUTED_VALUE"""),93.2)</f>
        <v>93.2</v>
      </c>
      <c r="E4286" s="1">
        <f>IFERROR(__xludf.DUMMYFUNCTION("""COMPUTED_VALUE"""),94.8)</f>
        <v>94.8</v>
      </c>
      <c r="F4286" s="1">
        <f>IFERROR(__xludf.DUMMYFUNCTION("""COMPUTED_VALUE"""),5344482.0)</f>
        <v>5344482</v>
      </c>
    </row>
    <row r="4287">
      <c r="A4287" s="2">
        <f>IFERROR(__xludf.DUMMYFUNCTION("""COMPUTED_VALUE"""),45390.66666666667)</f>
        <v>45390.66667</v>
      </c>
      <c r="B4287" s="1">
        <f>IFERROR(__xludf.DUMMYFUNCTION("""COMPUTED_VALUE"""),96.25)</f>
        <v>96.25</v>
      </c>
      <c r="C4287" s="1">
        <f>IFERROR(__xludf.DUMMYFUNCTION("""COMPUTED_VALUE"""),96.4)</f>
        <v>96.4</v>
      </c>
      <c r="D4287" s="1">
        <f>IFERROR(__xludf.DUMMYFUNCTION("""COMPUTED_VALUE"""),90.2)</f>
        <v>90.2</v>
      </c>
      <c r="E4287" s="1">
        <f>IFERROR(__xludf.DUMMYFUNCTION("""COMPUTED_VALUE"""),92.85)</f>
        <v>92.85</v>
      </c>
      <c r="F4287" s="1">
        <f>IFERROR(__xludf.DUMMYFUNCTION("""COMPUTED_VALUE"""),4316716.0)</f>
        <v>4316716</v>
      </c>
    </row>
    <row r="4288">
      <c r="A4288" s="2">
        <f>IFERROR(__xludf.DUMMYFUNCTION("""COMPUTED_VALUE"""),45391.66666666667)</f>
        <v>45391.66667</v>
      </c>
      <c r="B4288" s="1">
        <f>IFERROR(__xludf.DUMMYFUNCTION("""COMPUTED_VALUE"""),92.5)</f>
        <v>92.5</v>
      </c>
      <c r="C4288" s="1">
        <f>IFERROR(__xludf.DUMMYFUNCTION("""COMPUTED_VALUE"""),93.72)</f>
        <v>93.72</v>
      </c>
      <c r="D4288" s="1">
        <f>IFERROR(__xludf.DUMMYFUNCTION("""COMPUTED_VALUE"""),88.1)</f>
        <v>88.1</v>
      </c>
      <c r="E4288" s="1">
        <f>IFERROR(__xludf.DUMMYFUNCTION("""COMPUTED_VALUE"""),90.42)</f>
        <v>90.42</v>
      </c>
      <c r="F4288" s="1">
        <f>IFERROR(__xludf.DUMMYFUNCTION("""COMPUTED_VALUE"""),4032227.0)</f>
        <v>4032227</v>
      </c>
    </row>
    <row r="4289">
      <c r="A4289" s="2">
        <f>IFERROR(__xludf.DUMMYFUNCTION("""COMPUTED_VALUE"""),45392.66666666667)</f>
        <v>45392.66667</v>
      </c>
      <c r="B4289" s="1">
        <f>IFERROR(__xludf.DUMMYFUNCTION("""COMPUTED_VALUE"""),87.61)</f>
        <v>87.61</v>
      </c>
      <c r="C4289" s="1">
        <f>IFERROR(__xludf.DUMMYFUNCTION("""COMPUTED_VALUE"""),92.4)</f>
        <v>92.4</v>
      </c>
      <c r="D4289" s="1">
        <f>IFERROR(__xludf.DUMMYFUNCTION("""COMPUTED_VALUE"""),87.11)</f>
        <v>87.11</v>
      </c>
      <c r="E4289" s="1">
        <f>IFERROR(__xludf.DUMMYFUNCTION("""COMPUTED_VALUE"""),90.85)</f>
        <v>90.85</v>
      </c>
      <c r="F4289" s="1">
        <f>IFERROR(__xludf.DUMMYFUNCTION("""COMPUTED_VALUE"""),4137316.0)</f>
        <v>4137316</v>
      </c>
    </row>
    <row r="4290">
      <c r="A4290" s="2">
        <f>IFERROR(__xludf.DUMMYFUNCTION("""COMPUTED_VALUE"""),45393.66666666667)</f>
        <v>45393.66667</v>
      </c>
      <c r="B4290" s="1">
        <f>IFERROR(__xludf.DUMMYFUNCTION("""COMPUTED_VALUE"""),91.2)</f>
        <v>91.2</v>
      </c>
      <c r="C4290" s="1">
        <f>IFERROR(__xludf.DUMMYFUNCTION("""COMPUTED_VALUE"""),94.54)</f>
        <v>94.54</v>
      </c>
      <c r="D4290" s="1">
        <f>IFERROR(__xludf.DUMMYFUNCTION("""COMPUTED_VALUE"""),90.72)</f>
        <v>90.72</v>
      </c>
      <c r="E4290" s="1">
        <f>IFERROR(__xludf.DUMMYFUNCTION("""COMPUTED_VALUE"""),93.73)</f>
        <v>93.73</v>
      </c>
      <c r="F4290" s="1">
        <f>IFERROR(__xludf.DUMMYFUNCTION("""COMPUTED_VALUE"""),3677034.0)</f>
        <v>3677034</v>
      </c>
    </row>
    <row r="4291">
      <c r="A4291" s="2">
        <f>IFERROR(__xludf.DUMMYFUNCTION("""COMPUTED_VALUE"""),45394.66666666667)</f>
        <v>45394.66667</v>
      </c>
      <c r="B4291" s="1">
        <f>IFERROR(__xludf.DUMMYFUNCTION("""COMPUTED_VALUE"""),92.03)</f>
        <v>92.03</v>
      </c>
      <c r="C4291" s="1">
        <f>IFERROR(__xludf.DUMMYFUNCTION("""COMPUTED_VALUE"""),92.5)</f>
        <v>92.5</v>
      </c>
      <c r="D4291" s="1">
        <f>IFERROR(__xludf.DUMMYFUNCTION("""COMPUTED_VALUE"""),89.4)</f>
        <v>89.4</v>
      </c>
      <c r="E4291" s="1">
        <f>IFERROR(__xludf.DUMMYFUNCTION("""COMPUTED_VALUE"""),89.85)</f>
        <v>89.85</v>
      </c>
      <c r="F4291" s="1">
        <f>IFERROR(__xludf.DUMMYFUNCTION("""COMPUTED_VALUE"""),3332228.0)</f>
        <v>3332228</v>
      </c>
    </row>
    <row r="4292">
      <c r="A4292" s="2">
        <f>IFERROR(__xludf.DUMMYFUNCTION("""COMPUTED_VALUE"""),45397.66666666667)</f>
        <v>45397.66667</v>
      </c>
      <c r="B4292" s="1">
        <f>IFERROR(__xludf.DUMMYFUNCTION("""COMPUTED_VALUE"""),91.2)</f>
        <v>91.2</v>
      </c>
      <c r="C4292" s="1">
        <f>IFERROR(__xludf.DUMMYFUNCTION("""COMPUTED_VALUE"""),93.64)</f>
        <v>93.64</v>
      </c>
      <c r="D4292" s="1">
        <f>IFERROR(__xludf.DUMMYFUNCTION("""COMPUTED_VALUE"""),88.11)</f>
        <v>88.11</v>
      </c>
      <c r="E4292" s="1">
        <f>IFERROR(__xludf.DUMMYFUNCTION("""COMPUTED_VALUE"""),88.28)</f>
        <v>88.28</v>
      </c>
      <c r="F4292" s="1">
        <f>IFERROR(__xludf.DUMMYFUNCTION("""COMPUTED_VALUE"""),4201089.0)</f>
        <v>4201089</v>
      </c>
    </row>
    <row r="4293">
      <c r="A4293" s="2">
        <f>IFERROR(__xludf.DUMMYFUNCTION("""COMPUTED_VALUE"""),45398.66666666667)</f>
        <v>45398.66667</v>
      </c>
      <c r="B4293" s="1">
        <f>IFERROR(__xludf.DUMMYFUNCTION("""COMPUTED_VALUE"""),90.13)</f>
        <v>90.13</v>
      </c>
      <c r="C4293" s="1">
        <f>IFERROR(__xludf.DUMMYFUNCTION("""COMPUTED_VALUE"""),98.15)</f>
        <v>98.15</v>
      </c>
      <c r="D4293" s="1">
        <f>IFERROR(__xludf.DUMMYFUNCTION("""COMPUTED_VALUE"""),89.3)</f>
        <v>89.3</v>
      </c>
      <c r="E4293" s="1">
        <f>IFERROR(__xludf.DUMMYFUNCTION("""COMPUTED_VALUE"""),97.63)</f>
        <v>97.63</v>
      </c>
      <c r="F4293" s="1">
        <f>IFERROR(__xludf.DUMMYFUNCTION("""COMPUTED_VALUE"""),7121449.0)</f>
        <v>7121449</v>
      </c>
    </row>
    <row r="4294">
      <c r="A4294" s="2">
        <f>IFERROR(__xludf.DUMMYFUNCTION("""COMPUTED_VALUE"""),45399.66666666667)</f>
        <v>45399.66667</v>
      </c>
      <c r="B4294" s="1">
        <f>IFERROR(__xludf.DUMMYFUNCTION("""COMPUTED_VALUE"""),99.2)</f>
        <v>99.2</v>
      </c>
      <c r="C4294" s="1">
        <f>IFERROR(__xludf.DUMMYFUNCTION("""COMPUTED_VALUE"""),102.03)</f>
        <v>102.03</v>
      </c>
      <c r="D4294" s="1">
        <f>IFERROR(__xludf.DUMMYFUNCTION("""COMPUTED_VALUE"""),94.94)</f>
        <v>94.94</v>
      </c>
      <c r="E4294" s="1">
        <f>IFERROR(__xludf.DUMMYFUNCTION("""COMPUTED_VALUE"""),96.01)</f>
        <v>96.01</v>
      </c>
      <c r="F4294" s="1">
        <f>IFERROR(__xludf.DUMMYFUNCTION("""COMPUTED_VALUE"""),7167459.0)</f>
        <v>7167459</v>
      </c>
    </row>
    <row r="4295">
      <c r="A4295" s="2">
        <f>IFERROR(__xludf.DUMMYFUNCTION("""COMPUTED_VALUE"""),45400.66666666667)</f>
        <v>45400.66667</v>
      </c>
      <c r="B4295" s="1">
        <f>IFERROR(__xludf.DUMMYFUNCTION("""COMPUTED_VALUE"""),96.19)</f>
        <v>96.19</v>
      </c>
      <c r="C4295" s="1">
        <f>IFERROR(__xludf.DUMMYFUNCTION("""COMPUTED_VALUE"""),97.3)</f>
        <v>97.3</v>
      </c>
      <c r="D4295" s="1">
        <f>IFERROR(__xludf.DUMMYFUNCTION("""COMPUTED_VALUE"""),91.75)</f>
        <v>91.75</v>
      </c>
      <c r="E4295" s="1">
        <f>IFERROR(__xludf.DUMMYFUNCTION("""COMPUTED_VALUE"""),92.85)</f>
        <v>92.85</v>
      </c>
      <c r="F4295" s="1">
        <f>IFERROR(__xludf.DUMMYFUNCTION("""COMPUTED_VALUE"""),4300677.0)</f>
        <v>4300677</v>
      </c>
    </row>
    <row r="4296">
      <c r="A4296" s="2">
        <f>IFERROR(__xludf.DUMMYFUNCTION("""COMPUTED_VALUE"""),45401.66666666667)</f>
        <v>45401.66667</v>
      </c>
      <c r="B4296" s="1">
        <f>IFERROR(__xludf.DUMMYFUNCTION("""COMPUTED_VALUE"""),87.1)</f>
        <v>87.1</v>
      </c>
      <c r="C4296" s="1">
        <f>IFERROR(__xludf.DUMMYFUNCTION("""COMPUTED_VALUE"""),89.08)</f>
        <v>89.08</v>
      </c>
      <c r="D4296" s="1">
        <f>IFERROR(__xludf.DUMMYFUNCTION("""COMPUTED_VALUE"""),71.1)</f>
        <v>71.1</v>
      </c>
      <c r="E4296" s="1">
        <f>IFERROR(__xludf.DUMMYFUNCTION("""COMPUTED_VALUE"""),71.36)</f>
        <v>71.36</v>
      </c>
      <c r="F4296" s="1">
        <f>IFERROR(__xludf.DUMMYFUNCTION("""COMPUTED_VALUE"""),1.7238502E7)</f>
        <v>17238502</v>
      </c>
    </row>
    <row r="4297">
      <c r="A4297" s="2">
        <f>IFERROR(__xludf.DUMMYFUNCTION("""COMPUTED_VALUE"""),45404.66666666667)</f>
        <v>45404.66667</v>
      </c>
      <c r="B4297" s="1">
        <f>IFERROR(__xludf.DUMMYFUNCTION("""COMPUTED_VALUE"""),73.19)</f>
        <v>73.19</v>
      </c>
      <c r="C4297" s="1">
        <f>IFERROR(__xludf.DUMMYFUNCTION("""COMPUTED_VALUE"""),73.38)</f>
        <v>73.38</v>
      </c>
      <c r="D4297" s="1">
        <f>IFERROR(__xludf.DUMMYFUNCTION("""COMPUTED_VALUE"""),67.1)</f>
        <v>67.1</v>
      </c>
      <c r="E4297" s="1">
        <f>IFERROR(__xludf.DUMMYFUNCTION("""COMPUTED_VALUE"""),71.7)</f>
        <v>71.7</v>
      </c>
      <c r="F4297" s="1">
        <f>IFERROR(__xludf.DUMMYFUNCTION("""COMPUTED_VALUE"""),9303530.0)</f>
        <v>9303530</v>
      </c>
    </row>
    <row r="4298">
      <c r="A4298" s="2">
        <f>IFERROR(__xludf.DUMMYFUNCTION("""COMPUTED_VALUE"""),45405.66666666667)</f>
        <v>45405.66667</v>
      </c>
      <c r="B4298" s="1">
        <f>IFERROR(__xludf.DUMMYFUNCTION("""COMPUTED_VALUE"""),73.0)</f>
        <v>73</v>
      </c>
      <c r="C4298" s="1">
        <f>IFERROR(__xludf.DUMMYFUNCTION("""COMPUTED_VALUE"""),79.34)</f>
        <v>79.34</v>
      </c>
      <c r="D4298" s="1">
        <f>IFERROR(__xludf.DUMMYFUNCTION("""COMPUTED_VALUE"""),71.41)</f>
        <v>71.41</v>
      </c>
      <c r="E4298" s="1">
        <f>IFERROR(__xludf.DUMMYFUNCTION("""COMPUTED_VALUE"""),76.19)</f>
        <v>76.19</v>
      </c>
      <c r="F4298" s="1">
        <f>IFERROR(__xludf.DUMMYFUNCTION("""COMPUTED_VALUE"""),8342646.0)</f>
        <v>8342646</v>
      </c>
    </row>
    <row r="4299">
      <c r="A4299" s="2">
        <f>IFERROR(__xludf.DUMMYFUNCTION("""COMPUTED_VALUE"""),45406.66666666667)</f>
        <v>45406.66667</v>
      </c>
      <c r="B4299" s="1">
        <f>IFERROR(__xludf.DUMMYFUNCTION("""COMPUTED_VALUE"""),78.9)</f>
        <v>78.9</v>
      </c>
      <c r="C4299" s="1">
        <f>IFERROR(__xludf.DUMMYFUNCTION("""COMPUTED_VALUE"""),80.7)</f>
        <v>80.7</v>
      </c>
      <c r="D4299" s="1">
        <f>IFERROR(__xludf.DUMMYFUNCTION("""COMPUTED_VALUE"""),73.71)</f>
        <v>73.71</v>
      </c>
      <c r="E4299" s="1">
        <f>IFERROR(__xludf.DUMMYFUNCTION("""COMPUTED_VALUE"""),75.47)</f>
        <v>75.47</v>
      </c>
      <c r="F4299" s="1">
        <f>IFERROR(__xludf.DUMMYFUNCTION("""COMPUTED_VALUE"""),6740386.0)</f>
        <v>6740386</v>
      </c>
    </row>
    <row r="4300">
      <c r="A4300" s="2">
        <f>IFERROR(__xludf.DUMMYFUNCTION("""COMPUTED_VALUE"""),45407.66666666667)</f>
        <v>45407.66667</v>
      </c>
      <c r="B4300" s="1">
        <f>IFERROR(__xludf.DUMMYFUNCTION("""COMPUTED_VALUE"""),72.6)</f>
        <v>72.6</v>
      </c>
      <c r="C4300" s="1">
        <f>IFERROR(__xludf.DUMMYFUNCTION("""COMPUTED_VALUE"""),79.69)</f>
        <v>79.69</v>
      </c>
      <c r="D4300" s="1">
        <f>IFERROR(__xludf.DUMMYFUNCTION("""COMPUTED_VALUE"""),72.11)</f>
        <v>72.11</v>
      </c>
      <c r="E4300" s="1">
        <f>IFERROR(__xludf.DUMMYFUNCTION("""COMPUTED_VALUE"""),78.74)</f>
        <v>78.74</v>
      </c>
      <c r="F4300" s="1">
        <f>IFERROR(__xludf.DUMMYFUNCTION("""COMPUTED_VALUE"""),5081683.0)</f>
        <v>5081683</v>
      </c>
    </row>
    <row r="4301">
      <c r="A4301" s="2">
        <f>IFERROR(__xludf.DUMMYFUNCTION("""COMPUTED_VALUE"""),45408.66666666667)</f>
        <v>45408.66667</v>
      </c>
      <c r="B4301" s="1">
        <f>IFERROR(__xludf.DUMMYFUNCTION("""COMPUTED_VALUE"""),79.92)</f>
        <v>79.92</v>
      </c>
      <c r="C4301" s="1">
        <f>IFERROR(__xludf.DUMMYFUNCTION("""COMPUTED_VALUE"""),86.1)</f>
        <v>86.1</v>
      </c>
      <c r="D4301" s="1">
        <f>IFERROR(__xludf.DUMMYFUNCTION("""COMPUTED_VALUE"""),78.81)</f>
        <v>78.81</v>
      </c>
      <c r="E4301" s="1">
        <f>IFERROR(__xludf.DUMMYFUNCTION("""COMPUTED_VALUE"""),85.74)</f>
        <v>85.74</v>
      </c>
      <c r="F4301" s="1">
        <f>IFERROR(__xludf.DUMMYFUNCTION("""COMPUTED_VALUE"""),7068025.0)</f>
        <v>7068025</v>
      </c>
    </row>
    <row r="4302">
      <c r="A4302" s="2">
        <f>IFERROR(__xludf.DUMMYFUNCTION("""COMPUTED_VALUE"""),45411.66666666667)</f>
        <v>45411.66667</v>
      </c>
      <c r="B4302" s="1">
        <f>IFERROR(__xludf.DUMMYFUNCTION("""COMPUTED_VALUE"""),83.9)</f>
        <v>83.9</v>
      </c>
      <c r="C4302" s="1">
        <f>IFERROR(__xludf.DUMMYFUNCTION("""COMPUTED_VALUE"""),89.78)</f>
        <v>89.78</v>
      </c>
      <c r="D4302" s="1">
        <f>IFERROR(__xludf.DUMMYFUNCTION("""COMPUTED_VALUE"""),83.0)</f>
        <v>83</v>
      </c>
      <c r="E4302" s="1">
        <f>IFERROR(__xludf.DUMMYFUNCTION("""COMPUTED_VALUE"""),89.04)</f>
        <v>89.04</v>
      </c>
      <c r="F4302" s="1">
        <f>IFERROR(__xludf.DUMMYFUNCTION("""COMPUTED_VALUE"""),5866306.0)</f>
        <v>5866306</v>
      </c>
    </row>
    <row r="4303">
      <c r="A4303" s="2">
        <f>IFERROR(__xludf.DUMMYFUNCTION("""COMPUTED_VALUE"""),45412.66666666667)</f>
        <v>45412.66667</v>
      </c>
      <c r="B4303" s="1">
        <f>IFERROR(__xludf.DUMMYFUNCTION("""COMPUTED_VALUE"""),87.6)</f>
        <v>87.6</v>
      </c>
      <c r="C4303" s="1">
        <f>IFERROR(__xludf.DUMMYFUNCTION("""COMPUTED_VALUE"""),91.08)</f>
        <v>91.08</v>
      </c>
      <c r="D4303" s="1">
        <f>IFERROR(__xludf.DUMMYFUNCTION("""COMPUTED_VALUE"""),85.11)</f>
        <v>85.11</v>
      </c>
      <c r="E4303" s="1">
        <f>IFERROR(__xludf.DUMMYFUNCTION("""COMPUTED_VALUE"""),85.88)</f>
        <v>85.88</v>
      </c>
      <c r="F4303" s="1">
        <f>IFERROR(__xludf.DUMMYFUNCTION("""COMPUTED_VALUE"""),7369301.0)</f>
        <v>7369301</v>
      </c>
    </row>
    <row r="4304">
      <c r="A4304" s="2">
        <f>IFERROR(__xludf.DUMMYFUNCTION("""COMPUTED_VALUE"""),45413.66666666667)</f>
        <v>45413.66667</v>
      </c>
      <c r="B4304" s="1">
        <f>IFERROR(__xludf.DUMMYFUNCTION("""COMPUTED_VALUE"""),77.74)</f>
        <v>77.74</v>
      </c>
      <c r="C4304" s="1">
        <f>IFERROR(__xludf.DUMMYFUNCTION("""COMPUTED_VALUE"""),78.14)</f>
        <v>78.14</v>
      </c>
      <c r="D4304" s="1">
        <f>IFERROR(__xludf.DUMMYFUNCTION("""COMPUTED_VALUE"""),70.0)</f>
        <v>70</v>
      </c>
      <c r="E4304" s="1">
        <f>IFERROR(__xludf.DUMMYFUNCTION("""COMPUTED_VALUE"""),73.83)</f>
        <v>73.83</v>
      </c>
      <c r="F4304" s="1">
        <f>IFERROR(__xludf.DUMMYFUNCTION("""COMPUTED_VALUE"""),1.3536286E7)</f>
        <v>13536286</v>
      </c>
    </row>
    <row r="4305">
      <c r="A4305" s="2">
        <f>IFERROR(__xludf.DUMMYFUNCTION("""COMPUTED_VALUE"""),45414.66666666667)</f>
        <v>45414.66667</v>
      </c>
      <c r="B4305" s="1">
        <f>IFERROR(__xludf.DUMMYFUNCTION("""COMPUTED_VALUE"""),76.72)</f>
        <v>76.72</v>
      </c>
      <c r="C4305" s="1">
        <f>IFERROR(__xludf.DUMMYFUNCTION("""COMPUTED_VALUE"""),76.82)</f>
        <v>76.82</v>
      </c>
      <c r="D4305" s="1">
        <f>IFERROR(__xludf.DUMMYFUNCTION("""COMPUTED_VALUE"""),70.91)</f>
        <v>70.91</v>
      </c>
      <c r="E4305" s="1">
        <f>IFERROR(__xludf.DUMMYFUNCTION("""COMPUTED_VALUE"""),76.25)</f>
        <v>76.25</v>
      </c>
      <c r="F4305" s="1">
        <f>IFERROR(__xludf.DUMMYFUNCTION("""COMPUTED_VALUE"""),6496180.0)</f>
        <v>6496180</v>
      </c>
    </row>
    <row r="4306">
      <c r="A4306" s="2">
        <f>IFERROR(__xludf.DUMMYFUNCTION("""COMPUTED_VALUE"""),45415.66666666667)</f>
        <v>45415.66667</v>
      </c>
      <c r="B4306" s="1">
        <f>IFERROR(__xludf.DUMMYFUNCTION("""COMPUTED_VALUE"""),77.0)</f>
        <v>77</v>
      </c>
      <c r="C4306" s="1">
        <f>IFERROR(__xludf.DUMMYFUNCTION("""COMPUTED_VALUE"""),80.16)</f>
        <v>80.16</v>
      </c>
      <c r="D4306" s="1">
        <f>IFERROR(__xludf.DUMMYFUNCTION("""COMPUTED_VALUE"""),76.8)</f>
        <v>76.8</v>
      </c>
      <c r="E4306" s="1">
        <f>IFERROR(__xludf.DUMMYFUNCTION("""COMPUTED_VALUE"""),78.27)</f>
        <v>78.27</v>
      </c>
      <c r="F4306" s="1">
        <f>IFERROR(__xludf.DUMMYFUNCTION("""COMPUTED_VALUE"""),5232903.0)</f>
        <v>5232903</v>
      </c>
    </row>
    <row r="4307">
      <c r="A4307" s="2">
        <f>IFERROR(__xludf.DUMMYFUNCTION("""COMPUTED_VALUE"""),45418.66666666667)</f>
        <v>45418.66667</v>
      </c>
      <c r="B4307" s="1">
        <f>IFERROR(__xludf.DUMMYFUNCTION("""COMPUTED_VALUE"""),79.18)</f>
        <v>79.18</v>
      </c>
      <c r="C4307" s="1">
        <f>IFERROR(__xludf.DUMMYFUNCTION("""COMPUTED_VALUE"""),83.31)</f>
        <v>83.31</v>
      </c>
      <c r="D4307" s="1">
        <f>IFERROR(__xludf.DUMMYFUNCTION("""COMPUTED_VALUE"""),78.69)</f>
        <v>78.69</v>
      </c>
      <c r="E4307" s="1">
        <f>IFERROR(__xludf.DUMMYFUNCTION("""COMPUTED_VALUE"""),83.04)</f>
        <v>83.04</v>
      </c>
      <c r="F4307" s="1">
        <f>IFERROR(__xludf.DUMMYFUNCTION("""COMPUTED_VALUE"""),5342834.0)</f>
        <v>5342834</v>
      </c>
    </row>
    <row r="4308">
      <c r="A4308" s="2">
        <f>IFERROR(__xludf.DUMMYFUNCTION("""COMPUTED_VALUE"""),45419.66666666667)</f>
        <v>45419.66667</v>
      </c>
      <c r="B4308" s="1">
        <f>IFERROR(__xludf.DUMMYFUNCTION("""COMPUTED_VALUE"""),81.1)</f>
        <v>81.1</v>
      </c>
      <c r="C4308" s="1">
        <f>IFERROR(__xludf.DUMMYFUNCTION("""COMPUTED_VALUE"""),83.42)</f>
        <v>83.42</v>
      </c>
      <c r="D4308" s="1">
        <f>IFERROR(__xludf.DUMMYFUNCTION("""COMPUTED_VALUE"""),80.63)</f>
        <v>80.63</v>
      </c>
      <c r="E4308" s="1">
        <f>IFERROR(__xludf.DUMMYFUNCTION("""COMPUTED_VALUE"""),81.93)</f>
        <v>81.93</v>
      </c>
      <c r="F4308" s="1">
        <f>IFERROR(__xludf.DUMMYFUNCTION("""COMPUTED_VALUE"""),4079264.0)</f>
        <v>4079264</v>
      </c>
    </row>
    <row r="4309">
      <c r="A4309" s="2">
        <f>IFERROR(__xludf.DUMMYFUNCTION("""COMPUTED_VALUE"""),45420.66666666667)</f>
        <v>45420.66667</v>
      </c>
      <c r="B4309" s="1">
        <f>IFERROR(__xludf.DUMMYFUNCTION("""COMPUTED_VALUE"""),80.24)</f>
        <v>80.24</v>
      </c>
      <c r="C4309" s="1">
        <f>IFERROR(__xludf.DUMMYFUNCTION("""COMPUTED_VALUE"""),84.38)</f>
        <v>84.38</v>
      </c>
      <c r="D4309" s="1">
        <f>IFERROR(__xludf.DUMMYFUNCTION("""COMPUTED_VALUE"""),80.04)</f>
        <v>80.04</v>
      </c>
      <c r="E4309" s="1">
        <f>IFERROR(__xludf.DUMMYFUNCTION("""COMPUTED_VALUE"""),82.26)</f>
        <v>82.26</v>
      </c>
      <c r="F4309" s="1">
        <f>IFERROR(__xludf.DUMMYFUNCTION("""COMPUTED_VALUE"""),3719604.0)</f>
        <v>3719604</v>
      </c>
    </row>
    <row r="4310">
      <c r="A4310" s="2">
        <f>IFERROR(__xludf.DUMMYFUNCTION("""COMPUTED_VALUE"""),45421.66666666667)</f>
        <v>45421.66667</v>
      </c>
      <c r="B4310" s="1">
        <f>IFERROR(__xludf.DUMMYFUNCTION("""COMPUTED_VALUE"""),82.85)</f>
        <v>82.85</v>
      </c>
      <c r="C4310" s="1">
        <f>IFERROR(__xludf.DUMMYFUNCTION("""COMPUTED_VALUE"""),83.09)</f>
        <v>83.09</v>
      </c>
      <c r="D4310" s="1">
        <f>IFERROR(__xludf.DUMMYFUNCTION("""COMPUTED_VALUE"""),79.05)</f>
        <v>79.05</v>
      </c>
      <c r="E4310" s="1">
        <f>IFERROR(__xludf.DUMMYFUNCTION("""COMPUTED_VALUE"""),79.97)</f>
        <v>79.97</v>
      </c>
      <c r="F4310" s="1">
        <f>IFERROR(__xludf.DUMMYFUNCTION("""COMPUTED_VALUE"""),3882079.0)</f>
        <v>3882079</v>
      </c>
    </row>
    <row r="4311">
      <c r="A4311" s="2">
        <f>IFERROR(__xludf.DUMMYFUNCTION("""COMPUTED_VALUE"""),45422.66666666667)</f>
        <v>45422.66667</v>
      </c>
      <c r="B4311" s="1">
        <f>IFERROR(__xludf.DUMMYFUNCTION("""COMPUTED_VALUE"""),81.74)</f>
        <v>81.74</v>
      </c>
      <c r="C4311" s="1">
        <f>IFERROR(__xludf.DUMMYFUNCTION("""COMPUTED_VALUE"""),83.34)</f>
        <v>83.34</v>
      </c>
      <c r="D4311" s="1">
        <f>IFERROR(__xludf.DUMMYFUNCTION("""COMPUTED_VALUE"""),79.33)</f>
        <v>79.33</v>
      </c>
      <c r="E4311" s="1">
        <f>IFERROR(__xludf.DUMMYFUNCTION("""COMPUTED_VALUE"""),79.85)</f>
        <v>79.85</v>
      </c>
      <c r="F4311" s="1">
        <f>IFERROR(__xludf.DUMMYFUNCTION("""COMPUTED_VALUE"""),3791338.0)</f>
        <v>3791338</v>
      </c>
    </row>
    <row r="4312">
      <c r="A4312" s="2">
        <f>IFERROR(__xludf.DUMMYFUNCTION("""COMPUTED_VALUE"""),45425.66666666667)</f>
        <v>45425.66667</v>
      </c>
      <c r="B4312" s="1">
        <f>IFERROR(__xludf.DUMMYFUNCTION("""COMPUTED_VALUE"""),81.08)</f>
        <v>81.08</v>
      </c>
      <c r="C4312" s="1">
        <f>IFERROR(__xludf.DUMMYFUNCTION("""COMPUTED_VALUE"""),81.2)</f>
        <v>81.2</v>
      </c>
      <c r="D4312" s="1">
        <f>IFERROR(__xludf.DUMMYFUNCTION("""COMPUTED_VALUE"""),76.26)</f>
        <v>76.26</v>
      </c>
      <c r="E4312" s="1">
        <f>IFERROR(__xludf.DUMMYFUNCTION("""COMPUTED_VALUE"""),78.28)</f>
        <v>78.28</v>
      </c>
      <c r="F4312" s="1">
        <f>IFERROR(__xludf.DUMMYFUNCTION("""COMPUTED_VALUE"""),2814702.0)</f>
        <v>2814702</v>
      </c>
    </row>
    <row r="4313">
      <c r="A4313" s="2">
        <f>IFERROR(__xludf.DUMMYFUNCTION("""COMPUTED_VALUE"""),45426.66666666667)</f>
        <v>45426.66667</v>
      </c>
      <c r="B4313" s="1">
        <f>IFERROR(__xludf.DUMMYFUNCTION("""COMPUTED_VALUE"""),77.5)</f>
        <v>77.5</v>
      </c>
      <c r="C4313" s="1">
        <f>IFERROR(__xludf.DUMMYFUNCTION("""COMPUTED_VALUE"""),82.92)</f>
        <v>82.92</v>
      </c>
      <c r="D4313" s="1">
        <f>IFERROR(__xludf.DUMMYFUNCTION("""COMPUTED_VALUE"""),76.68)</f>
        <v>76.68</v>
      </c>
      <c r="E4313" s="1">
        <f>IFERROR(__xludf.DUMMYFUNCTION("""COMPUTED_VALUE"""),82.24)</f>
        <v>82.24</v>
      </c>
      <c r="F4313" s="1">
        <f>IFERROR(__xludf.DUMMYFUNCTION("""COMPUTED_VALUE"""),4996223.0)</f>
        <v>4996223</v>
      </c>
    </row>
    <row r="4314">
      <c r="A4314" s="2">
        <f>IFERROR(__xludf.DUMMYFUNCTION("""COMPUTED_VALUE"""),45427.66666666667)</f>
        <v>45427.66667</v>
      </c>
      <c r="B4314" s="1">
        <f>IFERROR(__xludf.DUMMYFUNCTION("""COMPUTED_VALUE"""),84.4)</f>
        <v>84.4</v>
      </c>
      <c r="C4314" s="1">
        <f>IFERROR(__xludf.DUMMYFUNCTION("""COMPUTED_VALUE"""),95.45)</f>
        <v>95.45</v>
      </c>
      <c r="D4314" s="1">
        <f>IFERROR(__xludf.DUMMYFUNCTION("""COMPUTED_VALUE"""),83.53)</f>
        <v>83.53</v>
      </c>
      <c r="E4314" s="1">
        <f>IFERROR(__xludf.DUMMYFUNCTION("""COMPUTED_VALUE"""),95.24)</f>
        <v>95.24</v>
      </c>
      <c r="F4314" s="1">
        <f>IFERROR(__xludf.DUMMYFUNCTION("""COMPUTED_VALUE"""),9752896.0)</f>
        <v>9752896</v>
      </c>
    </row>
    <row r="4315">
      <c r="A4315" s="2">
        <f>IFERROR(__xludf.DUMMYFUNCTION("""COMPUTED_VALUE"""),45428.66666666667)</f>
        <v>45428.66667</v>
      </c>
      <c r="B4315" s="1">
        <f>IFERROR(__xludf.DUMMYFUNCTION("""COMPUTED_VALUE"""),92.4)</f>
        <v>92.4</v>
      </c>
      <c r="C4315" s="1">
        <f>IFERROR(__xludf.DUMMYFUNCTION("""COMPUTED_VALUE"""),97.1)</f>
        <v>97.1</v>
      </c>
      <c r="D4315" s="1">
        <f>IFERROR(__xludf.DUMMYFUNCTION("""COMPUTED_VALUE"""),90.1)</f>
        <v>90.1</v>
      </c>
      <c r="E4315" s="1">
        <f>IFERROR(__xludf.DUMMYFUNCTION("""COMPUTED_VALUE"""),90.44)</f>
        <v>90.44</v>
      </c>
      <c r="F4315" s="1">
        <f>IFERROR(__xludf.DUMMYFUNCTION("""COMPUTED_VALUE"""),7009847.0)</f>
        <v>7009847</v>
      </c>
    </row>
    <row r="4316">
      <c r="A4316" s="2">
        <f>IFERROR(__xludf.DUMMYFUNCTION("""COMPUTED_VALUE"""),45429.66666666667)</f>
        <v>45429.66667</v>
      </c>
      <c r="B4316" s="1">
        <f>IFERROR(__xludf.DUMMYFUNCTION("""COMPUTED_VALUE"""),92.52)</f>
        <v>92.52</v>
      </c>
      <c r="C4316" s="1">
        <f>IFERROR(__xludf.DUMMYFUNCTION("""COMPUTED_VALUE"""),93.2)</f>
        <v>93.2</v>
      </c>
      <c r="D4316" s="1">
        <f>IFERROR(__xludf.DUMMYFUNCTION("""COMPUTED_VALUE"""),87.8)</f>
        <v>87.8</v>
      </c>
      <c r="E4316" s="1">
        <f>IFERROR(__xludf.DUMMYFUNCTION("""COMPUTED_VALUE"""),88.79)</f>
        <v>88.79</v>
      </c>
      <c r="F4316" s="1">
        <f>IFERROR(__xludf.DUMMYFUNCTION("""COMPUTED_VALUE"""),5192367.0)</f>
        <v>5192367</v>
      </c>
    </row>
    <row r="4317">
      <c r="A4317" s="2">
        <f>IFERROR(__xludf.DUMMYFUNCTION("""COMPUTED_VALUE"""),45432.66666666667)</f>
        <v>45432.66667</v>
      </c>
      <c r="B4317" s="1">
        <f>IFERROR(__xludf.DUMMYFUNCTION("""COMPUTED_VALUE"""),90.2)</f>
        <v>90.2</v>
      </c>
      <c r="C4317" s="1">
        <f>IFERROR(__xludf.DUMMYFUNCTION("""COMPUTED_VALUE"""),92.53)</f>
        <v>92.53</v>
      </c>
      <c r="D4317" s="1">
        <f>IFERROR(__xludf.DUMMYFUNCTION("""COMPUTED_VALUE"""),87.01)</f>
        <v>87.01</v>
      </c>
      <c r="E4317" s="1">
        <f>IFERROR(__xludf.DUMMYFUNCTION("""COMPUTED_VALUE"""),90.39)</f>
        <v>90.39</v>
      </c>
      <c r="F4317" s="1">
        <f>IFERROR(__xludf.DUMMYFUNCTION("""COMPUTED_VALUE"""),5363130.0)</f>
        <v>5363130</v>
      </c>
    </row>
    <row r="4318">
      <c r="A4318" s="2">
        <f>IFERROR(__xludf.DUMMYFUNCTION("""COMPUTED_VALUE"""),45433.66666666667)</f>
        <v>45433.66667</v>
      </c>
      <c r="B4318" s="1">
        <f>IFERROR(__xludf.DUMMYFUNCTION("""COMPUTED_VALUE"""),88.9)</f>
        <v>88.9</v>
      </c>
      <c r="C4318" s="1">
        <f>IFERROR(__xludf.DUMMYFUNCTION("""COMPUTED_VALUE"""),93.99)</f>
        <v>93.99</v>
      </c>
      <c r="D4318" s="1">
        <f>IFERROR(__xludf.DUMMYFUNCTION("""COMPUTED_VALUE"""),87.78)</f>
        <v>87.78</v>
      </c>
      <c r="E4318" s="1">
        <f>IFERROR(__xludf.DUMMYFUNCTION("""COMPUTED_VALUE"""),89.9)</f>
        <v>89.9</v>
      </c>
      <c r="F4318" s="1">
        <f>IFERROR(__xludf.DUMMYFUNCTION("""COMPUTED_VALUE"""),5918834.0)</f>
        <v>5918834</v>
      </c>
    </row>
    <row r="4319">
      <c r="A4319" s="2">
        <f>IFERROR(__xludf.DUMMYFUNCTION("""COMPUTED_VALUE"""),45434.66666666667)</f>
        <v>45434.66667</v>
      </c>
      <c r="B4319" s="1">
        <f>IFERROR(__xludf.DUMMYFUNCTION("""COMPUTED_VALUE"""),91.01)</f>
        <v>91.01</v>
      </c>
      <c r="C4319" s="1">
        <f>IFERROR(__xludf.DUMMYFUNCTION("""COMPUTED_VALUE"""),91.17)</f>
        <v>91.17</v>
      </c>
      <c r="D4319" s="1">
        <f>IFERROR(__xludf.DUMMYFUNCTION("""COMPUTED_VALUE"""),86.25)</f>
        <v>86.25</v>
      </c>
      <c r="E4319" s="1">
        <f>IFERROR(__xludf.DUMMYFUNCTION("""COMPUTED_VALUE"""),87.33)</f>
        <v>87.33</v>
      </c>
      <c r="F4319" s="1">
        <f>IFERROR(__xludf.DUMMYFUNCTION("""COMPUTED_VALUE"""),5632225.0)</f>
        <v>5632225</v>
      </c>
    </row>
    <row r="4320">
      <c r="A4320" s="2">
        <f>IFERROR(__xludf.DUMMYFUNCTION("""COMPUTED_VALUE"""),45435.66666666667)</f>
        <v>45435.66667</v>
      </c>
      <c r="B4320" s="1">
        <f>IFERROR(__xludf.DUMMYFUNCTION("""COMPUTED_VALUE"""),93.45)</f>
        <v>93.45</v>
      </c>
      <c r="C4320" s="1">
        <f>IFERROR(__xludf.DUMMYFUNCTION("""COMPUTED_VALUE"""),97.23)</f>
        <v>97.23</v>
      </c>
      <c r="D4320" s="1">
        <f>IFERROR(__xludf.DUMMYFUNCTION("""COMPUTED_VALUE"""),83.57)</f>
        <v>83.57</v>
      </c>
      <c r="E4320" s="1">
        <f>IFERROR(__xludf.DUMMYFUNCTION("""COMPUTED_VALUE"""),84.74)</f>
        <v>84.74</v>
      </c>
      <c r="F4320" s="1">
        <f>IFERROR(__xludf.DUMMYFUNCTION("""COMPUTED_VALUE"""),1.1460231E7)</f>
        <v>11460231</v>
      </c>
    </row>
    <row r="4321">
      <c r="A4321" s="2">
        <f>IFERROR(__xludf.DUMMYFUNCTION("""COMPUTED_VALUE"""),45436.66666666667)</f>
        <v>45436.66667</v>
      </c>
      <c r="B4321" s="1">
        <f>IFERROR(__xludf.DUMMYFUNCTION("""COMPUTED_VALUE"""),85.8)</f>
        <v>85.8</v>
      </c>
      <c r="C4321" s="1">
        <f>IFERROR(__xludf.DUMMYFUNCTION("""COMPUTED_VALUE"""),89.92)</f>
        <v>89.92</v>
      </c>
      <c r="D4321" s="1">
        <f>IFERROR(__xludf.DUMMYFUNCTION("""COMPUTED_VALUE"""),83.86)</f>
        <v>83.86</v>
      </c>
      <c r="E4321" s="1">
        <f>IFERROR(__xludf.DUMMYFUNCTION("""COMPUTED_VALUE"""),88.39)</f>
        <v>88.39</v>
      </c>
      <c r="F4321" s="1">
        <f>IFERROR(__xludf.DUMMYFUNCTION("""COMPUTED_VALUE"""),6850442.0)</f>
        <v>6850442</v>
      </c>
    </row>
    <row r="4322">
      <c r="A4322" s="2">
        <f>IFERROR(__xludf.DUMMYFUNCTION("""COMPUTED_VALUE"""),45440.66666666667)</f>
        <v>45440.66667</v>
      </c>
      <c r="B4322" s="1">
        <f>IFERROR(__xludf.DUMMYFUNCTION("""COMPUTED_VALUE"""),89.9)</f>
        <v>89.9</v>
      </c>
      <c r="C4322" s="1">
        <f>IFERROR(__xludf.DUMMYFUNCTION("""COMPUTED_VALUE"""),90.97)</f>
        <v>90.97</v>
      </c>
      <c r="D4322" s="1">
        <f>IFERROR(__xludf.DUMMYFUNCTION("""COMPUTED_VALUE"""),86.5)</f>
        <v>86.5</v>
      </c>
      <c r="E4322" s="1">
        <f>IFERROR(__xludf.DUMMYFUNCTION("""COMPUTED_VALUE"""),87.47)</f>
        <v>87.47</v>
      </c>
      <c r="F4322" s="1">
        <f>IFERROR(__xludf.DUMMYFUNCTION("""COMPUTED_VALUE"""),6235137.0)</f>
        <v>6235137</v>
      </c>
    </row>
    <row r="4323">
      <c r="A4323" s="2">
        <f>IFERROR(__xludf.DUMMYFUNCTION("""COMPUTED_VALUE"""),45441.66666666667)</f>
        <v>45441.66667</v>
      </c>
      <c r="B4323" s="1">
        <f>IFERROR(__xludf.DUMMYFUNCTION("""COMPUTED_VALUE"""),85.86)</f>
        <v>85.86</v>
      </c>
      <c r="C4323" s="1">
        <f>IFERROR(__xludf.DUMMYFUNCTION("""COMPUTED_VALUE"""),86.38)</f>
        <v>86.38</v>
      </c>
      <c r="D4323" s="1">
        <f>IFERROR(__xludf.DUMMYFUNCTION("""COMPUTED_VALUE"""),82.71)</f>
        <v>82.71</v>
      </c>
      <c r="E4323" s="1">
        <f>IFERROR(__xludf.DUMMYFUNCTION("""COMPUTED_VALUE"""),83.97)</f>
        <v>83.97</v>
      </c>
      <c r="F4323" s="1">
        <f>IFERROR(__xludf.DUMMYFUNCTION("""COMPUTED_VALUE"""),4932341.0)</f>
        <v>4932341</v>
      </c>
    </row>
    <row r="4324">
      <c r="A4324" s="2">
        <f>IFERROR(__xludf.DUMMYFUNCTION("""COMPUTED_VALUE"""),45442.66666666667)</f>
        <v>45442.66667</v>
      </c>
      <c r="B4324" s="1">
        <f>IFERROR(__xludf.DUMMYFUNCTION("""COMPUTED_VALUE"""),83.2)</f>
        <v>83.2</v>
      </c>
      <c r="C4324" s="1">
        <f>IFERROR(__xludf.DUMMYFUNCTION("""COMPUTED_VALUE"""),84.52)</f>
        <v>84.52</v>
      </c>
      <c r="D4324" s="1">
        <f>IFERROR(__xludf.DUMMYFUNCTION("""COMPUTED_VALUE"""),81.52)</f>
        <v>81.52</v>
      </c>
      <c r="E4324" s="1">
        <f>IFERROR(__xludf.DUMMYFUNCTION("""COMPUTED_VALUE"""),82.79)</f>
        <v>82.79</v>
      </c>
      <c r="F4324" s="1">
        <f>IFERROR(__xludf.DUMMYFUNCTION("""COMPUTED_VALUE"""),4747575.0)</f>
        <v>4747575</v>
      </c>
    </row>
    <row r="4325">
      <c r="A4325" s="2">
        <f>IFERROR(__xludf.DUMMYFUNCTION("""COMPUTED_VALUE"""),45443.66666666667)</f>
        <v>45443.66667</v>
      </c>
      <c r="B4325" s="1">
        <f>IFERROR(__xludf.DUMMYFUNCTION("""COMPUTED_VALUE"""),81.6)</f>
        <v>81.6</v>
      </c>
      <c r="C4325" s="1">
        <f>IFERROR(__xludf.DUMMYFUNCTION("""COMPUTED_VALUE"""),81.97)</f>
        <v>81.97</v>
      </c>
      <c r="D4325" s="1">
        <f>IFERROR(__xludf.DUMMYFUNCTION("""COMPUTED_VALUE"""),76.0)</f>
        <v>76</v>
      </c>
      <c r="E4325" s="1">
        <f>IFERROR(__xludf.DUMMYFUNCTION("""COMPUTED_VALUE"""),78.45)</f>
        <v>78.45</v>
      </c>
      <c r="F4325" s="1">
        <f>IFERROR(__xludf.DUMMYFUNCTION("""COMPUTED_VALUE"""),7407978.0)</f>
        <v>7407978</v>
      </c>
    </row>
    <row r="4326">
      <c r="A4326" s="2">
        <f>IFERROR(__xludf.DUMMYFUNCTION("""COMPUTED_VALUE"""),45446.66666666667)</f>
        <v>45446.66667</v>
      </c>
      <c r="B4326" s="1">
        <f>IFERROR(__xludf.DUMMYFUNCTION("""COMPUTED_VALUE"""),80.2)</f>
        <v>80.2</v>
      </c>
      <c r="C4326" s="1">
        <f>IFERROR(__xludf.DUMMYFUNCTION("""COMPUTED_VALUE"""),80.61)</f>
        <v>80.61</v>
      </c>
      <c r="D4326" s="1">
        <f>IFERROR(__xludf.DUMMYFUNCTION("""COMPUTED_VALUE"""),74.12)</f>
        <v>74.12</v>
      </c>
      <c r="E4326" s="1">
        <f>IFERROR(__xludf.DUMMYFUNCTION("""COMPUTED_VALUE"""),77.06)</f>
        <v>77.06</v>
      </c>
      <c r="F4326" s="1">
        <f>IFERROR(__xludf.DUMMYFUNCTION("""COMPUTED_VALUE"""),6155758.0)</f>
        <v>6155758</v>
      </c>
    </row>
    <row r="4327">
      <c r="A4327" s="2">
        <f>IFERROR(__xludf.DUMMYFUNCTION("""COMPUTED_VALUE"""),45447.66666666667)</f>
        <v>45447.66667</v>
      </c>
      <c r="B4327" s="1">
        <f>IFERROR(__xludf.DUMMYFUNCTION("""COMPUTED_VALUE"""),75.9)</f>
        <v>75.9</v>
      </c>
      <c r="C4327" s="1">
        <f>IFERROR(__xludf.DUMMYFUNCTION("""COMPUTED_VALUE"""),78.07)</f>
        <v>78.07</v>
      </c>
      <c r="D4327" s="1">
        <f>IFERROR(__xludf.DUMMYFUNCTION("""COMPUTED_VALUE"""),75.4)</f>
        <v>75.4</v>
      </c>
      <c r="E4327" s="1">
        <f>IFERROR(__xludf.DUMMYFUNCTION("""COMPUTED_VALUE"""),77.16)</f>
        <v>77.16</v>
      </c>
      <c r="F4327" s="1">
        <f>IFERROR(__xludf.DUMMYFUNCTION("""COMPUTED_VALUE"""),4078258.0)</f>
        <v>4078258</v>
      </c>
    </row>
    <row r="4328">
      <c r="A4328" s="2">
        <f>IFERROR(__xludf.DUMMYFUNCTION("""COMPUTED_VALUE"""),45448.66666666667)</f>
        <v>45448.66667</v>
      </c>
      <c r="B4328" s="1">
        <f>IFERROR(__xludf.DUMMYFUNCTION("""COMPUTED_VALUE"""),79.5)</f>
        <v>79.5</v>
      </c>
      <c r="C4328" s="1">
        <f>IFERROR(__xludf.DUMMYFUNCTION("""COMPUTED_VALUE"""),82.25)</f>
        <v>82.25</v>
      </c>
      <c r="D4328" s="1">
        <f>IFERROR(__xludf.DUMMYFUNCTION("""COMPUTED_VALUE"""),78.02)</f>
        <v>78.02</v>
      </c>
      <c r="E4328" s="1">
        <f>IFERROR(__xludf.DUMMYFUNCTION("""COMPUTED_VALUE"""),80.25)</f>
        <v>80.25</v>
      </c>
      <c r="F4328" s="1">
        <f>IFERROR(__xludf.DUMMYFUNCTION("""COMPUTED_VALUE"""),6307489.0)</f>
        <v>6307489</v>
      </c>
    </row>
    <row r="4329">
      <c r="A4329" s="2">
        <f>IFERROR(__xludf.DUMMYFUNCTION("""COMPUTED_VALUE"""),45449.66666666667)</f>
        <v>45449.66667</v>
      </c>
      <c r="B4329" s="1">
        <f>IFERROR(__xludf.DUMMYFUNCTION("""COMPUTED_VALUE"""),80.5)</f>
        <v>80.5</v>
      </c>
      <c r="C4329" s="1">
        <f>IFERROR(__xludf.DUMMYFUNCTION("""COMPUTED_VALUE"""),80.8)</f>
        <v>80.8</v>
      </c>
      <c r="D4329" s="1">
        <f>IFERROR(__xludf.DUMMYFUNCTION("""COMPUTED_VALUE"""),75.56)</f>
        <v>75.56</v>
      </c>
      <c r="E4329" s="1">
        <f>IFERROR(__xludf.DUMMYFUNCTION("""COMPUTED_VALUE"""),77.79)</f>
        <v>77.79</v>
      </c>
      <c r="F4329" s="1">
        <f>IFERROR(__xludf.DUMMYFUNCTION("""COMPUTED_VALUE"""),5033935.0)</f>
        <v>5033935</v>
      </c>
    </row>
    <row r="4330">
      <c r="A4330" s="2">
        <f>IFERROR(__xludf.DUMMYFUNCTION("""COMPUTED_VALUE"""),45450.66666666667)</f>
        <v>45450.66667</v>
      </c>
      <c r="B4330" s="1">
        <f>IFERROR(__xludf.DUMMYFUNCTION("""COMPUTED_VALUE"""),76.36)</f>
        <v>76.36</v>
      </c>
      <c r="C4330" s="1">
        <f>IFERROR(__xludf.DUMMYFUNCTION("""COMPUTED_VALUE"""),78.29)</f>
        <v>78.29</v>
      </c>
      <c r="D4330" s="1">
        <f>IFERROR(__xludf.DUMMYFUNCTION("""COMPUTED_VALUE"""),75.85)</f>
        <v>75.85</v>
      </c>
      <c r="E4330" s="1">
        <f>IFERROR(__xludf.DUMMYFUNCTION("""COMPUTED_VALUE"""),76.91)</f>
        <v>76.91</v>
      </c>
      <c r="F4330" s="1">
        <f>IFERROR(__xludf.DUMMYFUNCTION("""COMPUTED_VALUE"""),3444935.0)</f>
        <v>3444935</v>
      </c>
    </row>
    <row r="4331">
      <c r="A4331" s="2">
        <f>IFERROR(__xludf.DUMMYFUNCTION("""COMPUTED_VALUE"""),45453.66666666667)</f>
        <v>45453.66667</v>
      </c>
      <c r="B4331" s="1">
        <f>IFERROR(__xludf.DUMMYFUNCTION("""COMPUTED_VALUE"""),76.17)</f>
        <v>76.17</v>
      </c>
      <c r="C4331" s="1">
        <f>IFERROR(__xludf.DUMMYFUNCTION("""COMPUTED_VALUE"""),80.4)</f>
        <v>80.4</v>
      </c>
      <c r="D4331" s="1">
        <f>IFERROR(__xludf.DUMMYFUNCTION("""COMPUTED_VALUE"""),75.3)</f>
        <v>75.3</v>
      </c>
      <c r="E4331" s="1">
        <f>IFERROR(__xludf.DUMMYFUNCTION("""COMPUTED_VALUE"""),78.69)</f>
        <v>78.69</v>
      </c>
      <c r="F4331" s="1">
        <f>IFERROR(__xludf.DUMMYFUNCTION("""COMPUTED_VALUE"""),4878953.0)</f>
        <v>4878953</v>
      </c>
    </row>
    <row r="4332">
      <c r="A4332" s="2">
        <f>IFERROR(__xludf.DUMMYFUNCTION("""COMPUTED_VALUE"""),45454.66666666667)</f>
        <v>45454.66667</v>
      </c>
      <c r="B4332" s="1">
        <f>IFERROR(__xludf.DUMMYFUNCTION("""COMPUTED_VALUE"""),78.0)</f>
        <v>78</v>
      </c>
      <c r="C4332" s="1">
        <f>IFERROR(__xludf.DUMMYFUNCTION("""COMPUTED_VALUE"""),78.5)</f>
        <v>78.5</v>
      </c>
      <c r="D4332" s="1">
        <f>IFERROR(__xludf.DUMMYFUNCTION("""COMPUTED_VALUE"""),76.31)</f>
        <v>76.31</v>
      </c>
      <c r="E4332" s="1">
        <f>IFERROR(__xludf.DUMMYFUNCTION("""COMPUTED_VALUE"""),76.76)</f>
        <v>76.76</v>
      </c>
      <c r="F4332" s="1">
        <f>IFERROR(__xludf.DUMMYFUNCTION("""COMPUTED_VALUE"""),3038731.0)</f>
        <v>3038731</v>
      </c>
    </row>
    <row r="4333">
      <c r="A4333" s="2">
        <f>IFERROR(__xludf.DUMMYFUNCTION("""COMPUTED_VALUE"""),45455.66666666667)</f>
        <v>45455.66667</v>
      </c>
      <c r="B4333" s="1">
        <f>IFERROR(__xludf.DUMMYFUNCTION("""COMPUTED_VALUE"""),78.5)</f>
        <v>78.5</v>
      </c>
      <c r="C4333" s="1">
        <f>IFERROR(__xludf.DUMMYFUNCTION("""COMPUTED_VALUE"""),80.14)</f>
        <v>80.14</v>
      </c>
      <c r="D4333" s="1">
        <f>IFERROR(__xludf.DUMMYFUNCTION("""COMPUTED_VALUE"""),76.62)</f>
        <v>76.62</v>
      </c>
      <c r="E4333" s="1">
        <f>IFERROR(__xludf.DUMMYFUNCTION("""COMPUTED_VALUE"""),77.47)</f>
        <v>77.47</v>
      </c>
      <c r="F4333" s="1">
        <f>IFERROR(__xludf.DUMMYFUNCTION("""COMPUTED_VALUE"""),4119000.0)</f>
        <v>4119000</v>
      </c>
    </row>
    <row r="4334">
      <c r="A4334" s="2">
        <f>IFERROR(__xludf.DUMMYFUNCTION("""COMPUTED_VALUE"""),45456.66666666667)</f>
        <v>45456.66667</v>
      </c>
      <c r="B4334" s="1">
        <f>IFERROR(__xludf.DUMMYFUNCTION("""COMPUTED_VALUE"""),78.5)</f>
        <v>78.5</v>
      </c>
      <c r="C4334" s="1">
        <f>IFERROR(__xludf.DUMMYFUNCTION("""COMPUTED_VALUE"""),88.32)</f>
        <v>88.32</v>
      </c>
      <c r="D4334" s="1">
        <f>IFERROR(__xludf.DUMMYFUNCTION("""COMPUTED_VALUE"""),78.4)</f>
        <v>78.4</v>
      </c>
      <c r="E4334" s="1">
        <f>IFERROR(__xludf.DUMMYFUNCTION("""COMPUTED_VALUE"""),87.11)</f>
        <v>87.11</v>
      </c>
      <c r="F4334" s="1">
        <f>IFERROR(__xludf.DUMMYFUNCTION("""COMPUTED_VALUE"""),1.1613682E7)</f>
        <v>11613682</v>
      </c>
    </row>
    <row r="4335">
      <c r="A4335" s="2">
        <f>IFERROR(__xludf.DUMMYFUNCTION("""COMPUTED_VALUE"""),45457.66666666667)</f>
        <v>45457.66667</v>
      </c>
      <c r="B4335" s="1">
        <f>IFERROR(__xludf.DUMMYFUNCTION("""COMPUTED_VALUE"""),84.69)</f>
        <v>84.69</v>
      </c>
      <c r="C4335" s="1">
        <f>IFERROR(__xludf.DUMMYFUNCTION("""COMPUTED_VALUE"""),87.2)</f>
        <v>87.2</v>
      </c>
      <c r="D4335" s="1">
        <f>IFERROR(__xludf.DUMMYFUNCTION("""COMPUTED_VALUE"""),82.56)</f>
        <v>82.56</v>
      </c>
      <c r="E4335" s="1">
        <f>IFERROR(__xludf.DUMMYFUNCTION("""COMPUTED_VALUE"""),84.45)</f>
        <v>84.45</v>
      </c>
      <c r="F4335" s="1">
        <f>IFERROR(__xludf.DUMMYFUNCTION("""COMPUTED_VALUE"""),6598781.0)</f>
        <v>6598781</v>
      </c>
    </row>
    <row r="4336">
      <c r="A4336" s="2">
        <f>IFERROR(__xludf.DUMMYFUNCTION("""COMPUTED_VALUE"""),45460.66666666667)</f>
        <v>45460.66667</v>
      </c>
      <c r="B4336" s="1">
        <f>IFERROR(__xludf.DUMMYFUNCTION("""COMPUTED_VALUE"""),85.74)</f>
        <v>85.74</v>
      </c>
      <c r="C4336" s="1">
        <f>IFERROR(__xludf.DUMMYFUNCTION("""COMPUTED_VALUE"""),92.19)</f>
        <v>92.19</v>
      </c>
      <c r="D4336" s="1">
        <f>IFERROR(__xludf.DUMMYFUNCTION("""COMPUTED_VALUE"""),82.81)</f>
        <v>82.81</v>
      </c>
      <c r="E4336" s="1">
        <f>IFERROR(__xludf.DUMMYFUNCTION("""COMPUTED_VALUE"""),88.74)</f>
        <v>88.74</v>
      </c>
      <c r="F4336" s="1">
        <f>IFERROR(__xludf.DUMMYFUNCTION("""COMPUTED_VALUE"""),8911764.0)</f>
        <v>8911764</v>
      </c>
    </row>
    <row r="4337">
      <c r="A4337" s="2">
        <f>IFERROR(__xludf.DUMMYFUNCTION("""COMPUTED_VALUE"""),45461.66666666667)</f>
        <v>45461.66667</v>
      </c>
      <c r="B4337" s="1">
        <f>IFERROR(__xludf.DUMMYFUNCTION("""COMPUTED_VALUE"""),89.7)</f>
        <v>89.7</v>
      </c>
      <c r="C4337" s="1">
        <f>IFERROR(__xludf.DUMMYFUNCTION("""COMPUTED_VALUE"""),93.89)</f>
        <v>93.89</v>
      </c>
      <c r="D4337" s="1">
        <f>IFERROR(__xludf.DUMMYFUNCTION("""COMPUTED_VALUE"""),88.33)</f>
        <v>88.33</v>
      </c>
      <c r="E4337" s="1">
        <f>IFERROR(__xludf.DUMMYFUNCTION("""COMPUTED_VALUE"""),92.0)</f>
        <v>92</v>
      </c>
      <c r="F4337" s="1">
        <f>IFERROR(__xludf.DUMMYFUNCTION("""COMPUTED_VALUE"""),8762073.0)</f>
        <v>8762073</v>
      </c>
    </row>
    <row r="4338">
      <c r="A4338" s="2">
        <f>IFERROR(__xludf.DUMMYFUNCTION("""COMPUTED_VALUE"""),45463.66666666667)</f>
        <v>45463.66667</v>
      </c>
      <c r="B4338" s="1">
        <f>IFERROR(__xludf.DUMMYFUNCTION("""COMPUTED_VALUE"""),96.13)</f>
        <v>96.13</v>
      </c>
      <c r="C4338" s="1">
        <f>IFERROR(__xludf.DUMMYFUNCTION("""COMPUTED_VALUE"""),101.4)</f>
        <v>101.4</v>
      </c>
      <c r="D4338" s="1">
        <f>IFERROR(__xludf.DUMMYFUNCTION("""COMPUTED_VALUE"""),90.03)</f>
        <v>90.03</v>
      </c>
      <c r="E4338" s="1">
        <f>IFERROR(__xludf.DUMMYFUNCTION("""COMPUTED_VALUE"""),91.76)</f>
        <v>91.76</v>
      </c>
      <c r="F4338" s="1">
        <f>IFERROR(__xludf.DUMMYFUNCTION("""COMPUTED_VALUE"""),1.3432939E7)</f>
        <v>13432939</v>
      </c>
    </row>
    <row r="4339">
      <c r="A4339" s="2">
        <f>IFERROR(__xludf.DUMMYFUNCTION("""COMPUTED_VALUE"""),45464.66666666667)</f>
        <v>45464.66667</v>
      </c>
      <c r="B4339" s="1">
        <f>IFERROR(__xludf.DUMMYFUNCTION("""COMPUTED_VALUE"""),90.01)</f>
        <v>90.01</v>
      </c>
      <c r="C4339" s="1">
        <f>IFERROR(__xludf.DUMMYFUNCTION("""COMPUTED_VALUE"""),91.79)</f>
        <v>91.79</v>
      </c>
      <c r="D4339" s="1">
        <f>IFERROR(__xludf.DUMMYFUNCTION("""COMPUTED_VALUE"""),86.32)</f>
        <v>86.32</v>
      </c>
      <c r="E4339" s="1">
        <f>IFERROR(__xludf.DUMMYFUNCTION("""COMPUTED_VALUE"""),90.53)</f>
        <v>90.53</v>
      </c>
      <c r="F4339" s="1">
        <f>IFERROR(__xludf.DUMMYFUNCTION("""COMPUTED_VALUE"""),7465581.0)</f>
        <v>7465581</v>
      </c>
    </row>
    <row r="4340">
      <c r="A4340" s="2">
        <f>IFERROR(__xludf.DUMMYFUNCTION("""COMPUTED_VALUE"""),45467.66666666667)</f>
        <v>45467.66667</v>
      </c>
      <c r="B4340" s="1">
        <f>IFERROR(__xludf.DUMMYFUNCTION("""COMPUTED_VALUE"""),88.1)</f>
        <v>88.1</v>
      </c>
      <c r="C4340" s="1">
        <f>IFERROR(__xludf.DUMMYFUNCTION("""COMPUTED_VALUE"""),88.25)</f>
        <v>88.25</v>
      </c>
      <c r="D4340" s="1">
        <f>IFERROR(__xludf.DUMMYFUNCTION("""COMPUTED_VALUE"""),82.0)</f>
        <v>82</v>
      </c>
      <c r="E4340" s="1">
        <f>IFERROR(__xludf.DUMMYFUNCTION("""COMPUTED_VALUE"""),82.7)</f>
        <v>82.7</v>
      </c>
      <c r="F4340" s="1">
        <f>IFERROR(__xludf.DUMMYFUNCTION("""COMPUTED_VALUE"""),7721030.0)</f>
        <v>7721030</v>
      </c>
    </row>
    <row r="4341">
      <c r="A4341" s="2">
        <f>IFERROR(__xludf.DUMMYFUNCTION("""COMPUTED_VALUE"""),45468.66666666667)</f>
        <v>45468.66667</v>
      </c>
      <c r="B4341" s="1">
        <f>IFERROR(__xludf.DUMMYFUNCTION("""COMPUTED_VALUE"""),84.65)</f>
        <v>84.65</v>
      </c>
      <c r="C4341" s="1">
        <f>IFERROR(__xludf.DUMMYFUNCTION("""COMPUTED_VALUE"""),85.72)</f>
        <v>85.72</v>
      </c>
      <c r="D4341" s="1">
        <f>IFERROR(__xludf.DUMMYFUNCTION("""COMPUTED_VALUE"""),82.3)</f>
        <v>82.3</v>
      </c>
      <c r="E4341" s="1">
        <f>IFERROR(__xludf.DUMMYFUNCTION("""COMPUTED_VALUE"""),84.31)</f>
        <v>84.31</v>
      </c>
      <c r="F4341" s="1">
        <f>IFERROR(__xludf.DUMMYFUNCTION("""COMPUTED_VALUE"""),4725862.0)</f>
        <v>4725862</v>
      </c>
    </row>
    <row r="4342">
      <c r="A4342" s="2">
        <f>IFERROR(__xludf.DUMMYFUNCTION("""COMPUTED_VALUE"""),45469.66666666667)</f>
        <v>45469.66667</v>
      </c>
      <c r="B4342" s="1">
        <f>IFERROR(__xludf.DUMMYFUNCTION("""COMPUTED_VALUE"""),84.35)</f>
        <v>84.35</v>
      </c>
      <c r="C4342" s="1">
        <f>IFERROR(__xludf.DUMMYFUNCTION("""COMPUTED_VALUE"""),85.21)</f>
        <v>85.21</v>
      </c>
      <c r="D4342" s="1">
        <f>IFERROR(__xludf.DUMMYFUNCTION("""COMPUTED_VALUE"""),80.83)</f>
        <v>80.83</v>
      </c>
      <c r="E4342" s="1">
        <f>IFERROR(__xludf.DUMMYFUNCTION("""COMPUTED_VALUE"""),83.12)</f>
        <v>83.12</v>
      </c>
      <c r="F4342" s="1">
        <f>IFERROR(__xludf.DUMMYFUNCTION("""COMPUTED_VALUE"""),4550011.0)</f>
        <v>4550011</v>
      </c>
    </row>
    <row r="4343">
      <c r="A4343" s="2">
        <f>IFERROR(__xludf.DUMMYFUNCTION("""COMPUTED_VALUE"""),45470.66666666667)</f>
        <v>45470.66667</v>
      </c>
      <c r="B4343" s="1">
        <f>IFERROR(__xludf.DUMMYFUNCTION("""COMPUTED_VALUE"""),83.1)</f>
        <v>83.1</v>
      </c>
      <c r="C4343" s="1">
        <f>IFERROR(__xludf.DUMMYFUNCTION("""COMPUTED_VALUE"""),89.28)</f>
        <v>89.28</v>
      </c>
      <c r="D4343" s="1">
        <f>IFERROR(__xludf.DUMMYFUNCTION("""COMPUTED_VALUE"""),82.56)</f>
        <v>82.56</v>
      </c>
      <c r="E4343" s="1">
        <f>IFERROR(__xludf.DUMMYFUNCTION("""COMPUTED_VALUE"""),89.04)</f>
        <v>89.04</v>
      </c>
      <c r="F4343" s="1">
        <f>IFERROR(__xludf.DUMMYFUNCTION("""COMPUTED_VALUE"""),7151284.0)</f>
        <v>7151284</v>
      </c>
    </row>
    <row r="4344">
      <c r="A4344" s="2">
        <f>IFERROR(__xludf.DUMMYFUNCTION("""COMPUTED_VALUE"""),45471.66666666667)</f>
        <v>45471.66667</v>
      </c>
      <c r="B4344" s="1">
        <f>IFERROR(__xludf.DUMMYFUNCTION("""COMPUTED_VALUE"""),89.9)</f>
        <v>89.9</v>
      </c>
      <c r="C4344" s="1">
        <f>IFERROR(__xludf.DUMMYFUNCTION("""COMPUTED_VALUE"""),89.99)</f>
        <v>89.99</v>
      </c>
      <c r="D4344" s="1">
        <f>IFERROR(__xludf.DUMMYFUNCTION("""COMPUTED_VALUE"""),81.52)</f>
        <v>81.52</v>
      </c>
      <c r="E4344" s="1">
        <f>IFERROR(__xludf.DUMMYFUNCTION("""COMPUTED_VALUE"""),81.94)</f>
        <v>81.94</v>
      </c>
      <c r="F4344" s="1">
        <f>IFERROR(__xludf.DUMMYFUNCTION("""COMPUTED_VALUE"""),1.65059E7)</f>
        <v>16505900</v>
      </c>
    </row>
    <row r="4345">
      <c r="A4345" s="2">
        <f>IFERROR(__xludf.DUMMYFUNCTION("""COMPUTED_VALUE"""),45474.66666666667)</f>
        <v>45474.66667</v>
      </c>
      <c r="B4345" s="1">
        <f>IFERROR(__xludf.DUMMYFUNCTION("""COMPUTED_VALUE"""),83.14)</f>
        <v>83.14</v>
      </c>
      <c r="C4345" s="1">
        <f>IFERROR(__xludf.DUMMYFUNCTION("""COMPUTED_VALUE"""),83.2)</f>
        <v>83.2</v>
      </c>
      <c r="D4345" s="1">
        <f>IFERROR(__xludf.DUMMYFUNCTION("""COMPUTED_VALUE"""),77.38)</f>
        <v>77.38</v>
      </c>
      <c r="E4345" s="1">
        <f>IFERROR(__xludf.DUMMYFUNCTION("""COMPUTED_VALUE"""),81.23)</f>
        <v>81.23</v>
      </c>
      <c r="F4345" s="1">
        <f>IFERROR(__xludf.DUMMYFUNCTION("""COMPUTED_VALUE"""),7123047.0)</f>
        <v>7123047</v>
      </c>
    </row>
    <row r="4346">
      <c r="A4346" s="2">
        <f>IFERROR(__xludf.DUMMYFUNCTION("""COMPUTED_VALUE"""),45475.66666666667)</f>
        <v>45475.66667</v>
      </c>
      <c r="B4346" s="1">
        <f>IFERROR(__xludf.DUMMYFUNCTION("""COMPUTED_VALUE"""),79.94)</f>
        <v>79.94</v>
      </c>
      <c r="C4346" s="1">
        <f>IFERROR(__xludf.DUMMYFUNCTION("""COMPUTED_VALUE"""),85.09)</f>
        <v>85.09</v>
      </c>
      <c r="D4346" s="1">
        <f>IFERROR(__xludf.DUMMYFUNCTION("""COMPUTED_VALUE"""),79.63)</f>
        <v>79.63</v>
      </c>
      <c r="E4346" s="1">
        <f>IFERROR(__xludf.DUMMYFUNCTION("""COMPUTED_VALUE"""),83.72)</f>
        <v>83.72</v>
      </c>
      <c r="F4346" s="1">
        <f>IFERROR(__xludf.DUMMYFUNCTION("""COMPUTED_VALUE"""),5493630.0)</f>
        <v>5493630</v>
      </c>
    </row>
    <row r="4347">
      <c r="A4347" s="2">
        <f>IFERROR(__xludf.DUMMYFUNCTION("""COMPUTED_VALUE"""),45476.54513888889)</f>
        <v>45476.54514</v>
      </c>
      <c r="B4347" s="1">
        <f>IFERROR(__xludf.DUMMYFUNCTION("""COMPUTED_VALUE"""),83.72)</f>
        <v>83.72</v>
      </c>
      <c r="C4347" s="1">
        <f>IFERROR(__xludf.DUMMYFUNCTION("""COMPUTED_VALUE"""),85.72)</f>
        <v>85.72</v>
      </c>
      <c r="D4347" s="1">
        <f>IFERROR(__xludf.DUMMYFUNCTION("""COMPUTED_VALUE"""),82.1)</f>
        <v>82.1</v>
      </c>
      <c r="E4347" s="1">
        <f>IFERROR(__xludf.DUMMYFUNCTION("""COMPUTED_VALUE"""),84.7)</f>
        <v>84.7</v>
      </c>
      <c r="F4347" s="1">
        <f>IFERROR(__xludf.DUMMYFUNCTION("""COMPUTED_VALUE"""),3197899.0)</f>
        <v>3197899</v>
      </c>
    </row>
    <row r="4348">
      <c r="A4348" s="2">
        <f>IFERROR(__xludf.DUMMYFUNCTION("""COMPUTED_VALUE"""),45478.66666666667)</f>
        <v>45478.66667</v>
      </c>
      <c r="B4348" s="1">
        <f>IFERROR(__xludf.DUMMYFUNCTION("""COMPUTED_VALUE"""),84.73)</f>
        <v>84.73</v>
      </c>
      <c r="C4348" s="1">
        <f>IFERROR(__xludf.DUMMYFUNCTION("""COMPUTED_VALUE"""),86.67)</f>
        <v>86.67</v>
      </c>
      <c r="D4348" s="1">
        <f>IFERROR(__xludf.DUMMYFUNCTION("""COMPUTED_VALUE"""),82.83)</f>
        <v>82.83</v>
      </c>
      <c r="E4348" s="1">
        <f>IFERROR(__xludf.DUMMYFUNCTION("""COMPUTED_VALUE"""),84.66)</f>
        <v>84.66</v>
      </c>
      <c r="F4348" s="1">
        <f>IFERROR(__xludf.DUMMYFUNCTION("""COMPUTED_VALUE"""),4809253.0)</f>
        <v>4809253</v>
      </c>
    </row>
    <row r="4349">
      <c r="A4349" s="2">
        <f>IFERROR(__xludf.DUMMYFUNCTION("""COMPUTED_VALUE"""),45481.66666666667)</f>
        <v>45481.66667</v>
      </c>
      <c r="B4349" s="1">
        <f>IFERROR(__xludf.DUMMYFUNCTION("""COMPUTED_VALUE"""),86.4)</f>
        <v>86.4</v>
      </c>
      <c r="C4349" s="1">
        <f>IFERROR(__xludf.DUMMYFUNCTION("""COMPUTED_VALUE"""),92.69)</f>
        <v>92.69</v>
      </c>
      <c r="D4349" s="1">
        <f>IFERROR(__xludf.DUMMYFUNCTION("""COMPUTED_VALUE"""),86.01)</f>
        <v>86.01</v>
      </c>
      <c r="E4349" s="1">
        <f>IFERROR(__xludf.DUMMYFUNCTION("""COMPUTED_VALUE"""),89.93)</f>
        <v>89.93</v>
      </c>
      <c r="F4349" s="1">
        <f>IFERROR(__xludf.DUMMYFUNCTION("""COMPUTED_VALUE"""),9821572.0)</f>
        <v>9821572</v>
      </c>
    </row>
    <row r="4350">
      <c r="A4350" s="2">
        <f>IFERROR(__xludf.DUMMYFUNCTION("""COMPUTED_VALUE"""),45482.66666666667)</f>
        <v>45482.66667</v>
      </c>
      <c r="B4350" s="1">
        <f>IFERROR(__xludf.DUMMYFUNCTION("""COMPUTED_VALUE"""),90.78)</f>
        <v>90.78</v>
      </c>
      <c r="C4350" s="1">
        <f>IFERROR(__xludf.DUMMYFUNCTION("""COMPUTED_VALUE"""),93.46)</f>
        <v>93.46</v>
      </c>
      <c r="D4350" s="1">
        <f>IFERROR(__xludf.DUMMYFUNCTION("""COMPUTED_VALUE"""),88.3)</f>
        <v>88.3</v>
      </c>
      <c r="E4350" s="1">
        <f>IFERROR(__xludf.DUMMYFUNCTION("""COMPUTED_VALUE"""),89.56)</f>
        <v>89.56</v>
      </c>
      <c r="F4350" s="1">
        <f>IFERROR(__xludf.DUMMYFUNCTION("""COMPUTED_VALUE"""),6535494.0)</f>
        <v>6535494</v>
      </c>
    </row>
    <row r="4351">
      <c r="A4351" s="2">
        <f>IFERROR(__xludf.DUMMYFUNCTION("""COMPUTED_VALUE"""),45483.66666666667)</f>
        <v>45483.66667</v>
      </c>
      <c r="B4351" s="1">
        <f>IFERROR(__xludf.DUMMYFUNCTION("""COMPUTED_VALUE"""),88.87)</f>
        <v>88.87</v>
      </c>
      <c r="C4351" s="1">
        <f>IFERROR(__xludf.DUMMYFUNCTION("""COMPUTED_VALUE"""),91.4)</f>
        <v>91.4</v>
      </c>
      <c r="D4351" s="1">
        <f>IFERROR(__xludf.DUMMYFUNCTION("""COMPUTED_VALUE"""),87.34)</f>
        <v>87.34</v>
      </c>
      <c r="E4351" s="1">
        <f>IFERROR(__xludf.DUMMYFUNCTION("""COMPUTED_VALUE"""),90.0)</f>
        <v>90</v>
      </c>
      <c r="F4351" s="1">
        <f>IFERROR(__xludf.DUMMYFUNCTION("""COMPUTED_VALUE"""),5040229.0)</f>
        <v>5040229</v>
      </c>
    </row>
    <row r="4352">
      <c r="A4352" s="2">
        <f>IFERROR(__xludf.DUMMYFUNCTION("""COMPUTED_VALUE"""),45484.66666666667)</f>
        <v>45484.66667</v>
      </c>
      <c r="B4352" s="1">
        <f>IFERROR(__xludf.DUMMYFUNCTION("""COMPUTED_VALUE"""),91.04)</f>
        <v>91.04</v>
      </c>
      <c r="C4352" s="1">
        <f>IFERROR(__xludf.DUMMYFUNCTION("""COMPUTED_VALUE"""),91.51)</f>
        <v>91.51</v>
      </c>
      <c r="D4352" s="1">
        <f>IFERROR(__xludf.DUMMYFUNCTION("""COMPUTED_VALUE"""),86.58)</f>
        <v>86.58</v>
      </c>
      <c r="E4352" s="1">
        <f>IFERROR(__xludf.DUMMYFUNCTION("""COMPUTED_VALUE"""),88.92)</f>
        <v>88.92</v>
      </c>
      <c r="F4352" s="1">
        <f>IFERROR(__xludf.DUMMYFUNCTION("""COMPUTED_VALUE"""),5652195.0)</f>
        <v>5652195</v>
      </c>
    </row>
    <row r="4353">
      <c r="A4353" s="2">
        <f>IFERROR(__xludf.DUMMYFUNCTION("""COMPUTED_VALUE"""),45485.66666666667)</f>
        <v>45485.66667</v>
      </c>
      <c r="B4353" s="1">
        <f>IFERROR(__xludf.DUMMYFUNCTION("""COMPUTED_VALUE"""),88.96)</f>
        <v>88.96</v>
      </c>
      <c r="C4353" s="1">
        <f>IFERROR(__xludf.DUMMYFUNCTION("""COMPUTED_VALUE"""),92.6)</f>
        <v>92.6</v>
      </c>
      <c r="D4353" s="1">
        <f>IFERROR(__xludf.DUMMYFUNCTION("""COMPUTED_VALUE"""),87.58)</f>
        <v>87.58</v>
      </c>
      <c r="E4353" s="1">
        <f>IFERROR(__xludf.DUMMYFUNCTION("""COMPUTED_VALUE"""),91.0)</f>
        <v>91</v>
      </c>
      <c r="F4353" s="1">
        <f>IFERROR(__xludf.DUMMYFUNCTION("""COMPUTED_VALUE"""),5160068.0)</f>
        <v>5160068</v>
      </c>
    </row>
    <row r="4354">
      <c r="A4354" s="2">
        <f>IFERROR(__xludf.DUMMYFUNCTION("""COMPUTED_VALUE"""),45488.66666666667)</f>
        <v>45488.66667</v>
      </c>
      <c r="B4354" s="1">
        <f>IFERROR(__xludf.DUMMYFUNCTION("""COMPUTED_VALUE"""),94.0)</f>
        <v>94</v>
      </c>
      <c r="C4354" s="1">
        <f>IFERROR(__xludf.DUMMYFUNCTION("""COMPUTED_VALUE"""),96.33)</f>
        <v>96.33</v>
      </c>
      <c r="D4354" s="1">
        <f>IFERROR(__xludf.DUMMYFUNCTION("""COMPUTED_VALUE"""),88.2)</f>
        <v>88.2</v>
      </c>
      <c r="E4354" s="1">
        <f>IFERROR(__xludf.DUMMYFUNCTION("""COMPUTED_VALUE"""),89.77)</f>
        <v>89.77</v>
      </c>
      <c r="F4354" s="1">
        <f>IFERROR(__xludf.DUMMYFUNCTION("""COMPUTED_VALUE"""),8677032.0)</f>
        <v>8677032</v>
      </c>
    </row>
    <row r="4355">
      <c r="A4355" s="2">
        <f>IFERROR(__xludf.DUMMYFUNCTION("""COMPUTED_VALUE"""),45489.66666666667)</f>
        <v>45489.66667</v>
      </c>
      <c r="B4355" s="1">
        <f>IFERROR(__xludf.DUMMYFUNCTION("""COMPUTED_VALUE"""),90.13)</f>
        <v>90.13</v>
      </c>
      <c r="C4355" s="1">
        <f>IFERROR(__xludf.DUMMYFUNCTION("""COMPUTED_VALUE"""),90.4)</f>
        <v>90.4</v>
      </c>
      <c r="D4355" s="1">
        <f>IFERROR(__xludf.DUMMYFUNCTION("""COMPUTED_VALUE"""),86.6)</f>
        <v>86.6</v>
      </c>
      <c r="E4355" s="1">
        <f>IFERROR(__xludf.DUMMYFUNCTION("""COMPUTED_VALUE"""),87.7)</f>
        <v>87.7</v>
      </c>
      <c r="F4355" s="1">
        <f>IFERROR(__xludf.DUMMYFUNCTION("""COMPUTED_VALUE"""),4365390.0)</f>
        <v>4365390</v>
      </c>
    </row>
    <row r="4356">
      <c r="A4356" s="2">
        <f>IFERROR(__xludf.DUMMYFUNCTION("""COMPUTED_VALUE"""),45490.66666666667)</f>
        <v>45490.66667</v>
      </c>
      <c r="B4356" s="1">
        <f>IFERROR(__xludf.DUMMYFUNCTION("""COMPUTED_VALUE"""),84.55)</f>
        <v>84.55</v>
      </c>
      <c r="C4356" s="1">
        <f>IFERROR(__xludf.DUMMYFUNCTION("""COMPUTED_VALUE"""),84.67)</f>
        <v>84.67</v>
      </c>
      <c r="D4356" s="1">
        <f>IFERROR(__xludf.DUMMYFUNCTION("""COMPUTED_VALUE"""),81.48)</f>
        <v>81.48</v>
      </c>
      <c r="E4356" s="1">
        <f>IFERROR(__xludf.DUMMYFUNCTION("""COMPUTED_VALUE"""),81.63)</f>
        <v>81.63</v>
      </c>
      <c r="F4356" s="1">
        <f>IFERROR(__xludf.DUMMYFUNCTION("""COMPUTED_VALUE"""),5759386.0)</f>
        <v>5759386</v>
      </c>
    </row>
    <row r="4357">
      <c r="A4357" s="2">
        <f>IFERROR(__xludf.DUMMYFUNCTION("""COMPUTED_VALUE"""),45491.66666666667)</f>
        <v>45491.66667</v>
      </c>
      <c r="B4357" s="1">
        <f>IFERROR(__xludf.DUMMYFUNCTION("""COMPUTED_VALUE"""),83.11)</f>
        <v>83.11</v>
      </c>
      <c r="C4357" s="1">
        <f>IFERROR(__xludf.DUMMYFUNCTION("""COMPUTED_VALUE"""),83.5)</f>
        <v>83.5</v>
      </c>
      <c r="D4357" s="1">
        <f>IFERROR(__xludf.DUMMYFUNCTION("""COMPUTED_VALUE"""),77.41)</f>
        <v>77.41</v>
      </c>
      <c r="E4357" s="1">
        <f>IFERROR(__xludf.DUMMYFUNCTION("""COMPUTED_VALUE"""),80.16)</f>
        <v>80.16</v>
      </c>
      <c r="F4357" s="1">
        <f>IFERROR(__xludf.DUMMYFUNCTION("""COMPUTED_VALUE"""),5969696.0)</f>
        <v>5969696</v>
      </c>
    </row>
    <row r="4358">
      <c r="A4358" s="2">
        <f>IFERROR(__xludf.DUMMYFUNCTION("""COMPUTED_VALUE"""),45492.66666666667)</f>
        <v>45492.66667</v>
      </c>
      <c r="B4358" s="1">
        <f>IFERROR(__xludf.DUMMYFUNCTION("""COMPUTED_VALUE"""),78.82)</f>
        <v>78.82</v>
      </c>
      <c r="C4358" s="1">
        <f>IFERROR(__xludf.DUMMYFUNCTION("""COMPUTED_VALUE"""),82.19)</f>
        <v>82.19</v>
      </c>
      <c r="D4358" s="1">
        <f>IFERROR(__xludf.DUMMYFUNCTION("""COMPUTED_VALUE"""),77.83)</f>
        <v>77.83</v>
      </c>
      <c r="E4358" s="1">
        <f>IFERROR(__xludf.DUMMYFUNCTION("""COMPUTED_VALUE"""),79.68)</f>
        <v>79.68</v>
      </c>
      <c r="F4358" s="1">
        <f>IFERROR(__xludf.DUMMYFUNCTION("""COMPUTED_VALUE"""),8351253.0)</f>
        <v>8351253</v>
      </c>
    </row>
    <row r="4359">
      <c r="A4359" s="2">
        <f>IFERROR(__xludf.DUMMYFUNCTION("""COMPUTED_VALUE"""),45495.66666666667)</f>
        <v>45495.66667</v>
      </c>
      <c r="B4359" s="1">
        <f>IFERROR(__xludf.DUMMYFUNCTION("""COMPUTED_VALUE"""),80.64)</f>
        <v>80.64</v>
      </c>
      <c r="C4359" s="1">
        <f>IFERROR(__xludf.DUMMYFUNCTION("""COMPUTED_VALUE"""),80.87)</f>
        <v>80.87</v>
      </c>
      <c r="D4359" s="1">
        <f>IFERROR(__xludf.DUMMYFUNCTION("""COMPUTED_VALUE"""),76.54)</f>
        <v>76.54</v>
      </c>
      <c r="E4359" s="1">
        <f>IFERROR(__xludf.DUMMYFUNCTION("""COMPUTED_VALUE"""),78.63)</f>
        <v>78.63</v>
      </c>
      <c r="F4359" s="1">
        <f>IFERROR(__xludf.DUMMYFUNCTION("""COMPUTED_VALUE"""),4928741.0)</f>
        <v>4928741</v>
      </c>
    </row>
    <row r="4360">
      <c r="A4360" s="2">
        <f>IFERROR(__xludf.DUMMYFUNCTION("""COMPUTED_VALUE"""),45496.66666666667)</f>
        <v>45496.66667</v>
      </c>
      <c r="B4360" s="1">
        <f>IFERROR(__xludf.DUMMYFUNCTION("""COMPUTED_VALUE"""),77.85)</f>
        <v>77.85</v>
      </c>
      <c r="C4360" s="1">
        <f>IFERROR(__xludf.DUMMYFUNCTION("""COMPUTED_VALUE"""),80.55)</f>
        <v>80.55</v>
      </c>
      <c r="D4360" s="1">
        <f>IFERROR(__xludf.DUMMYFUNCTION("""COMPUTED_VALUE"""),76.22)</f>
        <v>76.22</v>
      </c>
      <c r="E4360" s="1">
        <f>IFERROR(__xludf.DUMMYFUNCTION("""COMPUTED_VALUE"""),78.32)</f>
        <v>78.32</v>
      </c>
      <c r="F4360" s="1">
        <f>IFERROR(__xludf.DUMMYFUNCTION("""COMPUTED_VALUE"""),4211222.0)</f>
        <v>4211222</v>
      </c>
    </row>
    <row r="4361">
      <c r="A4361" s="2">
        <f>IFERROR(__xludf.DUMMYFUNCTION("""COMPUTED_VALUE"""),45497.66666666667)</f>
        <v>45497.66667</v>
      </c>
      <c r="B4361" s="1">
        <f>IFERROR(__xludf.DUMMYFUNCTION("""COMPUTED_VALUE"""),76.5)</f>
        <v>76.5</v>
      </c>
      <c r="C4361" s="1">
        <f>IFERROR(__xludf.DUMMYFUNCTION("""COMPUTED_VALUE"""),77.36)</f>
        <v>77.36</v>
      </c>
      <c r="D4361" s="1">
        <f>IFERROR(__xludf.DUMMYFUNCTION("""COMPUTED_VALUE"""),70.51)</f>
        <v>70.51</v>
      </c>
      <c r="E4361" s="1">
        <f>IFERROR(__xludf.DUMMYFUNCTION("""COMPUTED_VALUE"""),71.16)</f>
        <v>71.16</v>
      </c>
      <c r="F4361" s="1">
        <f>IFERROR(__xludf.DUMMYFUNCTION("""COMPUTED_VALUE"""),6781155.0)</f>
        <v>6781155</v>
      </c>
    </row>
    <row r="4362">
      <c r="A4362" s="2">
        <f>IFERROR(__xludf.DUMMYFUNCTION("""COMPUTED_VALUE"""),45498.66666666667)</f>
        <v>45498.66667</v>
      </c>
      <c r="B4362" s="1">
        <f>IFERROR(__xludf.DUMMYFUNCTION("""COMPUTED_VALUE"""),70.0)</f>
        <v>70</v>
      </c>
      <c r="C4362" s="1">
        <f>IFERROR(__xludf.DUMMYFUNCTION("""COMPUTED_VALUE"""),72.05)</f>
        <v>72.05</v>
      </c>
      <c r="D4362" s="1">
        <f>IFERROR(__xludf.DUMMYFUNCTION("""COMPUTED_VALUE"""),66.32)</f>
        <v>66.32</v>
      </c>
      <c r="E4362" s="1">
        <f>IFERROR(__xludf.DUMMYFUNCTION("""COMPUTED_VALUE"""),69.56)</f>
        <v>69.56</v>
      </c>
      <c r="F4362" s="1">
        <f>IFERROR(__xludf.DUMMYFUNCTION("""COMPUTED_VALUE"""),7047783.0)</f>
        <v>7047783</v>
      </c>
    </row>
    <row r="4363">
      <c r="A4363" s="2">
        <f>IFERROR(__xludf.DUMMYFUNCTION("""COMPUTED_VALUE"""),45499.66666666667)</f>
        <v>45499.66667</v>
      </c>
      <c r="B4363" s="1">
        <f>IFERROR(__xludf.DUMMYFUNCTION("""COMPUTED_VALUE"""),71.06)</f>
        <v>71.06</v>
      </c>
      <c r="C4363" s="1">
        <f>IFERROR(__xludf.DUMMYFUNCTION("""COMPUTED_VALUE"""),72.43)</f>
        <v>72.43</v>
      </c>
      <c r="D4363" s="1">
        <f>IFERROR(__xludf.DUMMYFUNCTION("""COMPUTED_VALUE"""),69.76)</f>
        <v>69.76</v>
      </c>
      <c r="E4363" s="1">
        <f>IFERROR(__xludf.DUMMYFUNCTION("""COMPUTED_VALUE"""),71.22)</f>
        <v>71.22</v>
      </c>
      <c r="F4363" s="1">
        <f>IFERROR(__xludf.DUMMYFUNCTION("""COMPUTED_VALUE"""),4382184.0)</f>
        <v>4382184</v>
      </c>
    </row>
    <row r="4364">
      <c r="A4364" s="2">
        <f>IFERROR(__xludf.DUMMYFUNCTION("""COMPUTED_VALUE"""),45502.66666666667)</f>
        <v>45502.66667</v>
      </c>
      <c r="B4364" s="1">
        <f>IFERROR(__xludf.DUMMYFUNCTION("""COMPUTED_VALUE"""),72.07)</f>
        <v>72.07</v>
      </c>
      <c r="C4364" s="1">
        <f>IFERROR(__xludf.DUMMYFUNCTION("""COMPUTED_VALUE"""),73.0)</f>
        <v>73</v>
      </c>
      <c r="D4364" s="1">
        <f>IFERROR(__xludf.DUMMYFUNCTION("""COMPUTED_VALUE"""),69.23)</f>
        <v>69.23</v>
      </c>
      <c r="E4364" s="1">
        <f>IFERROR(__xludf.DUMMYFUNCTION("""COMPUTED_VALUE"""),69.77)</f>
        <v>69.77</v>
      </c>
      <c r="F4364" s="1">
        <f>IFERROR(__xludf.DUMMYFUNCTION("""COMPUTED_VALUE"""),3919575.0)</f>
        <v>3919575</v>
      </c>
    </row>
    <row r="4365">
      <c r="A4365" s="2">
        <f>IFERROR(__xludf.DUMMYFUNCTION("""COMPUTED_VALUE"""),45503.66666666667)</f>
        <v>45503.66667</v>
      </c>
      <c r="B4365" s="1">
        <f>IFERROR(__xludf.DUMMYFUNCTION("""COMPUTED_VALUE"""),70.5)</f>
        <v>70.5</v>
      </c>
      <c r="C4365" s="1">
        <f>IFERROR(__xludf.DUMMYFUNCTION("""COMPUTED_VALUE"""),70.7)</f>
        <v>70.7</v>
      </c>
      <c r="D4365" s="1">
        <f>IFERROR(__xludf.DUMMYFUNCTION("""COMPUTED_VALUE"""),65.63)</f>
        <v>65.63</v>
      </c>
      <c r="E4365" s="1">
        <f>IFERROR(__xludf.DUMMYFUNCTION("""COMPUTED_VALUE"""),66.63)</f>
        <v>66.63</v>
      </c>
      <c r="F4365" s="1">
        <f>IFERROR(__xludf.DUMMYFUNCTION("""COMPUTED_VALUE"""),4896276.0)</f>
        <v>4896276</v>
      </c>
    </row>
    <row r="4366">
      <c r="A4366" s="2">
        <f>IFERROR(__xludf.DUMMYFUNCTION("""COMPUTED_VALUE"""),45504.66666666667)</f>
        <v>45504.66667</v>
      </c>
      <c r="B4366" s="1">
        <f>IFERROR(__xludf.DUMMYFUNCTION("""COMPUTED_VALUE"""),71.0)</f>
        <v>71</v>
      </c>
      <c r="C4366" s="1">
        <f>IFERROR(__xludf.DUMMYFUNCTION("""COMPUTED_VALUE"""),72.06)</f>
        <v>72.06</v>
      </c>
      <c r="D4366" s="1">
        <f>IFERROR(__xludf.DUMMYFUNCTION("""COMPUTED_VALUE"""),69.18)</f>
        <v>69.18</v>
      </c>
      <c r="E4366" s="1">
        <f>IFERROR(__xludf.DUMMYFUNCTION("""COMPUTED_VALUE"""),70.17)</f>
        <v>70.17</v>
      </c>
      <c r="F4366" s="1">
        <f>IFERROR(__xludf.DUMMYFUNCTION("""COMPUTED_VALUE"""),4967957.0)</f>
        <v>4967957</v>
      </c>
    </row>
    <row r="4367">
      <c r="A4367" s="2">
        <f>IFERROR(__xludf.DUMMYFUNCTION("""COMPUTED_VALUE"""),45505.66666666667)</f>
        <v>45505.66667</v>
      </c>
      <c r="B4367" s="1">
        <f>IFERROR(__xludf.DUMMYFUNCTION("""COMPUTED_VALUE"""),70.46)</f>
        <v>70.46</v>
      </c>
      <c r="C4367" s="1">
        <f>IFERROR(__xludf.DUMMYFUNCTION("""COMPUTED_VALUE"""),72.44)</f>
        <v>72.44</v>
      </c>
      <c r="D4367" s="1">
        <f>IFERROR(__xludf.DUMMYFUNCTION("""COMPUTED_VALUE"""),65.86)</f>
        <v>65.86</v>
      </c>
      <c r="E4367" s="1">
        <f>IFERROR(__xludf.DUMMYFUNCTION("""COMPUTED_VALUE"""),67.22)</f>
        <v>67.22</v>
      </c>
      <c r="F4367" s="1">
        <f>IFERROR(__xludf.DUMMYFUNCTION("""COMPUTED_VALUE"""),5431665.0)</f>
        <v>5431665</v>
      </c>
    </row>
    <row r="4368">
      <c r="A4368" s="2">
        <f>IFERROR(__xludf.DUMMYFUNCTION("""COMPUTED_VALUE"""),45506.66666666667)</f>
        <v>45506.66667</v>
      </c>
      <c r="B4368" s="1">
        <f>IFERROR(__xludf.DUMMYFUNCTION("""COMPUTED_VALUE"""),63.0)</f>
        <v>63</v>
      </c>
      <c r="C4368" s="1">
        <f>IFERROR(__xludf.DUMMYFUNCTION("""COMPUTED_VALUE"""),63.7)</f>
        <v>63.7</v>
      </c>
      <c r="D4368" s="1">
        <f>IFERROR(__xludf.DUMMYFUNCTION("""COMPUTED_VALUE"""),58.25)</f>
        <v>58.25</v>
      </c>
      <c r="E4368" s="1">
        <f>IFERROR(__xludf.DUMMYFUNCTION("""COMPUTED_VALUE"""),62.47)</f>
        <v>62.47</v>
      </c>
      <c r="F4368" s="1">
        <f>IFERROR(__xludf.DUMMYFUNCTION("""COMPUTED_VALUE"""),7714661.0)</f>
        <v>7714661</v>
      </c>
    </row>
    <row r="4369">
      <c r="A4369" s="2">
        <f>IFERROR(__xludf.DUMMYFUNCTION("""COMPUTED_VALUE"""),45509.66666666667)</f>
        <v>45509.66667</v>
      </c>
      <c r="B4369" s="1">
        <f>IFERROR(__xludf.DUMMYFUNCTION("""COMPUTED_VALUE"""),53.56)</f>
        <v>53.56</v>
      </c>
      <c r="C4369" s="1">
        <f>IFERROR(__xludf.DUMMYFUNCTION("""COMPUTED_VALUE"""),62.67)</f>
        <v>62.67</v>
      </c>
      <c r="D4369" s="1">
        <f>IFERROR(__xludf.DUMMYFUNCTION("""COMPUTED_VALUE"""),52.95)</f>
        <v>52.95</v>
      </c>
      <c r="E4369" s="1">
        <f>IFERROR(__xludf.DUMMYFUNCTION("""COMPUTED_VALUE"""),60.88)</f>
        <v>60.88</v>
      </c>
      <c r="F4369" s="1">
        <f>IFERROR(__xludf.DUMMYFUNCTION("""COMPUTED_VALUE"""),7079063.0)</f>
        <v>7079063</v>
      </c>
    </row>
    <row r="4370">
      <c r="A4370" s="2">
        <f>IFERROR(__xludf.DUMMYFUNCTION("""COMPUTED_VALUE"""),45510.66666666667)</f>
        <v>45510.66667</v>
      </c>
      <c r="B4370" s="1">
        <f>IFERROR(__xludf.DUMMYFUNCTION("""COMPUTED_VALUE"""),61.6)</f>
        <v>61.6</v>
      </c>
      <c r="C4370" s="1">
        <f>IFERROR(__xludf.DUMMYFUNCTION("""COMPUTED_VALUE"""),62.88)</f>
        <v>62.88</v>
      </c>
      <c r="D4370" s="1">
        <f>IFERROR(__xludf.DUMMYFUNCTION("""COMPUTED_VALUE"""),58.88)</f>
        <v>58.88</v>
      </c>
      <c r="E4370" s="1">
        <f>IFERROR(__xludf.DUMMYFUNCTION("""COMPUTED_VALUE"""),61.69)</f>
        <v>61.69</v>
      </c>
      <c r="F4370" s="1">
        <f>IFERROR(__xludf.DUMMYFUNCTION("""COMPUTED_VALUE"""),1.1123311E7)</f>
        <v>11123311</v>
      </c>
    </row>
    <row r="4371">
      <c r="A4371" s="2">
        <f>IFERROR(__xludf.DUMMYFUNCTION("""COMPUTED_VALUE"""),45511.66666666667)</f>
        <v>45511.66667</v>
      </c>
      <c r="B4371" s="1">
        <f>IFERROR(__xludf.DUMMYFUNCTION("""COMPUTED_VALUE"""),53.25)</f>
        <v>53.25</v>
      </c>
      <c r="C4371" s="1">
        <f>IFERROR(__xludf.DUMMYFUNCTION("""COMPUTED_VALUE"""),54.7)</f>
        <v>54.7</v>
      </c>
      <c r="D4371" s="1">
        <f>IFERROR(__xludf.DUMMYFUNCTION("""COMPUTED_VALUE"""),48.89)</f>
        <v>48.89</v>
      </c>
      <c r="E4371" s="1">
        <f>IFERROR(__xludf.DUMMYFUNCTION("""COMPUTED_VALUE"""),49.27)</f>
        <v>49.27</v>
      </c>
      <c r="F4371" s="1">
        <f>IFERROR(__xludf.DUMMYFUNCTION("""COMPUTED_VALUE"""),1.8120528E7)</f>
        <v>18120528</v>
      </c>
    </row>
    <row r="4372">
      <c r="A4372" s="2">
        <f>IFERROR(__xludf.DUMMYFUNCTION("""COMPUTED_VALUE"""),45512.66666666667)</f>
        <v>45512.66667</v>
      </c>
      <c r="B4372" s="1">
        <f>IFERROR(__xludf.DUMMYFUNCTION("""COMPUTED_VALUE"""),49.7)</f>
        <v>49.7</v>
      </c>
      <c r="C4372" s="1">
        <f>IFERROR(__xludf.DUMMYFUNCTION("""COMPUTED_VALUE"""),52.86)</f>
        <v>52.86</v>
      </c>
      <c r="D4372" s="1">
        <f>IFERROR(__xludf.DUMMYFUNCTION("""COMPUTED_VALUE"""),47.86)</f>
        <v>47.86</v>
      </c>
      <c r="E4372" s="1">
        <f>IFERROR(__xludf.DUMMYFUNCTION("""COMPUTED_VALUE"""),50.99)</f>
        <v>50.99</v>
      </c>
      <c r="F4372" s="1">
        <f>IFERROR(__xludf.DUMMYFUNCTION("""COMPUTED_VALUE"""),1.1823754E7)</f>
        <v>11823754</v>
      </c>
    </row>
    <row r="4373">
      <c r="A4373" s="2">
        <f>IFERROR(__xludf.DUMMYFUNCTION("""COMPUTED_VALUE"""),45513.66666666667)</f>
        <v>45513.66667</v>
      </c>
      <c r="B4373" s="1">
        <f>IFERROR(__xludf.DUMMYFUNCTION("""COMPUTED_VALUE"""),51.04)</f>
        <v>51.04</v>
      </c>
      <c r="C4373" s="1">
        <f>IFERROR(__xludf.DUMMYFUNCTION("""COMPUTED_VALUE"""),51.5)</f>
        <v>51.5</v>
      </c>
      <c r="D4373" s="1">
        <f>IFERROR(__xludf.DUMMYFUNCTION("""COMPUTED_VALUE"""),49.2)</f>
        <v>49.2</v>
      </c>
      <c r="E4373" s="1">
        <f>IFERROR(__xludf.DUMMYFUNCTION("""COMPUTED_VALUE"""),50.88)</f>
        <v>50.88</v>
      </c>
      <c r="F4373" s="1">
        <f>IFERROR(__xludf.DUMMYFUNCTION("""COMPUTED_VALUE"""),5918963.0)</f>
        <v>5918963</v>
      </c>
    </row>
    <row r="4374">
      <c r="A4374" s="2">
        <f>IFERROR(__xludf.DUMMYFUNCTION("""COMPUTED_VALUE"""),45516.66666666667)</f>
        <v>45516.66667</v>
      </c>
      <c r="B4374" s="1">
        <f>IFERROR(__xludf.DUMMYFUNCTION("""COMPUTED_VALUE"""),51.11)</f>
        <v>51.11</v>
      </c>
      <c r="C4374" s="1">
        <f>IFERROR(__xludf.DUMMYFUNCTION("""COMPUTED_VALUE"""),56.4)</f>
        <v>56.4</v>
      </c>
      <c r="D4374" s="1">
        <f>IFERROR(__xludf.DUMMYFUNCTION("""COMPUTED_VALUE"""),51.05)</f>
        <v>51.05</v>
      </c>
      <c r="E4374" s="1">
        <f>IFERROR(__xludf.DUMMYFUNCTION("""COMPUTED_VALUE"""),54.1)</f>
        <v>54.1</v>
      </c>
      <c r="F4374" s="1">
        <f>IFERROR(__xludf.DUMMYFUNCTION("""COMPUTED_VALUE"""),9175235.0)</f>
        <v>9175235</v>
      </c>
    </row>
    <row r="4375">
      <c r="A4375" s="2">
        <f>IFERROR(__xludf.DUMMYFUNCTION("""COMPUTED_VALUE"""),45517.66666666667)</f>
        <v>45517.66667</v>
      </c>
      <c r="B4375" s="1">
        <f>IFERROR(__xludf.DUMMYFUNCTION("""COMPUTED_VALUE"""),56.38)</f>
        <v>56.38</v>
      </c>
      <c r="C4375" s="1">
        <f>IFERROR(__xludf.DUMMYFUNCTION("""COMPUTED_VALUE"""),58.39)</f>
        <v>58.39</v>
      </c>
      <c r="D4375" s="1">
        <f>IFERROR(__xludf.DUMMYFUNCTION("""COMPUTED_VALUE"""),54.86)</f>
        <v>54.86</v>
      </c>
      <c r="E4375" s="1">
        <f>IFERROR(__xludf.DUMMYFUNCTION("""COMPUTED_VALUE"""),56.74)</f>
        <v>56.74</v>
      </c>
      <c r="F4375" s="1">
        <f>IFERROR(__xludf.DUMMYFUNCTION("""COMPUTED_VALUE"""),8116044.0)</f>
        <v>8116044</v>
      </c>
    </row>
    <row r="4376">
      <c r="A4376" s="2">
        <f>IFERROR(__xludf.DUMMYFUNCTION("""COMPUTED_VALUE"""),45518.66666666667)</f>
        <v>45518.66667</v>
      </c>
      <c r="B4376" s="1">
        <f>IFERROR(__xludf.DUMMYFUNCTION("""COMPUTED_VALUE"""),58.41)</f>
        <v>58.41</v>
      </c>
      <c r="C4376" s="1">
        <f>IFERROR(__xludf.DUMMYFUNCTION("""COMPUTED_VALUE"""),58.53)</f>
        <v>58.53</v>
      </c>
      <c r="D4376" s="1">
        <f>IFERROR(__xludf.DUMMYFUNCTION("""COMPUTED_VALUE"""),54.64)</f>
        <v>54.64</v>
      </c>
      <c r="E4376" s="1">
        <f>IFERROR(__xludf.DUMMYFUNCTION("""COMPUTED_VALUE"""),57.71)</f>
        <v>57.71</v>
      </c>
      <c r="F4376" s="1">
        <f>IFERROR(__xludf.DUMMYFUNCTION("""COMPUTED_VALUE"""),7001204.0)</f>
        <v>7001204</v>
      </c>
    </row>
    <row r="4377">
      <c r="A4377" s="2">
        <f>IFERROR(__xludf.DUMMYFUNCTION("""COMPUTED_VALUE"""),45519.66666666667)</f>
        <v>45519.66667</v>
      </c>
      <c r="B4377" s="1">
        <f>IFERROR(__xludf.DUMMYFUNCTION("""COMPUTED_VALUE"""),58.45)</f>
        <v>58.45</v>
      </c>
      <c r="C4377" s="1">
        <f>IFERROR(__xludf.DUMMYFUNCTION("""COMPUTED_VALUE"""),63.68)</f>
        <v>63.68</v>
      </c>
      <c r="D4377" s="1">
        <f>IFERROR(__xludf.DUMMYFUNCTION("""COMPUTED_VALUE"""),57.32)</f>
        <v>57.32</v>
      </c>
      <c r="E4377" s="1">
        <f>IFERROR(__xludf.DUMMYFUNCTION("""COMPUTED_VALUE"""),62.67)</f>
        <v>62.67</v>
      </c>
      <c r="F4377" s="1">
        <f>IFERROR(__xludf.DUMMYFUNCTION("""COMPUTED_VALUE"""),9560363.0)</f>
        <v>9560363</v>
      </c>
    </row>
    <row r="4378">
      <c r="A4378" s="2">
        <f>IFERROR(__xludf.DUMMYFUNCTION("""COMPUTED_VALUE"""),45520.66666666667)</f>
        <v>45520.66667</v>
      </c>
      <c r="B4378" s="1">
        <f>IFERROR(__xludf.DUMMYFUNCTION("""COMPUTED_VALUE"""),62.4)</f>
        <v>62.4</v>
      </c>
      <c r="C4378" s="1">
        <f>IFERROR(__xludf.DUMMYFUNCTION("""COMPUTED_VALUE"""),63.97)</f>
        <v>63.97</v>
      </c>
      <c r="D4378" s="1">
        <f>IFERROR(__xludf.DUMMYFUNCTION("""COMPUTED_VALUE"""),61.21)</f>
        <v>61.21</v>
      </c>
      <c r="E4378" s="1">
        <f>IFERROR(__xludf.DUMMYFUNCTION("""COMPUTED_VALUE"""),62.88)</f>
        <v>62.88</v>
      </c>
      <c r="F4378" s="1">
        <f>IFERROR(__xludf.DUMMYFUNCTION("""COMPUTED_VALUE"""),8061238.0)</f>
        <v>8061238</v>
      </c>
    </row>
    <row r="4379">
      <c r="A4379" s="2">
        <f>IFERROR(__xludf.DUMMYFUNCTION("""COMPUTED_VALUE"""),45523.66666666667)</f>
        <v>45523.66667</v>
      </c>
      <c r="B4379" s="1">
        <f>IFERROR(__xludf.DUMMYFUNCTION("""COMPUTED_VALUE"""),62.2)</f>
        <v>62.2</v>
      </c>
      <c r="C4379" s="1">
        <f>IFERROR(__xludf.DUMMYFUNCTION("""COMPUTED_VALUE"""),62.98)</f>
        <v>62.98</v>
      </c>
      <c r="D4379" s="1">
        <f>IFERROR(__xludf.DUMMYFUNCTION("""COMPUTED_VALUE"""),59.53)</f>
        <v>59.53</v>
      </c>
      <c r="E4379" s="1">
        <f>IFERROR(__xludf.DUMMYFUNCTION("""COMPUTED_VALUE"""),62.36)</f>
        <v>62.36</v>
      </c>
      <c r="F4379" s="1">
        <f>IFERROR(__xludf.DUMMYFUNCTION("""COMPUTED_VALUE"""),6880248.0)</f>
        <v>6880248</v>
      </c>
    </row>
    <row r="4380">
      <c r="A4380" s="2">
        <f>IFERROR(__xludf.DUMMYFUNCTION("""COMPUTED_VALUE"""),45524.66666666667)</f>
        <v>45524.66667</v>
      </c>
      <c r="B4380" s="1">
        <f>IFERROR(__xludf.DUMMYFUNCTION("""COMPUTED_VALUE"""),61.67)</f>
        <v>61.67</v>
      </c>
      <c r="C4380" s="1">
        <f>IFERROR(__xludf.DUMMYFUNCTION("""COMPUTED_VALUE"""),63.05)</f>
        <v>63.05</v>
      </c>
      <c r="D4380" s="1">
        <f>IFERROR(__xludf.DUMMYFUNCTION("""COMPUTED_VALUE"""),59.84)</f>
        <v>59.84</v>
      </c>
      <c r="E4380" s="1">
        <f>IFERROR(__xludf.DUMMYFUNCTION("""COMPUTED_VALUE"""),61.09)</f>
        <v>61.09</v>
      </c>
      <c r="F4380" s="1">
        <f>IFERROR(__xludf.DUMMYFUNCTION("""COMPUTED_VALUE"""),6060430.0)</f>
        <v>6060430</v>
      </c>
    </row>
    <row r="4381">
      <c r="A4381" s="2">
        <f>IFERROR(__xludf.DUMMYFUNCTION("""COMPUTED_VALUE"""),45525.66666666667)</f>
        <v>45525.66667</v>
      </c>
      <c r="B4381" s="1">
        <f>IFERROR(__xludf.DUMMYFUNCTION("""COMPUTED_VALUE"""),61.29)</f>
        <v>61.29</v>
      </c>
      <c r="C4381" s="1">
        <f>IFERROR(__xludf.DUMMYFUNCTION("""COMPUTED_VALUE"""),62.88)</f>
        <v>62.88</v>
      </c>
      <c r="D4381" s="1">
        <f>IFERROR(__xludf.DUMMYFUNCTION("""COMPUTED_VALUE"""),60.18)</f>
        <v>60.18</v>
      </c>
      <c r="E4381" s="1">
        <f>IFERROR(__xludf.DUMMYFUNCTION("""COMPUTED_VALUE"""),62.38)</f>
        <v>62.38</v>
      </c>
      <c r="F4381" s="1">
        <f>IFERROR(__xludf.DUMMYFUNCTION("""COMPUTED_VALUE"""),5737495.0)</f>
        <v>5737495</v>
      </c>
    </row>
    <row r="4382">
      <c r="A4382" s="2">
        <f>IFERROR(__xludf.DUMMYFUNCTION("""COMPUTED_VALUE"""),45526.66666666667)</f>
        <v>45526.66667</v>
      </c>
      <c r="B4382" s="1">
        <f>IFERROR(__xludf.DUMMYFUNCTION("""COMPUTED_VALUE"""),62.94)</f>
        <v>62.94</v>
      </c>
      <c r="C4382" s="1">
        <f>IFERROR(__xludf.DUMMYFUNCTION("""COMPUTED_VALUE"""),63.08)</f>
        <v>63.08</v>
      </c>
      <c r="D4382" s="1">
        <f>IFERROR(__xludf.DUMMYFUNCTION("""COMPUTED_VALUE"""),60.22)</f>
        <v>60.22</v>
      </c>
      <c r="E4382" s="1">
        <f>IFERROR(__xludf.DUMMYFUNCTION("""COMPUTED_VALUE"""),60.48)</f>
        <v>60.48</v>
      </c>
      <c r="F4382" s="1">
        <f>IFERROR(__xludf.DUMMYFUNCTION("""COMPUTED_VALUE"""),6115324.0)</f>
        <v>6115324</v>
      </c>
    </row>
    <row r="4383">
      <c r="A4383" s="2">
        <f>IFERROR(__xludf.DUMMYFUNCTION("""COMPUTED_VALUE"""),45527.66666666667)</f>
        <v>45527.66667</v>
      </c>
      <c r="B4383" s="1">
        <f>IFERROR(__xludf.DUMMYFUNCTION("""COMPUTED_VALUE"""),61.12)</f>
        <v>61.12</v>
      </c>
      <c r="C4383" s="1">
        <f>IFERROR(__xludf.DUMMYFUNCTION("""COMPUTED_VALUE"""),62.7)</f>
        <v>62.7</v>
      </c>
      <c r="D4383" s="1">
        <f>IFERROR(__xludf.DUMMYFUNCTION("""COMPUTED_VALUE"""),60.39)</f>
        <v>60.39</v>
      </c>
      <c r="E4383" s="1">
        <f>IFERROR(__xludf.DUMMYFUNCTION("""COMPUTED_VALUE"""),61.32)</f>
        <v>61.32</v>
      </c>
      <c r="F4383" s="1">
        <f>IFERROR(__xludf.DUMMYFUNCTION("""COMPUTED_VALUE"""),5337393.0)</f>
        <v>5337393</v>
      </c>
    </row>
    <row r="4384">
      <c r="A4384" s="2">
        <f>IFERROR(__xludf.DUMMYFUNCTION("""COMPUTED_VALUE"""),45530.66666666667)</f>
        <v>45530.66667</v>
      </c>
      <c r="B4384" s="1">
        <f>IFERROR(__xludf.DUMMYFUNCTION("""COMPUTED_VALUE"""),61.0)</f>
        <v>61</v>
      </c>
      <c r="C4384" s="1">
        <f>IFERROR(__xludf.DUMMYFUNCTION("""COMPUTED_VALUE"""),61.82)</f>
        <v>61.82</v>
      </c>
      <c r="D4384" s="1">
        <f>IFERROR(__xludf.DUMMYFUNCTION("""COMPUTED_VALUE"""),55.52)</f>
        <v>55.52</v>
      </c>
      <c r="E4384" s="1">
        <f>IFERROR(__xludf.DUMMYFUNCTION("""COMPUTED_VALUE"""),56.25)</f>
        <v>56.25</v>
      </c>
      <c r="F4384" s="1">
        <f>IFERROR(__xludf.DUMMYFUNCTION("""COMPUTED_VALUE"""),9038612.0)</f>
        <v>9038612</v>
      </c>
    </row>
    <row r="4385">
      <c r="A4385" s="2">
        <f>IFERROR(__xludf.DUMMYFUNCTION("""COMPUTED_VALUE"""),45531.66666666667)</f>
        <v>45531.66667</v>
      </c>
      <c r="B4385" s="1">
        <f>IFERROR(__xludf.DUMMYFUNCTION("""COMPUTED_VALUE"""),51.89)</f>
        <v>51.89</v>
      </c>
      <c r="C4385" s="1">
        <f>IFERROR(__xludf.DUMMYFUNCTION("""COMPUTED_VALUE"""),55.7)</f>
        <v>55.7</v>
      </c>
      <c r="D4385" s="1">
        <f>IFERROR(__xludf.DUMMYFUNCTION("""COMPUTED_VALUE"""),51.35)</f>
        <v>51.35</v>
      </c>
      <c r="E4385" s="1">
        <f>IFERROR(__xludf.DUMMYFUNCTION("""COMPUTED_VALUE"""),54.76)</f>
        <v>54.76</v>
      </c>
      <c r="F4385" s="1">
        <f>IFERROR(__xludf.DUMMYFUNCTION("""COMPUTED_VALUE"""),1.1683734E7)</f>
        <v>11683734</v>
      </c>
    </row>
    <row r="4386">
      <c r="A4386" s="2">
        <f>IFERROR(__xludf.DUMMYFUNCTION("""COMPUTED_VALUE"""),45532.66666666667)</f>
        <v>45532.66667</v>
      </c>
      <c r="B4386" s="1">
        <f>IFERROR(__xludf.DUMMYFUNCTION("""COMPUTED_VALUE"""),48.59)</f>
        <v>48.59</v>
      </c>
      <c r="C4386" s="1">
        <f>IFERROR(__xludf.DUMMYFUNCTION("""COMPUTED_VALUE"""),48.75)</f>
        <v>48.75</v>
      </c>
      <c r="D4386" s="1">
        <f>IFERROR(__xludf.DUMMYFUNCTION("""COMPUTED_VALUE"""),39.52)</f>
        <v>39.52</v>
      </c>
      <c r="E4386" s="1">
        <f>IFERROR(__xludf.DUMMYFUNCTION("""COMPUTED_VALUE"""),44.35)</f>
        <v>44.35</v>
      </c>
      <c r="F4386" s="1">
        <f>IFERROR(__xludf.DUMMYFUNCTION("""COMPUTED_VALUE"""),3.6973483E7)</f>
        <v>36973483</v>
      </c>
    </row>
    <row r="4387">
      <c r="A4387" s="2">
        <f>IFERROR(__xludf.DUMMYFUNCTION("""COMPUTED_VALUE"""),45533.66666666667)</f>
        <v>45533.66667</v>
      </c>
      <c r="B4387" s="1">
        <f>IFERROR(__xludf.DUMMYFUNCTION("""COMPUTED_VALUE"""),43.59)</f>
        <v>43.59</v>
      </c>
      <c r="C4387" s="1">
        <f>IFERROR(__xludf.DUMMYFUNCTION("""COMPUTED_VALUE"""),47.53)</f>
        <v>47.53</v>
      </c>
      <c r="D4387" s="1">
        <f>IFERROR(__xludf.DUMMYFUNCTION("""COMPUTED_VALUE"""),43.54)</f>
        <v>43.54</v>
      </c>
      <c r="E4387" s="1">
        <f>IFERROR(__xludf.DUMMYFUNCTION("""COMPUTED_VALUE"""),44.88)</f>
        <v>44.88</v>
      </c>
      <c r="F4387" s="1">
        <f>IFERROR(__xludf.DUMMYFUNCTION("""COMPUTED_VALUE"""),1.3053266E7)</f>
        <v>13053266</v>
      </c>
    </row>
    <row r="4388">
      <c r="A4388" s="2">
        <f>IFERROR(__xludf.DUMMYFUNCTION("""COMPUTED_VALUE"""),45534.66666666667)</f>
        <v>45534.66667</v>
      </c>
      <c r="B4388" s="1">
        <f>IFERROR(__xludf.DUMMYFUNCTION("""COMPUTED_VALUE"""),45.8)</f>
        <v>45.8</v>
      </c>
      <c r="C4388" s="1">
        <f>IFERROR(__xludf.DUMMYFUNCTION("""COMPUTED_VALUE"""),45.93)</f>
        <v>45.93</v>
      </c>
      <c r="D4388" s="1">
        <f>IFERROR(__xludf.DUMMYFUNCTION("""COMPUTED_VALUE"""),41.96)</f>
        <v>41.96</v>
      </c>
      <c r="E4388" s="1">
        <f>IFERROR(__xludf.DUMMYFUNCTION("""COMPUTED_VALUE"""),43.77)</f>
        <v>43.77</v>
      </c>
      <c r="F4388" s="1">
        <f>IFERROR(__xludf.DUMMYFUNCTION("""COMPUTED_VALUE"""),1.0933183E7)</f>
        <v>10933183</v>
      </c>
    </row>
    <row r="4389">
      <c r="A4389" s="2">
        <f>IFERROR(__xludf.DUMMYFUNCTION("""COMPUTED_VALUE"""),45538.66666666667)</f>
        <v>45538.66667</v>
      </c>
      <c r="B4389" s="1">
        <f>IFERROR(__xludf.DUMMYFUNCTION("""COMPUTED_VALUE"""),43.01)</f>
        <v>43.01</v>
      </c>
      <c r="C4389" s="1">
        <f>IFERROR(__xludf.DUMMYFUNCTION("""COMPUTED_VALUE"""),46.44)</f>
        <v>46.44</v>
      </c>
      <c r="D4389" s="1">
        <f>IFERROR(__xludf.DUMMYFUNCTION("""COMPUTED_VALUE"""),42.87)</f>
        <v>42.87</v>
      </c>
      <c r="E4389" s="1">
        <f>IFERROR(__xludf.DUMMYFUNCTION("""COMPUTED_VALUE"""),44.18)</f>
        <v>44.18</v>
      </c>
      <c r="F4389" s="1">
        <f>IFERROR(__xludf.DUMMYFUNCTION("""COMPUTED_VALUE"""),9722411.0)</f>
        <v>9722411</v>
      </c>
    </row>
    <row r="4390">
      <c r="A4390" s="2">
        <f>IFERROR(__xludf.DUMMYFUNCTION("""COMPUTED_VALUE"""),45539.66666666667)</f>
        <v>45539.66667</v>
      </c>
      <c r="B4390" s="1">
        <f>IFERROR(__xludf.DUMMYFUNCTION("""COMPUTED_VALUE"""),42.01)</f>
        <v>42.01</v>
      </c>
      <c r="C4390" s="1">
        <f>IFERROR(__xludf.DUMMYFUNCTION("""COMPUTED_VALUE"""),43.54)</f>
        <v>43.54</v>
      </c>
      <c r="D4390" s="1">
        <f>IFERROR(__xludf.DUMMYFUNCTION("""COMPUTED_VALUE"""),40.84)</f>
        <v>40.84</v>
      </c>
      <c r="E4390" s="1">
        <f>IFERROR(__xludf.DUMMYFUNCTION("""COMPUTED_VALUE"""),42.35)</f>
        <v>42.35</v>
      </c>
      <c r="F4390" s="1">
        <f>IFERROR(__xludf.DUMMYFUNCTION("""COMPUTED_VALUE"""),7163365.0)</f>
        <v>7163365</v>
      </c>
    </row>
    <row r="4391">
      <c r="A4391" s="2">
        <f>IFERROR(__xludf.DUMMYFUNCTION("""COMPUTED_VALUE"""),45540.66666666667)</f>
        <v>45540.66667</v>
      </c>
      <c r="B4391" s="1">
        <f>IFERROR(__xludf.DUMMYFUNCTION("""COMPUTED_VALUE"""),41.14)</f>
        <v>41.14</v>
      </c>
      <c r="C4391" s="1">
        <f>IFERROR(__xludf.DUMMYFUNCTION("""COMPUTED_VALUE"""),42.19)</f>
        <v>42.19</v>
      </c>
      <c r="D4391" s="1">
        <f>IFERROR(__xludf.DUMMYFUNCTION("""COMPUTED_VALUE"""),40.68)</f>
        <v>40.68</v>
      </c>
      <c r="E4391" s="1">
        <f>IFERROR(__xludf.DUMMYFUNCTION("""COMPUTED_VALUE"""),41.46)</f>
        <v>41.46</v>
      </c>
      <c r="F4391" s="1">
        <f>IFERROR(__xludf.DUMMYFUNCTION("""COMPUTED_VALUE"""),6198710.0)</f>
        <v>6198710</v>
      </c>
    </row>
    <row r="4392">
      <c r="A4392" s="2">
        <f>IFERROR(__xludf.DUMMYFUNCTION("""COMPUTED_VALUE"""),45541.66666666667)</f>
        <v>45541.66667</v>
      </c>
      <c r="B4392" s="1">
        <f>IFERROR(__xludf.DUMMYFUNCTION("""COMPUTED_VALUE"""),40.2)</f>
        <v>40.2</v>
      </c>
      <c r="C4392" s="1">
        <f>IFERROR(__xludf.DUMMYFUNCTION("""COMPUTED_VALUE"""),40.67)</f>
        <v>40.67</v>
      </c>
      <c r="D4392" s="1">
        <f>IFERROR(__xludf.DUMMYFUNCTION("""COMPUTED_VALUE"""),38.28)</f>
        <v>38.28</v>
      </c>
      <c r="E4392" s="1">
        <f>IFERROR(__xludf.DUMMYFUNCTION("""COMPUTED_VALUE"""),38.65)</f>
        <v>38.65</v>
      </c>
      <c r="F4392" s="1">
        <f>IFERROR(__xludf.DUMMYFUNCTION("""COMPUTED_VALUE"""),9047994.0)</f>
        <v>9047994</v>
      </c>
    </row>
    <row r="4393">
      <c r="A4393" s="2">
        <f>IFERROR(__xludf.DUMMYFUNCTION("""COMPUTED_VALUE"""),45544.66666666667)</f>
        <v>45544.66667</v>
      </c>
      <c r="B4393" s="1">
        <f>IFERROR(__xludf.DUMMYFUNCTION("""COMPUTED_VALUE"""),39.27)</f>
        <v>39.27</v>
      </c>
      <c r="C4393" s="1">
        <f>IFERROR(__xludf.DUMMYFUNCTION("""COMPUTED_VALUE"""),41.78)</f>
        <v>41.78</v>
      </c>
      <c r="D4393" s="1">
        <f>IFERROR(__xludf.DUMMYFUNCTION("""COMPUTED_VALUE"""),38.75)</f>
        <v>38.75</v>
      </c>
      <c r="E4393" s="1">
        <f>IFERROR(__xludf.DUMMYFUNCTION("""COMPUTED_VALUE"""),40.99)</f>
        <v>40.99</v>
      </c>
      <c r="F4393" s="1">
        <f>IFERROR(__xludf.DUMMYFUNCTION("""COMPUTED_VALUE"""),8022389.0)</f>
        <v>8022389</v>
      </c>
    </row>
    <row r="4394">
      <c r="A4394" s="2">
        <f>IFERROR(__xludf.DUMMYFUNCTION("""COMPUTED_VALUE"""),45545.66666666667)</f>
        <v>45545.66667</v>
      </c>
      <c r="B4394" s="1">
        <f>IFERROR(__xludf.DUMMYFUNCTION("""COMPUTED_VALUE"""),41.07)</f>
        <v>41.07</v>
      </c>
      <c r="C4394" s="1">
        <f>IFERROR(__xludf.DUMMYFUNCTION("""COMPUTED_VALUE"""),41.89)</f>
        <v>41.89</v>
      </c>
      <c r="D4394" s="1">
        <f>IFERROR(__xludf.DUMMYFUNCTION("""COMPUTED_VALUE"""),40.07)</f>
        <v>40.07</v>
      </c>
      <c r="E4394" s="1">
        <f>IFERROR(__xludf.DUMMYFUNCTION("""COMPUTED_VALUE"""),41.27)</f>
        <v>41.27</v>
      </c>
      <c r="F4394" s="1">
        <f>IFERROR(__xludf.DUMMYFUNCTION("""COMPUTED_VALUE"""),4947501.0)</f>
        <v>4947501</v>
      </c>
    </row>
    <row r="4395">
      <c r="A4395" s="2">
        <f>IFERROR(__xludf.DUMMYFUNCTION("""COMPUTED_VALUE"""),45546.66666666667)</f>
        <v>45546.66667</v>
      </c>
      <c r="B4395" s="1">
        <f>IFERROR(__xludf.DUMMYFUNCTION("""COMPUTED_VALUE"""),41.6)</f>
        <v>41.6</v>
      </c>
      <c r="C4395" s="1">
        <f>IFERROR(__xludf.DUMMYFUNCTION("""COMPUTED_VALUE"""),44.6)</f>
        <v>44.6</v>
      </c>
      <c r="D4395" s="1">
        <f>IFERROR(__xludf.DUMMYFUNCTION("""COMPUTED_VALUE"""),41.12)</f>
        <v>41.12</v>
      </c>
      <c r="E4395" s="1">
        <f>IFERROR(__xludf.DUMMYFUNCTION("""COMPUTED_VALUE"""),44.54)</f>
        <v>44.54</v>
      </c>
      <c r="F4395" s="1">
        <f>IFERROR(__xludf.DUMMYFUNCTION("""COMPUTED_VALUE"""),7337583.0)</f>
        <v>7337583</v>
      </c>
    </row>
    <row r="4396">
      <c r="A4396" s="2">
        <f>IFERROR(__xludf.DUMMYFUNCTION("""COMPUTED_VALUE"""),45547.66666666667)</f>
        <v>45547.66667</v>
      </c>
      <c r="B4396" s="1">
        <f>IFERROR(__xludf.DUMMYFUNCTION("""COMPUTED_VALUE"""),44.13)</f>
        <v>44.13</v>
      </c>
      <c r="C4396" s="1">
        <f>IFERROR(__xludf.DUMMYFUNCTION("""COMPUTED_VALUE"""),44.95)</f>
        <v>44.95</v>
      </c>
      <c r="D4396" s="1">
        <f>IFERROR(__xludf.DUMMYFUNCTION("""COMPUTED_VALUE"""),43.17)</f>
        <v>43.17</v>
      </c>
      <c r="E4396" s="1">
        <f>IFERROR(__xludf.DUMMYFUNCTION("""COMPUTED_VALUE"""),44.21)</f>
        <v>44.21</v>
      </c>
      <c r="F4396" s="1">
        <f>IFERROR(__xludf.DUMMYFUNCTION("""COMPUTED_VALUE"""),4940744.0)</f>
        <v>4940744</v>
      </c>
    </row>
    <row r="4397">
      <c r="A4397" s="2">
        <f>IFERROR(__xludf.DUMMYFUNCTION("""COMPUTED_VALUE"""),45548.66666666667)</f>
        <v>45548.66667</v>
      </c>
      <c r="B4397" s="1">
        <f>IFERROR(__xludf.DUMMYFUNCTION("""COMPUTED_VALUE"""),44.29)</f>
        <v>44.29</v>
      </c>
      <c r="C4397" s="1">
        <f>IFERROR(__xludf.DUMMYFUNCTION("""COMPUTED_VALUE"""),46.95)</f>
        <v>46.95</v>
      </c>
      <c r="D4397" s="1">
        <f>IFERROR(__xludf.DUMMYFUNCTION("""COMPUTED_VALUE"""),43.9)</f>
        <v>43.9</v>
      </c>
      <c r="E4397" s="1">
        <f>IFERROR(__xludf.DUMMYFUNCTION("""COMPUTED_VALUE"""),45.72)</f>
        <v>45.72</v>
      </c>
      <c r="F4397" s="1">
        <f>IFERROR(__xludf.DUMMYFUNCTION("""COMPUTED_VALUE"""),6996698.0)</f>
        <v>6996698</v>
      </c>
    </row>
    <row r="4398">
      <c r="A4398" s="2">
        <f>IFERROR(__xludf.DUMMYFUNCTION("""COMPUTED_VALUE"""),45551.66666666667)</f>
        <v>45551.66667</v>
      </c>
      <c r="B4398" s="1">
        <f>IFERROR(__xludf.DUMMYFUNCTION("""COMPUTED_VALUE"""),44.72)</f>
        <v>44.72</v>
      </c>
      <c r="C4398" s="1">
        <f>IFERROR(__xludf.DUMMYFUNCTION("""COMPUTED_VALUE"""),45.72)</f>
        <v>45.72</v>
      </c>
      <c r="D4398" s="1">
        <f>IFERROR(__xludf.DUMMYFUNCTION("""COMPUTED_VALUE"""),43.36)</f>
        <v>43.36</v>
      </c>
      <c r="E4398" s="1">
        <f>IFERROR(__xludf.DUMMYFUNCTION("""COMPUTED_VALUE"""),44.91)</f>
        <v>44.91</v>
      </c>
      <c r="F4398" s="1">
        <f>IFERROR(__xludf.DUMMYFUNCTION("""COMPUTED_VALUE"""),4303355.0)</f>
        <v>4303355</v>
      </c>
    </row>
    <row r="4399">
      <c r="A4399" s="2">
        <f>IFERROR(__xludf.DUMMYFUNCTION("""COMPUTED_VALUE"""),45552.66666666667)</f>
        <v>45552.66667</v>
      </c>
      <c r="B4399" s="1">
        <f>IFERROR(__xludf.DUMMYFUNCTION("""COMPUTED_VALUE"""),45.28)</f>
        <v>45.28</v>
      </c>
      <c r="C4399" s="1">
        <f>IFERROR(__xludf.DUMMYFUNCTION("""COMPUTED_VALUE"""),45.79)</f>
        <v>45.79</v>
      </c>
      <c r="D4399" s="1">
        <f>IFERROR(__xludf.DUMMYFUNCTION("""COMPUTED_VALUE"""),43.53)</f>
        <v>43.53</v>
      </c>
      <c r="E4399" s="1">
        <f>IFERROR(__xludf.DUMMYFUNCTION("""COMPUTED_VALUE"""),43.94)</f>
        <v>43.94</v>
      </c>
      <c r="F4399" s="1">
        <f>IFERROR(__xludf.DUMMYFUNCTION("""COMPUTED_VALUE"""),3649065.0)</f>
        <v>3649065</v>
      </c>
    </row>
    <row r="4400">
      <c r="A4400" s="2">
        <f>IFERROR(__xludf.DUMMYFUNCTION("""COMPUTED_VALUE"""),45553.66666666667)</f>
        <v>45553.66667</v>
      </c>
      <c r="B4400" s="1">
        <f>IFERROR(__xludf.DUMMYFUNCTION("""COMPUTED_VALUE"""),44.37)</f>
        <v>44.37</v>
      </c>
      <c r="C4400" s="1">
        <f>IFERROR(__xludf.DUMMYFUNCTION("""COMPUTED_VALUE"""),46.1)</f>
        <v>46.1</v>
      </c>
      <c r="D4400" s="1">
        <f>IFERROR(__xludf.DUMMYFUNCTION("""COMPUTED_VALUE"""),43.62)</f>
        <v>43.62</v>
      </c>
      <c r="E4400" s="1">
        <f>IFERROR(__xludf.DUMMYFUNCTION("""COMPUTED_VALUE"""),43.69)</f>
        <v>43.69</v>
      </c>
      <c r="F4400" s="1">
        <f>IFERROR(__xludf.DUMMYFUNCTION("""COMPUTED_VALUE"""),5755746.0)</f>
        <v>5755746</v>
      </c>
    </row>
    <row r="4401">
      <c r="A4401" s="2">
        <f>IFERROR(__xludf.DUMMYFUNCTION("""COMPUTED_VALUE"""),45554.66666666667)</f>
        <v>45554.66667</v>
      </c>
      <c r="B4401" s="1">
        <f>IFERROR(__xludf.DUMMYFUNCTION("""COMPUTED_VALUE"""),45.51)</f>
        <v>45.51</v>
      </c>
      <c r="C4401" s="1">
        <f>IFERROR(__xludf.DUMMYFUNCTION("""COMPUTED_VALUE"""),45.76)</f>
        <v>45.76</v>
      </c>
      <c r="D4401" s="1">
        <f>IFERROR(__xludf.DUMMYFUNCTION("""COMPUTED_VALUE"""),43.56)</f>
        <v>43.56</v>
      </c>
      <c r="E4401" s="1">
        <f>IFERROR(__xludf.DUMMYFUNCTION("""COMPUTED_VALUE"""),43.72)</f>
        <v>43.72</v>
      </c>
      <c r="F4401" s="1">
        <f>IFERROR(__xludf.DUMMYFUNCTION("""COMPUTED_VALUE"""),4949243.0)</f>
        <v>4949243</v>
      </c>
    </row>
    <row r="4402">
      <c r="A4402" s="2">
        <f>IFERROR(__xludf.DUMMYFUNCTION("""COMPUTED_VALUE"""),45555.66666666667)</f>
        <v>45555.66667</v>
      </c>
      <c r="B4402" s="1">
        <f>IFERROR(__xludf.DUMMYFUNCTION("""COMPUTED_VALUE"""),43.92)</f>
        <v>43.92</v>
      </c>
      <c r="C4402" s="1">
        <f>IFERROR(__xludf.DUMMYFUNCTION("""COMPUTED_VALUE"""),45.82)</f>
        <v>45.82</v>
      </c>
      <c r="D4402" s="1">
        <f>IFERROR(__xludf.DUMMYFUNCTION("""COMPUTED_VALUE"""),43.62)</f>
        <v>43.62</v>
      </c>
      <c r="E4402" s="1">
        <f>IFERROR(__xludf.DUMMYFUNCTION("""COMPUTED_VALUE"""),45.73)</f>
        <v>45.73</v>
      </c>
      <c r="F4402" s="1">
        <f>IFERROR(__xludf.DUMMYFUNCTION("""COMPUTED_VALUE"""),7634442.0)</f>
        <v>7634442</v>
      </c>
    </row>
    <row r="4403">
      <c r="A4403" s="2">
        <f>IFERROR(__xludf.DUMMYFUNCTION("""COMPUTED_VALUE"""),45558.66666666667)</f>
        <v>45558.66667</v>
      </c>
      <c r="B4403" s="1">
        <f>IFERROR(__xludf.DUMMYFUNCTION("""COMPUTED_VALUE"""),45.06)</f>
        <v>45.06</v>
      </c>
      <c r="C4403" s="1">
        <f>IFERROR(__xludf.DUMMYFUNCTION("""COMPUTED_VALUE"""),48.35)</f>
        <v>48.35</v>
      </c>
      <c r="D4403" s="1">
        <f>IFERROR(__xludf.DUMMYFUNCTION("""COMPUTED_VALUE"""),44.89)</f>
        <v>44.89</v>
      </c>
      <c r="E4403" s="1">
        <f>IFERROR(__xludf.DUMMYFUNCTION("""COMPUTED_VALUE"""),46.59)</f>
        <v>46.59</v>
      </c>
      <c r="F4403" s="1">
        <f>IFERROR(__xludf.DUMMYFUNCTION("""COMPUTED_VALUE"""),7153216.0)</f>
        <v>7153216</v>
      </c>
    </row>
    <row r="4404">
      <c r="A4404" s="2">
        <f>IFERROR(__xludf.DUMMYFUNCTION("""COMPUTED_VALUE"""),45559.66666666667)</f>
        <v>45559.66667</v>
      </c>
      <c r="B4404" s="1">
        <f>IFERROR(__xludf.DUMMYFUNCTION("""COMPUTED_VALUE"""),46.51)</f>
        <v>46.51</v>
      </c>
      <c r="C4404" s="1">
        <f>IFERROR(__xludf.DUMMYFUNCTION("""COMPUTED_VALUE"""),47.36)</f>
        <v>47.36</v>
      </c>
      <c r="D4404" s="1">
        <f>IFERROR(__xludf.DUMMYFUNCTION("""COMPUTED_VALUE"""),45.23)</f>
        <v>45.23</v>
      </c>
      <c r="E4404" s="1">
        <f>IFERROR(__xludf.DUMMYFUNCTION("""COMPUTED_VALUE"""),46.36)</f>
        <v>46.36</v>
      </c>
      <c r="F4404" s="1">
        <f>IFERROR(__xludf.DUMMYFUNCTION("""COMPUTED_VALUE"""),5349446.0)</f>
        <v>5349446</v>
      </c>
    </row>
    <row r="4405">
      <c r="A4405" s="2">
        <f>IFERROR(__xludf.DUMMYFUNCTION("""COMPUTED_VALUE"""),45560.66666666667)</f>
        <v>45560.66667</v>
      </c>
      <c r="B4405" s="1">
        <f>IFERROR(__xludf.DUMMYFUNCTION("""COMPUTED_VALUE"""),46.5)</f>
        <v>46.5</v>
      </c>
      <c r="C4405" s="1">
        <f>IFERROR(__xludf.DUMMYFUNCTION("""COMPUTED_VALUE"""),47.67)</f>
        <v>47.67</v>
      </c>
      <c r="D4405" s="1">
        <f>IFERROR(__xludf.DUMMYFUNCTION("""COMPUTED_VALUE"""),45.79)</f>
        <v>45.79</v>
      </c>
      <c r="E4405" s="1">
        <f>IFERROR(__xludf.DUMMYFUNCTION("""COMPUTED_VALUE"""),45.82)</f>
        <v>45.82</v>
      </c>
      <c r="F4405" s="1">
        <f>IFERROR(__xludf.DUMMYFUNCTION("""COMPUTED_VALUE"""),4998557.0)</f>
        <v>4998557</v>
      </c>
    </row>
    <row r="4406">
      <c r="A4406" s="2">
        <f>IFERROR(__xludf.DUMMYFUNCTION("""COMPUTED_VALUE"""),45561.66666666667)</f>
        <v>45561.66667</v>
      </c>
      <c r="B4406" s="1">
        <f>IFERROR(__xludf.DUMMYFUNCTION("""COMPUTED_VALUE"""),47.16)</f>
        <v>47.16</v>
      </c>
      <c r="C4406" s="1">
        <f>IFERROR(__xludf.DUMMYFUNCTION("""COMPUTED_VALUE"""),48.44)</f>
        <v>48.44</v>
      </c>
      <c r="D4406" s="1">
        <f>IFERROR(__xludf.DUMMYFUNCTION("""COMPUTED_VALUE"""),37.3)</f>
        <v>37.3</v>
      </c>
      <c r="E4406" s="1">
        <f>IFERROR(__xludf.DUMMYFUNCTION("""COMPUTED_VALUE"""),40.24)</f>
        <v>40.24</v>
      </c>
      <c r="F4406" s="1">
        <f>IFERROR(__xludf.DUMMYFUNCTION("""COMPUTED_VALUE"""),2.3922963E7)</f>
        <v>23922963</v>
      </c>
    </row>
    <row r="4407">
      <c r="A4407" s="2">
        <f>IFERROR(__xludf.DUMMYFUNCTION("""COMPUTED_VALUE"""),45562.66666666667)</f>
        <v>45562.66667</v>
      </c>
      <c r="B4407" s="1">
        <f>IFERROR(__xludf.DUMMYFUNCTION("""COMPUTED_VALUE"""),40.0)</f>
        <v>40</v>
      </c>
      <c r="C4407" s="1">
        <f>IFERROR(__xludf.DUMMYFUNCTION("""COMPUTED_VALUE"""),42.4)</f>
        <v>42.4</v>
      </c>
      <c r="D4407" s="1">
        <f>IFERROR(__xludf.DUMMYFUNCTION("""COMPUTED_VALUE"""),40.0)</f>
        <v>40</v>
      </c>
      <c r="E4407" s="1">
        <f>IFERROR(__xludf.DUMMYFUNCTION("""COMPUTED_VALUE"""),41.97)</f>
        <v>41.97</v>
      </c>
      <c r="F4407" s="1">
        <f>IFERROR(__xludf.DUMMYFUNCTION("""COMPUTED_VALUE"""),1.0741971E7)</f>
        <v>10741971</v>
      </c>
    </row>
    <row r="4408">
      <c r="A4408" s="2">
        <f>IFERROR(__xludf.DUMMYFUNCTION("""COMPUTED_VALUE"""),45565.66666666667)</f>
        <v>45565.66667</v>
      </c>
      <c r="B4408" s="1">
        <f>IFERROR(__xludf.DUMMYFUNCTION("""COMPUTED_VALUE"""),41.35)</f>
        <v>41.35</v>
      </c>
      <c r="C4408" s="1">
        <f>IFERROR(__xludf.DUMMYFUNCTION("""COMPUTED_VALUE"""),43.8)</f>
        <v>43.8</v>
      </c>
      <c r="D4408" s="1">
        <f>IFERROR(__xludf.DUMMYFUNCTION("""COMPUTED_VALUE"""),41.25)</f>
        <v>41.25</v>
      </c>
      <c r="E4408" s="1">
        <f>IFERROR(__xludf.DUMMYFUNCTION("""COMPUTED_VALUE"""),41.64)</f>
        <v>41.64</v>
      </c>
      <c r="F4408" s="1">
        <f>IFERROR(__xludf.DUMMYFUNCTION("""COMPUTED_VALUE"""),6839669.0)</f>
        <v>6839669</v>
      </c>
    </row>
    <row r="4409">
      <c r="A4409" s="2">
        <f>IFERROR(__xludf.DUMMYFUNCTION("""COMPUTED_VALUE"""),45566.66666666667)</f>
        <v>45566.66667</v>
      </c>
      <c r="B4409" s="1">
        <f>IFERROR(__xludf.DUMMYFUNCTION("""COMPUTED_VALUE"""),41.75)</f>
        <v>41.75</v>
      </c>
      <c r="C4409" s="1">
        <f>IFERROR(__xludf.DUMMYFUNCTION("""COMPUTED_VALUE"""),42.74)</f>
        <v>42.74</v>
      </c>
      <c r="D4409" s="1">
        <f>IFERROR(__xludf.DUMMYFUNCTION("""COMPUTED_VALUE"""),40.0)</f>
        <v>40</v>
      </c>
      <c r="E4409" s="1">
        <f>IFERROR(__xludf.DUMMYFUNCTION("""COMPUTED_VALUE"""),40.55)</f>
        <v>40.55</v>
      </c>
      <c r="F4409" s="1">
        <f>IFERROR(__xludf.DUMMYFUNCTION("""COMPUTED_VALUE"""),3.0603988E7)</f>
        <v>30603988</v>
      </c>
    </row>
    <row r="4410">
      <c r="A4410" s="2">
        <f>IFERROR(__xludf.DUMMYFUNCTION("""COMPUTED_VALUE"""),45567.66666666667)</f>
        <v>45567.66667</v>
      </c>
      <c r="B4410" s="1">
        <f>IFERROR(__xludf.DUMMYFUNCTION("""COMPUTED_VALUE"""),40.01)</f>
        <v>40.01</v>
      </c>
      <c r="C4410" s="1">
        <f>IFERROR(__xludf.DUMMYFUNCTION("""COMPUTED_VALUE"""),42.06)</f>
        <v>42.06</v>
      </c>
      <c r="D4410" s="1">
        <f>IFERROR(__xludf.DUMMYFUNCTION("""COMPUTED_VALUE"""),39.84)</f>
        <v>39.84</v>
      </c>
      <c r="E4410" s="1">
        <f>IFERROR(__xludf.DUMMYFUNCTION("""COMPUTED_VALUE"""),42.0)</f>
        <v>42</v>
      </c>
      <c r="F4410" s="1">
        <f>IFERROR(__xludf.DUMMYFUNCTION("""COMPUTED_VALUE"""),2.2026944E7)</f>
        <v>22026944</v>
      </c>
    </row>
    <row r="4411">
      <c r="A4411" s="2">
        <f>IFERROR(__xludf.DUMMYFUNCTION("""COMPUTED_VALUE"""),45568.66666666667)</f>
        <v>45568.66667</v>
      </c>
      <c r="B4411" s="1">
        <f>IFERROR(__xludf.DUMMYFUNCTION("""COMPUTED_VALUE"""),41.8)</f>
        <v>41.8</v>
      </c>
      <c r="C4411" s="1">
        <f>IFERROR(__xludf.DUMMYFUNCTION("""COMPUTED_VALUE"""),44.23)</f>
        <v>44.23</v>
      </c>
      <c r="D4411" s="1">
        <f>IFERROR(__xludf.DUMMYFUNCTION("""COMPUTED_VALUE"""),41.26)</f>
        <v>41.26</v>
      </c>
      <c r="E4411" s="1">
        <f>IFERROR(__xludf.DUMMYFUNCTION("""COMPUTED_VALUE"""),41.55)</f>
        <v>41.55</v>
      </c>
      <c r="F4411" s="1">
        <f>IFERROR(__xludf.DUMMYFUNCTION("""COMPUTED_VALUE"""),3.0466055E7)</f>
        <v>30466055</v>
      </c>
    </row>
    <row r="4412">
      <c r="A4412" s="2">
        <f>IFERROR(__xludf.DUMMYFUNCTION("""COMPUTED_VALUE"""),45569.66666666667)</f>
        <v>45569.66667</v>
      </c>
      <c r="B4412" s="1">
        <f>IFERROR(__xludf.DUMMYFUNCTION("""COMPUTED_VALUE"""),42.3)</f>
        <v>42.3</v>
      </c>
      <c r="C4412" s="1">
        <f>IFERROR(__xludf.DUMMYFUNCTION("""COMPUTED_VALUE"""),42.92)</f>
        <v>42.92</v>
      </c>
      <c r="D4412" s="1">
        <f>IFERROR(__xludf.DUMMYFUNCTION("""COMPUTED_VALUE"""),40.52)</f>
        <v>40.52</v>
      </c>
      <c r="E4412" s="1">
        <f>IFERROR(__xludf.DUMMYFUNCTION("""COMPUTED_VALUE"""),41.23)</f>
        <v>41.23</v>
      </c>
      <c r="F4412" s="1">
        <f>IFERROR(__xludf.DUMMYFUNCTION("""COMPUTED_VALUE"""),3.1032256E7)</f>
        <v>31032256</v>
      </c>
    </row>
    <row r="4413">
      <c r="A4413" s="2">
        <f>IFERROR(__xludf.DUMMYFUNCTION("""COMPUTED_VALUE"""),45572.66666666667)</f>
        <v>45572.66667</v>
      </c>
      <c r="B4413" s="1">
        <f>IFERROR(__xludf.DUMMYFUNCTION("""COMPUTED_VALUE"""),41.53)</f>
        <v>41.53</v>
      </c>
      <c r="C4413" s="1">
        <f>IFERROR(__xludf.DUMMYFUNCTION("""COMPUTED_VALUE"""),48.5)</f>
        <v>48.5</v>
      </c>
      <c r="D4413" s="1">
        <f>IFERROR(__xludf.DUMMYFUNCTION("""COMPUTED_VALUE"""),41.51)</f>
        <v>41.51</v>
      </c>
      <c r="E4413" s="1">
        <f>IFERROR(__xludf.DUMMYFUNCTION("""COMPUTED_VALUE"""),47.74)</f>
        <v>47.74</v>
      </c>
      <c r="F4413" s="1">
        <f>IFERROR(__xludf.DUMMYFUNCTION("""COMPUTED_VALUE"""),1.04771172E8)</f>
        <v>104771172</v>
      </c>
    </row>
    <row r="4414">
      <c r="A4414" s="2">
        <f>IFERROR(__xludf.DUMMYFUNCTION("""COMPUTED_VALUE"""),45573.66666666667)</f>
        <v>45573.66667</v>
      </c>
      <c r="B4414" s="1">
        <f>IFERROR(__xludf.DUMMYFUNCTION("""COMPUTED_VALUE"""),50.09)</f>
        <v>50.09</v>
      </c>
      <c r="C4414" s="1">
        <f>IFERROR(__xludf.DUMMYFUNCTION("""COMPUTED_VALUE"""),50.1)</f>
        <v>50.1</v>
      </c>
      <c r="D4414" s="1">
        <f>IFERROR(__xludf.DUMMYFUNCTION("""COMPUTED_VALUE"""),44.06)</f>
        <v>44.06</v>
      </c>
      <c r="E4414" s="1">
        <f>IFERROR(__xludf.DUMMYFUNCTION("""COMPUTED_VALUE"""),45.35)</f>
        <v>45.35</v>
      </c>
      <c r="F4414" s="1">
        <f>IFERROR(__xludf.DUMMYFUNCTION("""COMPUTED_VALUE"""),1.06186147E8)</f>
        <v>106186147</v>
      </c>
    </row>
    <row r="4415">
      <c r="A4415" s="2">
        <f>IFERROR(__xludf.DUMMYFUNCTION("""COMPUTED_VALUE"""),45574.66666666667)</f>
        <v>45574.66667</v>
      </c>
      <c r="B4415" s="1">
        <f>IFERROR(__xludf.DUMMYFUNCTION("""COMPUTED_VALUE"""),45.85)</f>
        <v>45.85</v>
      </c>
      <c r="C4415" s="1">
        <f>IFERROR(__xludf.DUMMYFUNCTION("""COMPUTED_VALUE"""),49.35)</f>
        <v>49.35</v>
      </c>
      <c r="D4415" s="1">
        <f>IFERROR(__xludf.DUMMYFUNCTION("""COMPUTED_VALUE"""),45.53)</f>
        <v>45.53</v>
      </c>
      <c r="E4415" s="1">
        <f>IFERROR(__xludf.DUMMYFUNCTION("""COMPUTED_VALUE"""),47.29)</f>
        <v>47.29</v>
      </c>
      <c r="F4415" s="1">
        <f>IFERROR(__xludf.DUMMYFUNCTION("""COMPUTED_VALUE"""),6.5378992E7)</f>
        <v>65378992</v>
      </c>
    </row>
    <row r="4416">
      <c r="A4416" s="2">
        <f>IFERROR(__xludf.DUMMYFUNCTION("""COMPUTED_VALUE"""),45575.66666666667)</f>
        <v>45575.66667</v>
      </c>
      <c r="B4416" s="1">
        <f>IFERROR(__xludf.DUMMYFUNCTION("""COMPUTED_VALUE"""),45.8)</f>
        <v>45.8</v>
      </c>
      <c r="C4416" s="1">
        <f>IFERROR(__xludf.DUMMYFUNCTION("""COMPUTED_VALUE"""),47.0)</f>
        <v>47</v>
      </c>
      <c r="D4416" s="1">
        <f>IFERROR(__xludf.DUMMYFUNCTION("""COMPUTED_VALUE"""),44.4)</f>
        <v>44.4</v>
      </c>
      <c r="E4416" s="1">
        <f>IFERROR(__xludf.DUMMYFUNCTION("""COMPUTED_VALUE"""),46.47)</f>
        <v>46.47</v>
      </c>
      <c r="F4416" s="1">
        <f>IFERROR(__xludf.DUMMYFUNCTION("""COMPUTED_VALUE"""),4.0610937E7)</f>
        <v>40610937</v>
      </c>
    </row>
    <row r="4417">
      <c r="A4417" s="2">
        <f>IFERROR(__xludf.DUMMYFUNCTION("""COMPUTED_VALUE"""),45576.66666666667)</f>
        <v>45576.66667</v>
      </c>
      <c r="B4417" s="1">
        <f>IFERROR(__xludf.DUMMYFUNCTION("""COMPUTED_VALUE"""),45.83)</f>
        <v>45.83</v>
      </c>
      <c r="C4417" s="1">
        <f>IFERROR(__xludf.DUMMYFUNCTION("""COMPUTED_VALUE"""),48.15)</f>
        <v>48.15</v>
      </c>
      <c r="D4417" s="1">
        <f>IFERROR(__xludf.DUMMYFUNCTION("""COMPUTED_VALUE"""),45.75)</f>
        <v>45.75</v>
      </c>
      <c r="E4417" s="1">
        <f>IFERROR(__xludf.DUMMYFUNCTION("""COMPUTED_VALUE"""),47.8)</f>
        <v>47.8</v>
      </c>
      <c r="F4417" s="1">
        <f>IFERROR(__xludf.DUMMYFUNCTION("""COMPUTED_VALUE"""),4.0748107E7)</f>
        <v>40748107</v>
      </c>
    </row>
    <row r="4418">
      <c r="A4418" s="2">
        <f>IFERROR(__xludf.DUMMYFUNCTION("""COMPUTED_VALUE"""),45579.66666666667)</f>
        <v>45579.66667</v>
      </c>
      <c r="B4418" s="1">
        <f>IFERROR(__xludf.DUMMYFUNCTION("""COMPUTED_VALUE"""),48.18)</f>
        <v>48.18</v>
      </c>
      <c r="C4418" s="1">
        <f>IFERROR(__xludf.DUMMYFUNCTION("""COMPUTED_VALUE"""),49.46)</f>
        <v>49.46</v>
      </c>
      <c r="D4418" s="1">
        <f>IFERROR(__xludf.DUMMYFUNCTION("""COMPUTED_VALUE"""),46.44)</f>
        <v>46.44</v>
      </c>
      <c r="E4418" s="1">
        <f>IFERROR(__xludf.DUMMYFUNCTION("""COMPUTED_VALUE"""),47.39)</f>
        <v>47.39</v>
      </c>
      <c r="F4418" s="1">
        <f>IFERROR(__xludf.DUMMYFUNCTION("""COMPUTED_VALUE"""),4.5227787E7)</f>
        <v>45227787</v>
      </c>
    </row>
    <row r="4419">
      <c r="A4419" s="2">
        <f>IFERROR(__xludf.DUMMYFUNCTION("""COMPUTED_VALUE"""),45580.66666666667)</f>
        <v>45580.66667</v>
      </c>
      <c r="B4419" s="1">
        <f>IFERROR(__xludf.DUMMYFUNCTION("""COMPUTED_VALUE"""),48.18)</f>
        <v>48.18</v>
      </c>
      <c r="C4419" s="1">
        <f>IFERROR(__xludf.DUMMYFUNCTION("""COMPUTED_VALUE"""),49.46)</f>
        <v>49.46</v>
      </c>
      <c r="D4419" s="1">
        <f>IFERROR(__xludf.DUMMYFUNCTION("""COMPUTED_VALUE"""),46.44)</f>
        <v>46.44</v>
      </c>
      <c r="E4419" s="1">
        <f>IFERROR(__xludf.DUMMYFUNCTION("""COMPUTED_VALUE"""),47.39)</f>
        <v>47.39</v>
      </c>
      <c r="F4419" s="1">
        <f>IFERROR(__xludf.DUMMYFUNCTION("""COMPUTED_VALUE"""),585314.0)</f>
        <v>585314</v>
      </c>
    </row>
    <row r="4420">
      <c r="A4420" s="2">
        <f>IFERROR(__xludf.DUMMYFUNCTION("""COMPUTED_VALUE"""),45581.66666666667)</f>
        <v>45581.66667</v>
      </c>
      <c r="B4420" s="1">
        <f>IFERROR(__xludf.DUMMYFUNCTION("""COMPUTED_VALUE"""),48.3)</f>
        <v>48.3</v>
      </c>
      <c r="C4420" s="1">
        <f>IFERROR(__xludf.DUMMYFUNCTION("""COMPUTED_VALUE"""),50.35)</f>
        <v>50.35</v>
      </c>
      <c r="D4420" s="1">
        <f>IFERROR(__xludf.DUMMYFUNCTION("""COMPUTED_VALUE"""),47.26)</f>
        <v>47.26</v>
      </c>
      <c r="E4420" s="1">
        <f>IFERROR(__xludf.DUMMYFUNCTION("""COMPUTED_VALUE"""),48.75)</f>
        <v>48.75</v>
      </c>
      <c r="F4420" s="1">
        <f>IFERROR(__xludf.DUMMYFUNCTION("""COMPUTED_VALUE"""),5.0139214E7)</f>
        <v>50139214</v>
      </c>
    </row>
    <row r="4421">
      <c r="A4421" s="2">
        <f>IFERROR(__xludf.DUMMYFUNCTION("""COMPUTED_VALUE"""),45582.66666666667)</f>
        <v>45582.66667</v>
      </c>
      <c r="B4421" s="1">
        <f>IFERROR(__xludf.DUMMYFUNCTION("""COMPUTED_VALUE"""),50.4)</f>
        <v>50.4</v>
      </c>
      <c r="C4421" s="1">
        <f>IFERROR(__xludf.DUMMYFUNCTION("""COMPUTED_VALUE"""),50.61)</f>
        <v>50.61</v>
      </c>
      <c r="D4421" s="1">
        <f>IFERROR(__xludf.DUMMYFUNCTION("""COMPUTED_VALUE"""),47.15)</f>
        <v>47.15</v>
      </c>
      <c r="E4421" s="1">
        <f>IFERROR(__xludf.DUMMYFUNCTION("""COMPUTED_VALUE"""),47.59)</f>
        <v>47.59</v>
      </c>
      <c r="F4421" s="1">
        <f>IFERROR(__xludf.DUMMYFUNCTION("""COMPUTED_VALUE"""),4.7789291E7)</f>
        <v>47789291</v>
      </c>
    </row>
    <row r="4422">
      <c r="A4422" s="2">
        <f>IFERROR(__xludf.DUMMYFUNCTION("""COMPUTED_VALUE"""),45583.66666666667)</f>
        <v>45583.66667</v>
      </c>
      <c r="B4422" s="1">
        <f>IFERROR(__xludf.DUMMYFUNCTION("""COMPUTED_VALUE"""),48.08)</f>
        <v>48.08</v>
      </c>
      <c r="C4422" s="1">
        <f>IFERROR(__xludf.DUMMYFUNCTION("""COMPUTED_VALUE"""),48.98)</f>
        <v>48.98</v>
      </c>
      <c r="D4422" s="1">
        <f>IFERROR(__xludf.DUMMYFUNCTION("""COMPUTED_VALUE"""),47.01)</f>
        <v>47.01</v>
      </c>
      <c r="E4422" s="1">
        <f>IFERROR(__xludf.DUMMYFUNCTION("""COMPUTED_VALUE"""),47.26)</f>
        <v>47.26</v>
      </c>
      <c r="F4422" s="1">
        <f>IFERROR(__xludf.DUMMYFUNCTION("""COMPUTED_VALUE"""),3.1933224E7)</f>
        <v>31933224</v>
      </c>
    </row>
    <row r="4423">
      <c r="A4423" s="2">
        <f>IFERROR(__xludf.DUMMYFUNCTION("""COMPUTED_VALUE"""),45586.66666666667)</f>
        <v>45586.66667</v>
      </c>
      <c r="B4423" s="1">
        <f>IFERROR(__xludf.DUMMYFUNCTION("""COMPUTED_VALUE"""),47.39)</f>
        <v>47.39</v>
      </c>
      <c r="C4423" s="1">
        <f>IFERROR(__xludf.DUMMYFUNCTION("""COMPUTED_VALUE"""),48.88)</f>
        <v>48.88</v>
      </c>
      <c r="D4423" s="1">
        <f>IFERROR(__xludf.DUMMYFUNCTION("""COMPUTED_VALUE"""),46.93)</f>
        <v>46.93</v>
      </c>
      <c r="E4423" s="1">
        <f>IFERROR(__xludf.DUMMYFUNCTION("""COMPUTED_VALUE"""),47.8)</f>
        <v>47.8</v>
      </c>
      <c r="F4423" s="1">
        <f>IFERROR(__xludf.DUMMYFUNCTION("""COMPUTED_VALUE"""),3.6216839E7)</f>
        <v>36216839</v>
      </c>
    </row>
    <row r="4424">
      <c r="A4424" s="2">
        <f>IFERROR(__xludf.DUMMYFUNCTION("""COMPUTED_VALUE"""),45587.66666666667)</f>
        <v>45587.66667</v>
      </c>
      <c r="B4424" s="1">
        <f>IFERROR(__xludf.DUMMYFUNCTION("""COMPUTED_VALUE"""),47.79)</f>
        <v>47.79</v>
      </c>
      <c r="C4424" s="1">
        <f>IFERROR(__xludf.DUMMYFUNCTION("""COMPUTED_VALUE"""),48.18)</f>
        <v>48.18</v>
      </c>
      <c r="D4424" s="1">
        <f>IFERROR(__xludf.DUMMYFUNCTION("""COMPUTED_VALUE"""),44.81)</f>
        <v>44.81</v>
      </c>
      <c r="E4424" s="1">
        <f>IFERROR(__xludf.DUMMYFUNCTION("""COMPUTED_VALUE"""),45.97)</f>
        <v>45.97</v>
      </c>
      <c r="F4424" s="1">
        <f>IFERROR(__xludf.DUMMYFUNCTION("""COMPUTED_VALUE"""),4.124806E7)</f>
        <v>41248060</v>
      </c>
    </row>
    <row r="4425">
      <c r="A4425" s="2">
        <f>IFERROR(__xludf.DUMMYFUNCTION("""COMPUTED_VALUE"""),45588.66666666667)</f>
        <v>45588.66667</v>
      </c>
      <c r="B4425" s="1">
        <f>IFERROR(__xludf.DUMMYFUNCTION("""COMPUTED_VALUE"""),45.44)</f>
        <v>45.44</v>
      </c>
      <c r="C4425" s="1">
        <f>IFERROR(__xludf.DUMMYFUNCTION("""COMPUTED_VALUE"""),46.14)</f>
        <v>46.14</v>
      </c>
      <c r="D4425" s="1">
        <f>IFERROR(__xludf.DUMMYFUNCTION("""COMPUTED_VALUE"""),44.61)</f>
        <v>44.61</v>
      </c>
      <c r="E4425" s="1">
        <f>IFERROR(__xludf.DUMMYFUNCTION("""COMPUTED_VALUE"""),45.36)</f>
        <v>45.36</v>
      </c>
      <c r="F4425" s="1">
        <f>IFERROR(__xludf.DUMMYFUNCTION("""COMPUTED_VALUE"""),2.4300969E7)</f>
        <v>24300969</v>
      </c>
    </row>
    <row r="4426">
      <c r="A4426" s="2">
        <f>IFERROR(__xludf.DUMMYFUNCTION("""COMPUTED_VALUE"""),45589.66666666667)</f>
        <v>45589.66667</v>
      </c>
      <c r="B4426" s="1">
        <f>IFERROR(__xludf.DUMMYFUNCTION("""COMPUTED_VALUE"""),45.67)</f>
        <v>45.67</v>
      </c>
      <c r="C4426" s="1">
        <f>IFERROR(__xludf.DUMMYFUNCTION("""COMPUTED_VALUE"""),47.24)</f>
        <v>47.24</v>
      </c>
      <c r="D4426" s="1">
        <f>IFERROR(__xludf.DUMMYFUNCTION("""COMPUTED_VALUE"""),45.63)</f>
        <v>45.63</v>
      </c>
      <c r="E4426" s="1">
        <f>IFERROR(__xludf.DUMMYFUNCTION("""COMPUTED_VALUE"""),46.23)</f>
        <v>46.23</v>
      </c>
      <c r="F4426" s="1">
        <f>IFERROR(__xludf.DUMMYFUNCTION("""COMPUTED_VALUE"""),2.3717725E7)</f>
        <v>23717725</v>
      </c>
    </row>
    <row r="4427">
      <c r="A4427" s="2">
        <f>IFERROR(__xludf.DUMMYFUNCTION("""COMPUTED_VALUE"""),45590.66666666667)</f>
        <v>45590.66667</v>
      </c>
      <c r="B4427" s="1">
        <f>IFERROR(__xludf.DUMMYFUNCTION("""COMPUTED_VALUE"""),46.68)</f>
        <v>46.68</v>
      </c>
      <c r="C4427" s="1">
        <f>IFERROR(__xludf.DUMMYFUNCTION("""COMPUTED_VALUE"""),48.4)</f>
        <v>48.4</v>
      </c>
      <c r="D4427" s="1">
        <f>IFERROR(__xludf.DUMMYFUNCTION("""COMPUTED_VALUE"""),46.46)</f>
        <v>46.46</v>
      </c>
      <c r="E4427" s="1">
        <f>IFERROR(__xludf.DUMMYFUNCTION("""COMPUTED_VALUE"""),47.27)</f>
        <v>47.27</v>
      </c>
      <c r="F4427" s="1">
        <f>IFERROR(__xludf.DUMMYFUNCTION("""COMPUTED_VALUE"""),3.2279178E7)</f>
        <v>32279178</v>
      </c>
    </row>
    <row r="4428">
      <c r="A4428" s="2">
        <f>IFERROR(__xludf.DUMMYFUNCTION("""COMPUTED_VALUE"""),45593.66666666667)</f>
        <v>45593.66667</v>
      </c>
      <c r="B4428" s="1">
        <f>IFERROR(__xludf.DUMMYFUNCTION("""COMPUTED_VALUE"""),47.8)</f>
        <v>47.8</v>
      </c>
      <c r="C4428" s="1">
        <f>IFERROR(__xludf.DUMMYFUNCTION("""COMPUTED_VALUE"""),48.72)</f>
        <v>48.72</v>
      </c>
      <c r="D4428" s="1">
        <f>IFERROR(__xludf.DUMMYFUNCTION("""COMPUTED_VALUE"""),47.28)</f>
        <v>47.28</v>
      </c>
      <c r="E4428" s="1">
        <f>IFERROR(__xludf.DUMMYFUNCTION("""COMPUTED_VALUE"""),47.72)</f>
        <v>47.72</v>
      </c>
      <c r="F4428" s="1">
        <f>IFERROR(__xludf.DUMMYFUNCTION("""COMPUTED_VALUE"""),2.7230246E7)</f>
        <v>27230246</v>
      </c>
    </row>
    <row r="4429">
      <c r="A4429" s="2">
        <f>IFERROR(__xludf.DUMMYFUNCTION("""COMPUTED_VALUE"""),45594.66666666667)</f>
        <v>45594.66667</v>
      </c>
      <c r="B4429" s="1">
        <f>IFERROR(__xludf.DUMMYFUNCTION("""COMPUTED_VALUE"""),47.67)</f>
        <v>47.67</v>
      </c>
      <c r="C4429" s="1">
        <f>IFERROR(__xludf.DUMMYFUNCTION("""COMPUTED_VALUE"""),49.7)</f>
        <v>49.7</v>
      </c>
      <c r="D4429" s="1">
        <f>IFERROR(__xludf.DUMMYFUNCTION("""COMPUTED_VALUE"""),46.75)</f>
        <v>46.75</v>
      </c>
      <c r="E4429" s="1">
        <f>IFERROR(__xludf.DUMMYFUNCTION("""COMPUTED_VALUE"""),49.12)</f>
        <v>49.12</v>
      </c>
      <c r="F4429" s="1">
        <f>IFERROR(__xludf.DUMMYFUNCTION("""COMPUTED_VALUE"""),3.5234766E7)</f>
        <v>35234766</v>
      </c>
    </row>
    <row r="4430">
      <c r="A4430" s="2">
        <f>IFERROR(__xludf.DUMMYFUNCTION("""COMPUTED_VALUE"""),45595.66666666667)</f>
        <v>45595.66667</v>
      </c>
      <c r="B4430" s="1">
        <f>IFERROR(__xludf.DUMMYFUNCTION("""COMPUTED_VALUE"""),34.85)</f>
        <v>34.85</v>
      </c>
      <c r="C4430" s="1">
        <f>IFERROR(__xludf.DUMMYFUNCTION("""COMPUTED_VALUE"""),38.0)</f>
        <v>38</v>
      </c>
      <c r="D4430" s="1">
        <f>IFERROR(__xludf.DUMMYFUNCTION("""COMPUTED_VALUE"""),32.2)</f>
        <v>32.2</v>
      </c>
      <c r="E4430" s="1">
        <f>IFERROR(__xludf.DUMMYFUNCTION("""COMPUTED_VALUE"""),33.07)</f>
        <v>33.07</v>
      </c>
      <c r="F4430" s="1">
        <f>IFERROR(__xludf.DUMMYFUNCTION("""COMPUTED_VALUE"""),2.36424472E8)</f>
        <v>236424472</v>
      </c>
    </row>
    <row r="4431">
      <c r="A4431" s="2">
        <f>IFERROR(__xludf.DUMMYFUNCTION("""COMPUTED_VALUE"""),45596.66666666667)</f>
        <v>45596.66667</v>
      </c>
      <c r="B4431" s="1">
        <f>IFERROR(__xludf.DUMMYFUNCTION("""COMPUTED_VALUE"""),30.06)</f>
        <v>30.06</v>
      </c>
      <c r="C4431" s="1">
        <f>IFERROR(__xludf.DUMMYFUNCTION("""COMPUTED_VALUE"""),30.89)</f>
        <v>30.89</v>
      </c>
      <c r="D4431" s="1">
        <f>IFERROR(__xludf.DUMMYFUNCTION("""COMPUTED_VALUE"""),27.22)</f>
        <v>27.22</v>
      </c>
      <c r="E4431" s="1">
        <f>IFERROR(__xludf.DUMMYFUNCTION("""COMPUTED_VALUE"""),29.11)</f>
        <v>29.11</v>
      </c>
      <c r="F4431" s="1">
        <f>IFERROR(__xludf.DUMMYFUNCTION("""COMPUTED_VALUE"""),1.29887179E8)</f>
        <v>129887179</v>
      </c>
    </row>
    <row r="4432">
      <c r="A4432" s="2">
        <f>IFERROR(__xludf.DUMMYFUNCTION("""COMPUTED_VALUE"""),45597.66666666667)</f>
        <v>45597.66667</v>
      </c>
      <c r="B4432" s="1">
        <f>IFERROR(__xludf.DUMMYFUNCTION("""COMPUTED_VALUE"""),27.6)</f>
        <v>27.6</v>
      </c>
      <c r="C4432" s="1">
        <f>IFERROR(__xludf.DUMMYFUNCTION("""COMPUTED_VALUE"""),28.75)</f>
        <v>28.75</v>
      </c>
      <c r="D4432" s="1">
        <f>IFERROR(__xludf.DUMMYFUNCTION("""COMPUTED_VALUE"""),25.71)</f>
        <v>25.71</v>
      </c>
      <c r="E4432" s="1">
        <f>IFERROR(__xludf.DUMMYFUNCTION("""COMPUTED_VALUE"""),26.05)</f>
        <v>26.05</v>
      </c>
      <c r="F4432" s="1">
        <f>IFERROR(__xludf.DUMMYFUNCTION("""COMPUTED_VALUE"""),1.02739043E8)</f>
        <v>102739043</v>
      </c>
    </row>
    <row r="4433">
      <c r="A4433" s="2">
        <f>IFERROR(__xludf.DUMMYFUNCTION("""COMPUTED_VALUE"""),45600.66666666667)</f>
        <v>45600.66667</v>
      </c>
      <c r="B4433" s="1">
        <f>IFERROR(__xludf.DUMMYFUNCTION("""COMPUTED_VALUE"""),24.89)</f>
        <v>24.89</v>
      </c>
      <c r="C4433" s="1">
        <f>IFERROR(__xludf.DUMMYFUNCTION("""COMPUTED_VALUE"""),27.97)</f>
        <v>27.97</v>
      </c>
      <c r="D4433" s="1">
        <f>IFERROR(__xludf.DUMMYFUNCTION("""COMPUTED_VALUE"""),23.9)</f>
        <v>23.9</v>
      </c>
      <c r="E4433" s="1">
        <f>IFERROR(__xludf.DUMMYFUNCTION("""COMPUTED_VALUE"""),26.03)</f>
        <v>26.03</v>
      </c>
      <c r="F4433" s="1">
        <f>IFERROR(__xludf.DUMMYFUNCTION("""COMPUTED_VALUE"""),9.2051963E7)</f>
        <v>92051963</v>
      </c>
    </row>
    <row r="4434">
      <c r="A4434" s="2">
        <f>IFERROR(__xludf.DUMMYFUNCTION("""COMPUTED_VALUE"""),45601.66666666667)</f>
        <v>45601.66667</v>
      </c>
      <c r="B4434" s="1">
        <f>IFERROR(__xludf.DUMMYFUNCTION("""COMPUTED_VALUE"""),25.98)</f>
        <v>25.98</v>
      </c>
      <c r="C4434" s="1">
        <f>IFERROR(__xludf.DUMMYFUNCTION("""COMPUTED_VALUE"""),28.0)</f>
        <v>28</v>
      </c>
      <c r="D4434" s="1">
        <f>IFERROR(__xludf.DUMMYFUNCTION("""COMPUTED_VALUE"""),25.1)</f>
        <v>25.1</v>
      </c>
      <c r="E4434" s="1">
        <f>IFERROR(__xludf.DUMMYFUNCTION("""COMPUTED_VALUE"""),27.7)</f>
        <v>27.7</v>
      </c>
      <c r="F4434" s="1">
        <f>IFERROR(__xludf.DUMMYFUNCTION("""COMPUTED_VALUE"""),1.06628335E8)</f>
        <v>106628335</v>
      </c>
    </row>
    <row r="4435">
      <c r="A4435" s="2">
        <f>IFERROR(__xludf.DUMMYFUNCTION("""COMPUTED_VALUE"""),45602.66666666667)</f>
        <v>45602.66667</v>
      </c>
      <c r="B4435" s="1">
        <f>IFERROR(__xludf.DUMMYFUNCTION("""COMPUTED_VALUE"""),20.87)</f>
        <v>20.87</v>
      </c>
      <c r="C4435" s="1">
        <f>IFERROR(__xludf.DUMMYFUNCTION("""COMPUTED_VALUE"""),23.0)</f>
        <v>23</v>
      </c>
      <c r="D4435" s="1">
        <f>IFERROR(__xludf.DUMMYFUNCTION("""COMPUTED_VALUE"""),20.2)</f>
        <v>20.2</v>
      </c>
      <c r="E4435" s="1">
        <f>IFERROR(__xludf.DUMMYFUNCTION("""COMPUTED_VALUE"""),22.7)</f>
        <v>22.7</v>
      </c>
      <c r="F4435" s="1">
        <f>IFERROR(__xludf.DUMMYFUNCTION("""COMPUTED_VALUE"""),1.22890761E8)</f>
        <v>122890761</v>
      </c>
    </row>
    <row r="4436">
      <c r="A4436" s="2">
        <f>IFERROR(__xludf.DUMMYFUNCTION("""COMPUTED_VALUE"""),45603.66666666667)</f>
        <v>45603.66667</v>
      </c>
      <c r="B4436" s="1">
        <f>IFERROR(__xludf.DUMMYFUNCTION("""COMPUTED_VALUE"""),22.48)</f>
        <v>22.48</v>
      </c>
      <c r="C4436" s="1">
        <f>IFERROR(__xludf.DUMMYFUNCTION("""COMPUTED_VALUE"""),25.78)</f>
        <v>25.78</v>
      </c>
      <c r="D4436" s="1">
        <f>IFERROR(__xludf.DUMMYFUNCTION("""COMPUTED_VALUE"""),22.11)</f>
        <v>22.11</v>
      </c>
      <c r="E4436" s="1">
        <f>IFERROR(__xludf.DUMMYFUNCTION("""COMPUTED_VALUE"""),25.48)</f>
        <v>25.48</v>
      </c>
      <c r="F4436" s="1">
        <f>IFERROR(__xludf.DUMMYFUNCTION("""COMPUTED_VALUE"""),8.823465E7)</f>
        <v>88234650</v>
      </c>
    </row>
    <row r="4437">
      <c r="A4437" s="2">
        <f>IFERROR(__xludf.DUMMYFUNCTION("""COMPUTED_VALUE"""),45604.66666666667)</f>
        <v>45604.66667</v>
      </c>
      <c r="B4437" s="1">
        <f>IFERROR(__xludf.DUMMYFUNCTION("""COMPUTED_VALUE"""),25.69)</f>
        <v>25.69</v>
      </c>
      <c r="C4437" s="1">
        <f>IFERROR(__xludf.DUMMYFUNCTION("""COMPUTED_VALUE"""),26.25)</f>
        <v>26.25</v>
      </c>
      <c r="D4437" s="1">
        <f>IFERROR(__xludf.DUMMYFUNCTION("""COMPUTED_VALUE"""),23.76)</f>
        <v>23.76</v>
      </c>
      <c r="E4437" s="1">
        <f>IFERROR(__xludf.DUMMYFUNCTION("""COMPUTED_VALUE"""),24.52)</f>
        <v>24.52</v>
      </c>
      <c r="F4437" s="1">
        <f>IFERROR(__xludf.DUMMYFUNCTION("""COMPUTED_VALUE"""),6.054956E7)</f>
        <v>60549560</v>
      </c>
    </row>
    <row r="4438">
      <c r="A4438" s="2">
        <f>IFERROR(__xludf.DUMMYFUNCTION("""COMPUTED_VALUE"""),45607.66666666667)</f>
        <v>45607.66667</v>
      </c>
      <c r="B4438" s="1">
        <f>IFERROR(__xludf.DUMMYFUNCTION("""COMPUTED_VALUE"""),22.35)</f>
        <v>22.35</v>
      </c>
      <c r="C4438" s="1">
        <f>IFERROR(__xludf.DUMMYFUNCTION("""COMPUTED_VALUE"""),23.66)</f>
        <v>23.66</v>
      </c>
      <c r="D4438" s="1">
        <f>IFERROR(__xludf.DUMMYFUNCTION("""COMPUTED_VALUE"""),21.3)</f>
        <v>21.3</v>
      </c>
      <c r="E4438" s="1">
        <f>IFERROR(__xludf.DUMMYFUNCTION("""COMPUTED_VALUE"""),23.23)</f>
        <v>23.23</v>
      </c>
      <c r="F4438" s="1">
        <f>IFERROR(__xludf.DUMMYFUNCTION("""COMPUTED_VALUE"""),7.1258426E7)</f>
        <v>71258426</v>
      </c>
    </row>
    <row r="4439">
      <c r="A4439" s="2">
        <f>IFERROR(__xludf.DUMMYFUNCTION("""COMPUTED_VALUE"""),45608.66666666667)</f>
        <v>45608.66667</v>
      </c>
      <c r="B4439" s="1">
        <f>IFERROR(__xludf.DUMMYFUNCTION("""COMPUTED_VALUE"""),22.11)</f>
        <v>22.11</v>
      </c>
      <c r="C4439" s="1">
        <f>IFERROR(__xludf.DUMMYFUNCTION("""COMPUTED_VALUE"""),23.06)</f>
        <v>23.06</v>
      </c>
      <c r="D4439" s="1">
        <f>IFERROR(__xludf.DUMMYFUNCTION("""COMPUTED_VALUE"""),21.58)</f>
        <v>21.58</v>
      </c>
      <c r="E4439" s="1">
        <f>IFERROR(__xludf.DUMMYFUNCTION("""COMPUTED_VALUE"""),21.7)</f>
        <v>21.7</v>
      </c>
      <c r="F4439" s="1">
        <f>IFERROR(__xludf.DUMMYFUNCTION("""COMPUTED_VALUE"""),4.4022534E7)</f>
        <v>44022534</v>
      </c>
    </row>
    <row r="4440">
      <c r="A4440" s="2">
        <f>IFERROR(__xludf.DUMMYFUNCTION("""COMPUTED_VALUE"""),45609.66666666667)</f>
        <v>45609.66667</v>
      </c>
      <c r="B4440" s="1">
        <f>IFERROR(__xludf.DUMMYFUNCTION("""COMPUTED_VALUE"""),21.01)</f>
        <v>21.01</v>
      </c>
      <c r="C4440" s="1">
        <f>IFERROR(__xludf.DUMMYFUNCTION("""COMPUTED_VALUE"""),21.8)</f>
        <v>21.8</v>
      </c>
      <c r="D4440" s="1">
        <f>IFERROR(__xludf.DUMMYFUNCTION("""COMPUTED_VALUE"""),20.27)</f>
        <v>20.27</v>
      </c>
      <c r="E4440" s="1">
        <f>IFERROR(__xludf.DUMMYFUNCTION("""COMPUTED_VALUE"""),20.33)</f>
        <v>20.33</v>
      </c>
      <c r="F4440" s="1">
        <f>IFERROR(__xludf.DUMMYFUNCTION("""COMPUTED_VALUE"""),5.5525549E7)</f>
        <v>55525549</v>
      </c>
    </row>
    <row r="4441">
      <c r="A4441" s="2">
        <f>IFERROR(__xludf.DUMMYFUNCTION("""COMPUTED_VALUE"""),45610.66666666667)</f>
        <v>45610.66667</v>
      </c>
      <c r="B4441" s="1">
        <f>IFERROR(__xludf.DUMMYFUNCTION("""COMPUTED_VALUE"""),17.99)</f>
        <v>17.99</v>
      </c>
      <c r="C4441" s="1">
        <f>IFERROR(__xludf.DUMMYFUNCTION("""COMPUTED_VALUE"""),19.24)</f>
        <v>19.24</v>
      </c>
      <c r="D4441" s="1">
        <f>IFERROR(__xludf.DUMMYFUNCTION("""COMPUTED_VALUE"""),17.36)</f>
        <v>17.36</v>
      </c>
      <c r="E4441" s="1">
        <f>IFERROR(__xludf.DUMMYFUNCTION("""COMPUTED_VALUE"""),18.01)</f>
        <v>18.01</v>
      </c>
      <c r="F4441" s="1">
        <f>IFERROR(__xludf.DUMMYFUNCTION("""COMPUTED_VALUE"""),9.5152077E7)</f>
        <v>95152077</v>
      </c>
    </row>
    <row r="4442">
      <c r="A4442" s="2">
        <f>IFERROR(__xludf.DUMMYFUNCTION("""COMPUTED_VALUE"""),45611.66666666667)</f>
        <v>45611.66667</v>
      </c>
      <c r="B4442" s="1">
        <f>IFERROR(__xludf.DUMMYFUNCTION("""COMPUTED_VALUE"""),17.8)</f>
        <v>17.8</v>
      </c>
      <c r="C4442" s="1">
        <f>IFERROR(__xludf.DUMMYFUNCTION("""COMPUTED_VALUE"""),18.79)</f>
        <v>18.79</v>
      </c>
      <c r="D4442" s="1">
        <f>IFERROR(__xludf.DUMMYFUNCTION("""COMPUTED_VALUE"""),17.25)</f>
        <v>17.25</v>
      </c>
      <c r="E4442" s="1">
        <f>IFERROR(__xludf.DUMMYFUNCTION("""COMPUTED_VALUE"""),18.58)</f>
        <v>18.58</v>
      </c>
      <c r="F4442" s="1">
        <f>IFERROR(__xludf.DUMMYFUNCTION("""COMPUTED_VALUE"""),7.4025423E7)</f>
        <v>74025423</v>
      </c>
    </row>
    <row r="4443">
      <c r="A4443" s="2">
        <f>IFERROR(__xludf.DUMMYFUNCTION("""COMPUTED_VALUE"""),45614.66666666667)</f>
        <v>45614.66667</v>
      </c>
      <c r="B4443" s="1">
        <f>IFERROR(__xludf.DUMMYFUNCTION("""COMPUTED_VALUE"""),20.03)</f>
        <v>20.03</v>
      </c>
      <c r="C4443" s="1">
        <f>IFERROR(__xludf.DUMMYFUNCTION("""COMPUTED_VALUE"""),23.88)</f>
        <v>23.88</v>
      </c>
      <c r="D4443" s="1">
        <f>IFERROR(__xludf.DUMMYFUNCTION("""COMPUTED_VALUE"""),20.0)</f>
        <v>20</v>
      </c>
      <c r="E4443" s="1">
        <f>IFERROR(__xludf.DUMMYFUNCTION("""COMPUTED_VALUE"""),21.54)</f>
        <v>21.54</v>
      </c>
      <c r="F4443" s="1">
        <f>IFERROR(__xludf.DUMMYFUNCTION("""COMPUTED_VALUE"""),1.98081298E8)</f>
        <v>198081298</v>
      </c>
    </row>
    <row r="4444">
      <c r="A4444" s="2">
        <f>IFERROR(__xludf.DUMMYFUNCTION("""COMPUTED_VALUE"""),45615.66666666667)</f>
        <v>45615.66667</v>
      </c>
      <c r="B4444" s="1">
        <f>IFERROR(__xludf.DUMMYFUNCTION("""COMPUTED_VALUE"""),27.11)</f>
        <v>27.11</v>
      </c>
      <c r="C4444" s="1">
        <f>IFERROR(__xludf.DUMMYFUNCTION("""COMPUTED_VALUE"""),29.5)</f>
        <v>29.5</v>
      </c>
      <c r="D4444" s="1">
        <f>IFERROR(__xludf.DUMMYFUNCTION("""COMPUTED_VALUE"""),25.61)</f>
        <v>25.61</v>
      </c>
      <c r="E4444" s="1">
        <f>IFERROR(__xludf.DUMMYFUNCTION("""COMPUTED_VALUE"""),28.27)</f>
        <v>28.27</v>
      </c>
      <c r="F4444" s="1">
        <f>IFERROR(__xludf.DUMMYFUNCTION("""COMPUTED_VALUE"""),2.35282894E8)</f>
        <v>235282894</v>
      </c>
    </row>
    <row r="4445">
      <c r="A4445" s="2">
        <f>IFERROR(__xludf.DUMMYFUNCTION("""COMPUTED_VALUE"""),45616.66666666667)</f>
        <v>45616.66667</v>
      </c>
      <c r="B4445" s="1">
        <f>IFERROR(__xludf.DUMMYFUNCTION("""COMPUTED_VALUE"""),27.29)</f>
        <v>27.29</v>
      </c>
      <c r="C4445" s="1">
        <f>IFERROR(__xludf.DUMMYFUNCTION("""COMPUTED_VALUE"""),27.71)</f>
        <v>27.71</v>
      </c>
      <c r="D4445" s="1">
        <f>IFERROR(__xludf.DUMMYFUNCTION("""COMPUTED_VALUE"""),24.82)</f>
        <v>24.82</v>
      </c>
      <c r="E4445" s="1">
        <f>IFERROR(__xludf.DUMMYFUNCTION("""COMPUTED_VALUE"""),25.8)</f>
        <v>25.8</v>
      </c>
      <c r="F4445" s="1">
        <f>IFERROR(__xludf.DUMMYFUNCTION("""COMPUTED_VALUE"""),1.0536649E8)</f>
        <v>105366490</v>
      </c>
    </row>
    <row r="4446">
      <c r="A4446" s="2">
        <f>IFERROR(__xludf.DUMMYFUNCTION("""COMPUTED_VALUE"""),45617.66666666667)</f>
        <v>45617.66667</v>
      </c>
      <c r="B4446" s="1">
        <f>IFERROR(__xludf.DUMMYFUNCTION("""COMPUTED_VALUE"""),27.68)</f>
        <v>27.68</v>
      </c>
      <c r="C4446" s="1">
        <f>IFERROR(__xludf.DUMMYFUNCTION("""COMPUTED_VALUE"""),30.5)</f>
        <v>30.5</v>
      </c>
      <c r="D4446" s="1">
        <f>IFERROR(__xludf.DUMMYFUNCTION("""COMPUTED_VALUE"""),26.51)</f>
        <v>26.51</v>
      </c>
      <c r="E4446" s="1">
        <f>IFERROR(__xludf.DUMMYFUNCTION("""COMPUTED_VALUE"""),29.7)</f>
        <v>29.7</v>
      </c>
      <c r="F4446" s="1">
        <f>IFERROR(__xludf.DUMMYFUNCTION("""COMPUTED_VALUE"""),1.18032643E8)</f>
        <v>118032643</v>
      </c>
    </row>
    <row r="4447">
      <c r="A4447" s="2">
        <f>IFERROR(__xludf.DUMMYFUNCTION("""COMPUTED_VALUE"""),45618.66666666667)</f>
        <v>45618.66667</v>
      </c>
      <c r="B4447" s="1">
        <f>IFERROR(__xludf.DUMMYFUNCTION("""COMPUTED_VALUE"""),30.84)</f>
        <v>30.84</v>
      </c>
      <c r="C4447" s="1">
        <f>IFERROR(__xludf.DUMMYFUNCTION("""COMPUTED_VALUE"""),34.37)</f>
        <v>34.37</v>
      </c>
      <c r="D4447" s="1">
        <f>IFERROR(__xludf.DUMMYFUNCTION("""COMPUTED_VALUE"""),30.5)</f>
        <v>30.5</v>
      </c>
      <c r="E4447" s="1">
        <f>IFERROR(__xludf.DUMMYFUNCTION("""COMPUTED_VALUE"""),33.15)</f>
        <v>33.15</v>
      </c>
      <c r="F4447" s="1">
        <f>IFERROR(__xludf.DUMMYFUNCTION("""COMPUTED_VALUE"""),1.59607101E8)</f>
        <v>159607101</v>
      </c>
    </row>
    <row r="4448">
      <c r="A4448" s="2">
        <f>IFERROR(__xludf.DUMMYFUNCTION("""COMPUTED_VALUE"""),45621.66666666667)</f>
        <v>45621.66667</v>
      </c>
      <c r="B4448" s="1">
        <f>IFERROR(__xludf.DUMMYFUNCTION("""COMPUTED_VALUE"""),36.03)</f>
        <v>36.03</v>
      </c>
      <c r="C4448" s="1">
        <f>IFERROR(__xludf.DUMMYFUNCTION("""COMPUTED_VALUE"""),39.23)</f>
        <v>39.23</v>
      </c>
      <c r="D4448" s="1">
        <f>IFERROR(__xludf.DUMMYFUNCTION("""COMPUTED_VALUE"""),35.55)</f>
        <v>35.55</v>
      </c>
      <c r="E4448" s="1">
        <f>IFERROR(__xludf.DUMMYFUNCTION("""COMPUTED_VALUE"""),38.41)</f>
        <v>38.41</v>
      </c>
      <c r="F4448" s="1">
        <f>IFERROR(__xludf.DUMMYFUNCTION("""COMPUTED_VALUE"""),1.70113673E8)</f>
        <v>170113673</v>
      </c>
    </row>
    <row r="4449">
      <c r="A4449" s="2">
        <f>IFERROR(__xludf.DUMMYFUNCTION("""COMPUTED_VALUE"""),45622.66666666667)</f>
        <v>45622.66667</v>
      </c>
      <c r="B4449" s="1">
        <f>IFERROR(__xludf.DUMMYFUNCTION("""COMPUTED_VALUE"""),37.59)</f>
        <v>37.59</v>
      </c>
      <c r="C4449" s="1">
        <f>IFERROR(__xludf.DUMMYFUNCTION("""COMPUTED_VALUE"""),37.67)</f>
        <v>37.67</v>
      </c>
      <c r="D4449" s="1">
        <f>IFERROR(__xludf.DUMMYFUNCTION("""COMPUTED_VALUE"""),34.03)</f>
        <v>34.03</v>
      </c>
      <c r="E4449" s="1">
        <f>IFERROR(__xludf.DUMMYFUNCTION("""COMPUTED_VALUE"""),34.43)</f>
        <v>34.43</v>
      </c>
      <c r="F4449" s="1">
        <f>IFERROR(__xludf.DUMMYFUNCTION("""COMPUTED_VALUE"""),9.5312995E7)</f>
        <v>95312995</v>
      </c>
    </row>
    <row r="4450">
      <c r="A4450" s="2">
        <f>IFERROR(__xludf.DUMMYFUNCTION("""COMPUTED_VALUE"""),45623.66666666667)</f>
        <v>45623.66667</v>
      </c>
      <c r="B4450" s="1">
        <f>IFERROR(__xludf.DUMMYFUNCTION("""COMPUTED_VALUE"""),35.26)</f>
        <v>35.26</v>
      </c>
      <c r="C4450" s="1">
        <f>IFERROR(__xludf.DUMMYFUNCTION("""COMPUTED_VALUE"""),37.14)</f>
        <v>37.14</v>
      </c>
      <c r="D4450" s="1">
        <f>IFERROR(__xludf.DUMMYFUNCTION("""COMPUTED_VALUE"""),34.43)</f>
        <v>34.43</v>
      </c>
      <c r="E4450" s="1">
        <f>IFERROR(__xludf.DUMMYFUNCTION("""COMPUTED_VALUE"""),35.07)</f>
        <v>35.07</v>
      </c>
      <c r="F4450" s="1">
        <f>IFERROR(__xludf.DUMMYFUNCTION("""COMPUTED_VALUE"""),6.3261342E7)</f>
        <v>63261342</v>
      </c>
    </row>
    <row r="4451">
      <c r="A4451" s="2">
        <f>IFERROR(__xludf.DUMMYFUNCTION("""COMPUTED_VALUE"""),45625.54513888889)</f>
        <v>45625.54514</v>
      </c>
      <c r="B4451" s="1">
        <f>IFERROR(__xludf.DUMMYFUNCTION("""COMPUTED_VALUE"""),32.97)</f>
        <v>32.97</v>
      </c>
      <c r="C4451" s="1">
        <f>IFERROR(__xludf.DUMMYFUNCTION("""COMPUTED_VALUE"""),33.49)</f>
        <v>33.49</v>
      </c>
      <c r="D4451" s="1">
        <f>IFERROR(__xludf.DUMMYFUNCTION("""COMPUTED_VALUE"""),31.11)</f>
        <v>31.11</v>
      </c>
      <c r="E4451" s="1">
        <f>IFERROR(__xludf.DUMMYFUNCTION("""COMPUTED_VALUE"""),32.64)</f>
        <v>32.64</v>
      </c>
      <c r="F4451" s="1">
        <f>IFERROR(__xludf.DUMMYFUNCTION("""COMPUTED_VALUE"""),6.0119948E7)</f>
        <v>60119948</v>
      </c>
    </row>
    <row r="4452">
      <c r="A4452" s="2">
        <f>IFERROR(__xludf.DUMMYFUNCTION("""COMPUTED_VALUE"""),45628.66666666667)</f>
        <v>45628.66667</v>
      </c>
      <c r="B4452" s="1">
        <f>IFERROR(__xludf.DUMMYFUNCTION("""COMPUTED_VALUE"""),37.78)</f>
        <v>37.78</v>
      </c>
      <c r="C4452" s="1">
        <f>IFERROR(__xludf.DUMMYFUNCTION("""COMPUTED_VALUE"""),44.15)</f>
        <v>44.15</v>
      </c>
      <c r="D4452" s="1">
        <f>IFERROR(__xludf.DUMMYFUNCTION("""COMPUTED_VALUE"""),35.32)</f>
        <v>35.32</v>
      </c>
      <c r="E4452" s="1">
        <f>IFERROR(__xludf.DUMMYFUNCTION("""COMPUTED_VALUE"""),42.0)</f>
        <v>42</v>
      </c>
      <c r="F4452" s="1">
        <f>IFERROR(__xludf.DUMMYFUNCTION("""COMPUTED_VALUE"""),2.63221608E8)</f>
        <v>263221608</v>
      </c>
    </row>
    <row r="4453">
      <c r="A4453" s="2">
        <f>IFERROR(__xludf.DUMMYFUNCTION("""COMPUTED_VALUE"""),45629.66666666667)</f>
        <v>45629.66667</v>
      </c>
      <c r="B4453" s="1">
        <f>IFERROR(__xludf.DUMMYFUNCTION("""COMPUTED_VALUE"""),44.42)</f>
        <v>44.42</v>
      </c>
      <c r="C4453" s="1">
        <f>IFERROR(__xludf.DUMMYFUNCTION("""COMPUTED_VALUE"""),45.99)</f>
        <v>45.99</v>
      </c>
      <c r="D4453" s="1">
        <f>IFERROR(__xludf.DUMMYFUNCTION("""COMPUTED_VALUE"""),38.82)</f>
        <v>38.82</v>
      </c>
      <c r="E4453" s="1">
        <f>IFERROR(__xludf.DUMMYFUNCTION("""COMPUTED_VALUE"""),40.21)</f>
        <v>40.21</v>
      </c>
      <c r="F4453" s="1">
        <f>IFERROR(__xludf.DUMMYFUNCTION("""COMPUTED_VALUE"""),2.04353025E8)</f>
        <v>204353025</v>
      </c>
    </row>
    <row r="4454">
      <c r="A4454" s="2">
        <f>IFERROR(__xludf.DUMMYFUNCTION("""COMPUTED_VALUE"""),45630.66666666667)</f>
        <v>45630.66667</v>
      </c>
      <c r="B4454" s="1">
        <f>IFERROR(__xludf.DUMMYFUNCTION("""COMPUTED_VALUE"""),40.15)</f>
        <v>40.15</v>
      </c>
      <c r="C4454" s="1">
        <f>IFERROR(__xludf.DUMMYFUNCTION("""COMPUTED_VALUE"""),42.5)</f>
        <v>42.5</v>
      </c>
      <c r="D4454" s="1">
        <f>IFERROR(__xludf.DUMMYFUNCTION("""COMPUTED_VALUE"""),39.52)</f>
        <v>39.52</v>
      </c>
      <c r="E4454" s="1">
        <f>IFERROR(__xludf.DUMMYFUNCTION("""COMPUTED_VALUE"""),41.81)</f>
        <v>41.81</v>
      </c>
      <c r="F4454" s="1">
        <f>IFERROR(__xludf.DUMMYFUNCTION("""COMPUTED_VALUE"""),9.6994407E7)</f>
        <v>96994407</v>
      </c>
    </row>
    <row r="4455">
      <c r="A4455" s="2">
        <f>IFERROR(__xludf.DUMMYFUNCTION("""COMPUTED_VALUE"""),45631.66666666667)</f>
        <v>45631.66667</v>
      </c>
      <c r="B4455" s="1">
        <f>IFERROR(__xludf.DUMMYFUNCTION("""COMPUTED_VALUE"""),42.42)</f>
        <v>42.42</v>
      </c>
      <c r="C4455" s="1">
        <f>IFERROR(__xludf.DUMMYFUNCTION("""COMPUTED_VALUE"""),42.83)</f>
        <v>42.83</v>
      </c>
      <c r="D4455" s="1">
        <f>IFERROR(__xludf.DUMMYFUNCTION("""COMPUTED_VALUE"""),40.92)</f>
        <v>40.92</v>
      </c>
      <c r="E4455" s="1">
        <f>IFERROR(__xludf.DUMMYFUNCTION("""COMPUTED_VALUE"""),41.14)</f>
        <v>41.14</v>
      </c>
      <c r="F4455" s="1">
        <f>IFERROR(__xludf.DUMMYFUNCTION("""COMPUTED_VALUE"""),7.1100387E7)</f>
        <v>71100387</v>
      </c>
    </row>
    <row r="4456">
      <c r="A4456" s="2">
        <f>IFERROR(__xludf.DUMMYFUNCTION("""COMPUTED_VALUE"""),45632.66666666667)</f>
        <v>45632.66667</v>
      </c>
      <c r="B4456" s="1">
        <f>IFERROR(__xludf.DUMMYFUNCTION("""COMPUTED_VALUE"""),42.03)</f>
        <v>42.03</v>
      </c>
      <c r="C4456" s="1">
        <f>IFERROR(__xludf.DUMMYFUNCTION("""COMPUTED_VALUE"""),44.97)</f>
        <v>44.97</v>
      </c>
      <c r="D4456" s="1">
        <f>IFERROR(__xludf.DUMMYFUNCTION("""COMPUTED_VALUE"""),41.34)</f>
        <v>41.34</v>
      </c>
      <c r="E4456" s="1">
        <f>IFERROR(__xludf.DUMMYFUNCTION("""COMPUTED_VALUE"""),43.93)</f>
        <v>43.93</v>
      </c>
      <c r="F4456" s="1">
        <f>IFERROR(__xludf.DUMMYFUNCTION("""COMPUTED_VALUE"""),1.08671335E8)</f>
        <v>108671335</v>
      </c>
    </row>
    <row r="4457">
      <c r="A4457" s="2">
        <f>IFERROR(__xludf.DUMMYFUNCTION("""COMPUTED_VALUE"""),45635.66666666667)</f>
        <v>45635.66667</v>
      </c>
      <c r="B4457" s="1">
        <f>IFERROR(__xludf.DUMMYFUNCTION("""COMPUTED_VALUE"""),47.93)</f>
        <v>47.93</v>
      </c>
      <c r="C4457" s="1">
        <f>IFERROR(__xludf.DUMMYFUNCTION("""COMPUTED_VALUE"""),48.0)</f>
        <v>48</v>
      </c>
      <c r="D4457" s="1">
        <f>IFERROR(__xludf.DUMMYFUNCTION("""COMPUTED_VALUE"""),44.09)</f>
        <v>44.09</v>
      </c>
      <c r="E4457" s="1">
        <f>IFERROR(__xludf.DUMMYFUNCTION("""COMPUTED_VALUE"""),44.16)</f>
        <v>44.16</v>
      </c>
      <c r="F4457" s="1">
        <f>IFERROR(__xludf.DUMMYFUNCTION("""COMPUTED_VALUE"""),9.8777286E7)</f>
        <v>98777286</v>
      </c>
    </row>
    <row r="4458">
      <c r="A4458" s="2">
        <f>IFERROR(__xludf.DUMMYFUNCTION("""COMPUTED_VALUE"""),45636.66666666667)</f>
        <v>45636.66667</v>
      </c>
      <c r="B4458" s="1">
        <f>IFERROR(__xludf.DUMMYFUNCTION("""COMPUTED_VALUE"""),43.39)</f>
        <v>43.39</v>
      </c>
      <c r="C4458" s="1">
        <f>IFERROR(__xludf.DUMMYFUNCTION("""COMPUTED_VALUE"""),43.41)</f>
        <v>43.41</v>
      </c>
      <c r="D4458" s="1">
        <f>IFERROR(__xludf.DUMMYFUNCTION("""COMPUTED_VALUE"""),39.77)</f>
        <v>39.77</v>
      </c>
      <c r="E4458" s="1">
        <f>IFERROR(__xludf.DUMMYFUNCTION("""COMPUTED_VALUE"""),40.54)</f>
        <v>40.54</v>
      </c>
      <c r="F4458" s="1">
        <f>IFERROR(__xludf.DUMMYFUNCTION("""COMPUTED_VALUE"""),8.3380575E7)</f>
        <v>83380575</v>
      </c>
    </row>
    <row r="4459">
      <c r="A4459" s="2">
        <f>IFERROR(__xludf.DUMMYFUNCTION("""COMPUTED_VALUE"""),45637.66666666667)</f>
        <v>45637.66667</v>
      </c>
      <c r="B4459" s="1">
        <f>IFERROR(__xludf.DUMMYFUNCTION("""COMPUTED_VALUE"""),38.19)</f>
        <v>38.19</v>
      </c>
      <c r="C4459" s="1">
        <f>IFERROR(__xludf.DUMMYFUNCTION("""COMPUTED_VALUE"""),38.8)</f>
        <v>38.8</v>
      </c>
      <c r="D4459" s="1">
        <f>IFERROR(__xludf.DUMMYFUNCTION("""COMPUTED_VALUE"""),36.07)</f>
        <v>36.07</v>
      </c>
      <c r="E4459" s="1">
        <f>IFERROR(__xludf.DUMMYFUNCTION("""COMPUTED_VALUE"""),38.29)</f>
        <v>38.29</v>
      </c>
      <c r="F4459" s="1">
        <f>IFERROR(__xludf.DUMMYFUNCTION("""COMPUTED_VALUE"""),7.9559851E7)</f>
        <v>79559851</v>
      </c>
    </row>
    <row r="4460">
      <c r="A4460" s="2">
        <f>IFERROR(__xludf.DUMMYFUNCTION("""COMPUTED_VALUE"""),45638.66666666667)</f>
        <v>45638.66667</v>
      </c>
      <c r="B4460" s="1">
        <f>IFERROR(__xludf.DUMMYFUNCTION("""COMPUTED_VALUE"""),37.81)</f>
        <v>37.81</v>
      </c>
      <c r="C4460" s="1">
        <f>IFERROR(__xludf.DUMMYFUNCTION("""COMPUTED_VALUE"""),39.8)</f>
        <v>39.8</v>
      </c>
      <c r="D4460" s="1">
        <f>IFERROR(__xludf.DUMMYFUNCTION("""COMPUTED_VALUE"""),37.5)</f>
        <v>37.5</v>
      </c>
      <c r="E4460" s="1">
        <f>IFERROR(__xludf.DUMMYFUNCTION("""COMPUTED_VALUE"""),37.93)</f>
        <v>37.93</v>
      </c>
      <c r="F4460" s="1">
        <f>IFERROR(__xludf.DUMMYFUNCTION("""COMPUTED_VALUE"""),3.9402372E7)</f>
        <v>39402372</v>
      </c>
    </row>
    <row r="4461">
      <c r="A4461" s="2">
        <f>IFERROR(__xludf.DUMMYFUNCTION("""COMPUTED_VALUE"""),45639.66666666667)</f>
        <v>45639.66667</v>
      </c>
      <c r="B4461" s="1">
        <f>IFERROR(__xludf.DUMMYFUNCTION("""COMPUTED_VALUE"""),37.0)</f>
        <v>37</v>
      </c>
      <c r="C4461" s="1">
        <f>IFERROR(__xludf.DUMMYFUNCTION("""COMPUTED_VALUE"""),37.55)</f>
        <v>37.55</v>
      </c>
      <c r="D4461" s="1">
        <f>IFERROR(__xludf.DUMMYFUNCTION("""COMPUTED_VALUE"""),35.55)</f>
        <v>35.55</v>
      </c>
      <c r="E4461" s="1">
        <f>IFERROR(__xludf.DUMMYFUNCTION("""COMPUTED_VALUE"""),36.45)</f>
        <v>36.45</v>
      </c>
      <c r="F4461" s="1">
        <f>IFERROR(__xludf.DUMMYFUNCTION("""COMPUTED_VALUE"""),6.484735E7)</f>
        <v>64847350</v>
      </c>
    </row>
    <row r="4462">
      <c r="A4462" s="2">
        <f>IFERROR(__xludf.DUMMYFUNCTION("""COMPUTED_VALUE"""),45642.66666666667)</f>
        <v>45642.66667</v>
      </c>
      <c r="B4462" s="1">
        <f>IFERROR(__xludf.DUMMYFUNCTION("""COMPUTED_VALUE"""),31.51)</f>
        <v>31.51</v>
      </c>
      <c r="C4462" s="1">
        <f>IFERROR(__xludf.DUMMYFUNCTION("""COMPUTED_VALUE"""),35.38)</f>
        <v>35.38</v>
      </c>
      <c r="D4462" s="1">
        <f>IFERROR(__xludf.DUMMYFUNCTION("""COMPUTED_VALUE"""),31.2)</f>
        <v>31.2</v>
      </c>
      <c r="E4462" s="1">
        <f>IFERROR(__xludf.DUMMYFUNCTION("""COMPUTED_VALUE"""),33.44)</f>
        <v>33.44</v>
      </c>
      <c r="F4462" s="1">
        <f>IFERROR(__xludf.DUMMYFUNCTION("""COMPUTED_VALUE"""),8.2607188E7)</f>
        <v>82607188</v>
      </c>
    </row>
    <row r="4463">
      <c r="A4463" s="2">
        <f>IFERROR(__xludf.DUMMYFUNCTION("""COMPUTED_VALUE"""),45643.66666666667)</f>
        <v>45643.66667</v>
      </c>
      <c r="B4463" s="1">
        <f>IFERROR(__xludf.DUMMYFUNCTION("""COMPUTED_VALUE"""),33.64)</f>
        <v>33.64</v>
      </c>
      <c r="C4463" s="1">
        <f>IFERROR(__xludf.DUMMYFUNCTION("""COMPUTED_VALUE"""),35.37)</f>
        <v>35.37</v>
      </c>
      <c r="D4463" s="1">
        <f>IFERROR(__xludf.DUMMYFUNCTION("""COMPUTED_VALUE"""),33.34)</f>
        <v>33.34</v>
      </c>
      <c r="E4463" s="1">
        <f>IFERROR(__xludf.DUMMYFUNCTION("""COMPUTED_VALUE"""),33.8)</f>
        <v>33.8</v>
      </c>
      <c r="F4463" s="1">
        <f>IFERROR(__xludf.DUMMYFUNCTION("""COMPUTED_VALUE"""),4.1821719E7)</f>
        <v>41821719</v>
      </c>
    </row>
    <row r="4464">
      <c r="A4464" s="2">
        <f>IFERROR(__xludf.DUMMYFUNCTION("""COMPUTED_VALUE"""),45644.66666666667)</f>
        <v>45644.66667</v>
      </c>
      <c r="B4464" s="1">
        <f>IFERROR(__xludf.DUMMYFUNCTION("""COMPUTED_VALUE"""),33.8)</f>
        <v>33.8</v>
      </c>
      <c r="C4464" s="1">
        <f>IFERROR(__xludf.DUMMYFUNCTION("""COMPUTED_VALUE"""),34.72)</f>
        <v>34.72</v>
      </c>
      <c r="D4464" s="1">
        <f>IFERROR(__xludf.DUMMYFUNCTION("""COMPUTED_VALUE"""),32.01)</f>
        <v>32.01</v>
      </c>
      <c r="E4464" s="1">
        <f>IFERROR(__xludf.DUMMYFUNCTION("""COMPUTED_VALUE"""),32.23)</f>
        <v>32.23</v>
      </c>
      <c r="F4464" s="1">
        <f>IFERROR(__xludf.DUMMYFUNCTION("""COMPUTED_VALUE"""),4.8010979E7)</f>
        <v>48010979</v>
      </c>
    </row>
    <row r="4465">
      <c r="A4465" s="2">
        <f>IFERROR(__xludf.DUMMYFUNCTION("""COMPUTED_VALUE"""),45645.66666666667)</f>
        <v>45645.66667</v>
      </c>
      <c r="B4465" s="1">
        <f>IFERROR(__xludf.DUMMYFUNCTION("""COMPUTED_VALUE"""),32.92)</f>
        <v>32.92</v>
      </c>
      <c r="C4465" s="1">
        <f>IFERROR(__xludf.DUMMYFUNCTION("""COMPUTED_VALUE"""),33.47)</f>
        <v>33.47</v>
      </c>
      <c r="D4465" s="1">
        <f>IFERROR(__xludf.DUMMYFUNCTION("""COMPUTED_VALUE"""),30.82)</f>
        <v>30.82</v>
      </c>
      <c r="E4465" s="1">
        <f>IFERROR(__xludf.DUMMYFUNCTION("""COMPUTED_VALUE"""),31.24)</f>
        <v>31.24</v>
      </c>
      <c r="F4465" s="1">
        <f>IFERROR(__xludf.DUMMYFUNCTION("""COMPUTED_VALUE"""),3.9138318E7)</f>
        <v>39138318</v>
      </c>
    </row>
    <row r="4466">
      <c r="A4466" s="2">
        <f>IFERROR(__xludf.DUMMYFUNCTION("""COMPUTED_VALUE"""),45646.66666666667)</f>
        <v>45646.66667</v>
      </c>
      <c r="B4466" s="1">
        <f>IFERROR(__xludf.DUMMYFUNCTION("""COMPUTED_VALUE"""),30.95)</f>
        <v>30.95</v>
      </c>
      <c r="C4466" s="1">
        <f>IFERROR(__xludf.DUMMYFUNCTION("""COMPUTED_VALUE"""),33.47)</f>
        <v>33.47</v>
      </c>
      <c r="D4466" s="1">
        <f>IFERROR(__xludf.DUMMYFUNCTION("""COMPUTED_VALUE"""),30.51)</f>
        <v>30.51</v>
      </c>
      <c r="E4466" s="1">
        <f>IFERROR(__xludf.DUMMYFUNCTION("""COMPUTED_VALUE"""),31.59)</f>
        <v>31.59</v>
      </c>
      <c r="F4466" s="1">
        <f>IFERROR(__xludf.DUMMYFUNCTION("""COMPUTED_VALUE"""),8.5656298E7)</f>
        <v>85656298</v>
      </c>
    </row>
    <row r="4467">
      <c r="A4467" s="2">
        <f>IFERROR(__xludf.DUMMYFUNCTION("""COMPUTED_VALUE"""),45649.66666666667)</f>
        <v>45649.66667</v>
      </c>
      <c r="B4467" s="1">
        <f>IFERROR(__xludf.DUMMYFUNCTION("""COMPUTED_VALUE"""),31.82)</f>
        <v>31.82</v>
      </c>
      <c r="C4467" s="1">
        <f>IFERROR(__xludf.DUMMYFUNCTION("""COMPUTED_VALUE"""),32.59)</f>
        <v>32.59</v>
      </c>
      <c r="D4467" s="1">
        <f>IFERROR(__xludf.DUMMYFUNCTION("""COMPUTED_VALUE"""),31.58)</f>
        <v>31.58</v>
      </c>
      <c r="E4467" s="1">
        <f>IFERROR(__xludf.DUMMYFUNCTION("""COMPUTED_VALUE"""),32.4)</f>
        <v>32.4</v>
      </c>
      <c r="F4467" s="1">
        <f>IFERROR(__xludf.DUMMYFUNCTION("""COMPUTED_VALUE"""),2.6032258E7)</f>
        <v>26032258</v>
      </c>
    </row>
    <row r="4468">
      <c r="A4468" s="2">
        <f>IFERROR(__xludf.DUMMYFUNCTION("""COMPUTED_VALUE"""),45650.54513888889)</f>
        <v>45650.54514</v>
      </c>
      <c r="B4468" s="1">
        <f>IFERROR(__xludf.DUMMYFUNCTION("""COMPUTED_VALUE"""),32.3)</f>
        <v>32.3</v>
      </c>
      <c r="C4468" s="1">
        <f>IFERROR(__xludf.DUMMYFUNCTION("""COMPUTED_VALUE"""),35.5)</f>
        <v>35.5</v>
      </c>
      <c r="D4468" s="1">
        <f>IFERROR(__xludf.DUMMYFUNCTION("""COMPUTED_VALUE"""),32.19)</f>
        <v>32.19</v>
      </c>
      <c r="E4468" s="1">
        <f>IFERROR(__xludf.DUMMYFUNCTION("""COMPUTED_VALUE"""),34.33)</f>
        <v>34.33</v>
      </c>
      <c r="F4468" s="1">
        <f>IFERROR(__xludf.DUMMYFUNCTION("""COMPUTED_VALUE"""),4.133974E7)</f>
        <v>41339740</v>
      </c>
    </row>
    <row r="4469">
      <c r="A4469" s="2">
        <f>IFERROR(__xludf.DUMMYFUNCTION("""COMPUTED_VALUE"""),45652.66666666667)</f>
        <v>45652.66667</v>
      </c>
      <c r="B4469" s="1">
        <f>IFERROR(__xludf.DUMMYFUNCTION("""COMPUTED_VALUE"""),35.09)</f>
        <v>35.09</v>
      </c>
      <c r="C4469" s="1">
        <f>IFERROR(__xludf.DUMMYFUNCTION("""COMPUTED_VALUE"""),35.41)</f>
        <v>35.41</v>
      </c>
      <c r="D4469" s="1">
        <f>IFERROR(__xludf.DUMMYFUNCTION("""COMPUTED_VALUE"""),33.0)</f>
        <v>33</v>
      </c>
      <c r="E4469" s="1">
        <f>IFERROR(__xludf.DUMMYFUNCTION("""COMPUTED_VALUE"""),33.74)</f>
        <v>33.74</v>
      </c>
      <c r="F4469" s="1">
        <f>IFERROR(__xludf.DUMMYFUNCTION("""COMPUTED_VALUE"""),2.8221564E7)</f>
        <v>28221564</v>
      </c>
    </row>
    <row r="4470">
      <c r="A4470" s="2">
        <f>IFERROR(__xludf.DUMMYFUNCTION("""COMPUTED_VALUE"""),45653.66666666667)</f>
        <v>45653.66667</v>
      </c>
      <c r="B4470" s="1">
        <f>IFERROR(__xludf.DUMMYFUNCTION("""COMPUTED_VALUE"""),33.25)</f>
        <v>33.25</v>
      </c>
      <c r="C4470" s="1">
        <f>IFERROR(__xludf.DUMMYFUNCTION("""COMPUTED_VALUE"""),33.56)</f>
        <v>33.56</v>
      </c>
      <c r="D4470" s="1">
        <f>IFERROR(__xludf.DUMMYFUNCTION("""COMPUTED_VALUE"""),31.64)</f>
        <v>31.64</v>
      </c>
      <c r="E4470" s="1">
        <f>IFERROR(__xludf.DUMMYFUNCTION("""COMPUTED_VALUE"""),31.98)</f>
        <v>31.98</v>
      </c>
      <c r="F4470" s="1">
        <f>IFERROR(__xludf.DUMMYFUNCTION("""COMPUTED_VALUE"""),3.2070595E7)</f>
        <v>32070595</v>
      </c>
    </row>
    <row r="4471">
      <c r="A4471" s="2">
        <f>IFERROR(__xludf.DUMMYFUNCTION("""COMPUTED_VALUE"""),45656.66666666667)</f>
        <v>45656.66667</v>
      </c>
      <c r="B4471" s="1">
        <f>IFERROR(__xludf.DUMMYFUNCTION("""COMPUTED_VALUE"""),31.28)</f>
        <v>31.28</v>
      </c>
      <c r="C4471" s="1">
        <f>IFERROR(__xludf.DUMMYFUNCTION("""COMPUTED_VALUE"""),31.49)</f>
        <v>31.49</v>
      </c>
      <c r="D4471" s="1">
        <f>IFERROR(__xludf.DUMMYFUNCTION("""COMPUTED_VALUE"""),30.12)</f>
        <v>30.12</v>
      </c>
      <c r="E4471" s="1">
        <f>IFERROR(__xludf.DUMMYFUNCTION("""COMPUTED_VALUE"""),30.68)</f>
        <v>30.68</v>
      </c>
      <c r="F4471" s="1">
        <f>IFERROR(__xludf.DUMMYFUNCTION("""COMPUTED_VALUE"""),3.2119853E7)</f>
        <v>32119853</v>
      </c>
    </row>
    <row r="4472">
      <c r="A4472" s="2">
        <f>IFERROR(__xludf.DUMMYFUNCTION("""COMPUTED_VALUE"""),45657.66666666667)</f>
        <v>45657.66667</v>
      </c>
      <c r="B4472" s="1">
        <f>IFERROR(__xludf.DUMMYFUNCTION("""COMPUTED_VALUE"""),30.87)</f>
        <v>30.87</v>
      </c>
      <c r="C4472" s="1">
        <f>IFERROR(__xludf.DUMMYFUNCTION("""COMPUTED_VALUE"""),31.39)</f>
        <v>31.39</v>
      </c>
      <c r="D4472" s="1">
        <f>IFERROR(__xludf.DUMMYFUNCTION("""COMPUTED_VALUE"""),29.95)</f>
        <v>29.95</v>
      </c>
      <c r="E4472" s="1">
        <f>IFERROR(__xludf.DUMMYFUNCTION("""COMPUTED_VALUE"""),30.48)</f>
        <v>30.48</v>
      </c>
      <c r="F4472" s="1">
        <f>IFERROR(__xludf.DUMMYFUNCTION("""COMPUTED_VALUE"""),2.6546713E7)</f>
        <v>26546713</v>
      </c>
    </row>
    <row r="4473">
      <c r="A4473" s="2">
        <f>IFERROR(__xludf.DUMMYFUNCTION("""COMPUTED_VALUE"""),45659.66666666667)</f>
        <v>45659.66667</v>
      </c>
      <c r="B4473" s="1">
        <f>IFERROR(__xludf.DUMMYFUNCTION("""COMPUTED_VALUE"""),30.97)</f>
        <v>30.97</v>
      </c>
      <c r="C4473" s="1">
        <f>IFERROR(__xludf.DUMMYFUNCTION("""COMPUTED_VALUE"""),31.39)</f>
        <v>31.39</v>
      </c>
      <c r="D4473" s="1">
        <f>IFERROR(__xludf.DUMMYFUNCTION("""COMPUTED_VALUE"""),29.9)</f>
        <v>29.9</v>
      </c>
      <c r="E4473" s="1">
        <f>IFERROR(__xludf.DUMMYFUNCTION("""COMPUTED_VALUE"""),30.05)</f>
        <v>30.05</v>
      </c>
      <c r="F4473" s="1">
        <f>IFERROR(__xludf.DUMMYFUNCTION("""COMPUTED_VALUE"""),2.4396485E7)</f>
        <v>24396485</v>
      </c>
    </row>
    <row r="4474">
      <c r="A4474" s="2">
        <f>IFERROR(__xludf.DUMMYFUNCTION("""COMPUTED_VALUE"""),45660.66666666667)</f>
        <v>45660.66667</v>
      </c>
      <c r="B4474" s="1">
        <f>IFERROR(__xludf.DUMMYFUNCTION("""COMPUTED_VALUE"""),30.41)</f>
        <v>30.41</v>
      </c>
      <c r="C4474" s="1">
        <f>IFERROR(__xludf.DUMMYFUNCTION("""COMPUTED_VALUE"""),33.45)</f>
        <v>33.45</v>
      </c>
      <c r="D4474" s="1">
        <f>IFERROR(__xludf.DUMMYFUNCTION("""COMPUTED_VALUE"""),30.13)</f>
        <v>30.13</v>
      </c>
      <c r="E4474" s="1">
        <f>IFERROR(__xludf.DUMMYFUNCTION("""COMPUTED_VALUE"""),33.33)</f>
        <v>33.33</v>
      </c>
      <c r="F4474" s="1">
        <f>IFERROR(__xludf.DUMMYFUNCTION("""COMPUTED_VALUE"""),3.4497033E7)</f>
        <v>34497033</v>
      </c>
    </row>
    <row r="4475">
      <c r="A4475" s="2">
        <f>IFERROR(__xludf.DUMMYFUNCTION("""COMPUTED_VALUE"""),45663.66666666667)</f>
        <v>45663.66667</v>
      </c>
      <c r="B4475" s="1">
        <f>IFERROR(__xludf.DUMMYFUNCTION("""COMPUTED_VALUE"""),34.95)</f>
        <v>34.95</v>
      </c>
      <c r="C4475" s="1">
        <f>IFERROR(__xludf.DUMMYFUNCTION("""COMPUTED_VALUE"""),38.5)</f>
        <v>38.5</v>
      </c>
      <c r="D4475" s="1">
        <f>IFERROR(__xludf.DUMMYFUNCTION("""COMPUTED_VALUE"""),34.92)</f>
        <v>34.92</v>
      </c>
      <c r="E4475" s="1">
        <f>IFERROR(__xludf.DUMMYFUNCTION("""COMPUTED_VALUE"""),36.45)</f>
        <v>36.45</v>
      </c>
      <c r="F4475" s="1">
        <f>IFERROR(__xludf.DUMMYFUNCTION("""COMPUTED_VALUE"""),5.6472643E7)</f>
        <v>56472643</v>
      </c>
    </row>
    <row r="4476">
      <c r="A4476" s="2">
        <f>IFERROR(__xludf.DUMMYFUNCTION("""COMPUTED_VALUE"""),45664.66666666667)</f>
        <v>45664.66667</v>
      </c>
      <c r="B4476" s="1">
        <f>IFERROR(__xludf.DUMMYFUNCTION("""COMPUTED_VALUE"""),36.34)</f>
        <v>36.34</v>
      </c>
      <c r="C4476" s="1">
        <f>IFERROR(__xludf.DUMMYFUNCTION("""COMPUTED_VALUE"""),36.55)</f>
        <v>36.55</v>
      </c>
      <c r="D4476" s="1">
        <f>IFERROR(__xludf.DUMMYFUNCTION("""COMPUTED_VALUE"""),34.06)</f>
        <v>34.06</v>
      </c>
      <c r="E4476" s="1">
        <f>IFERROR(__xludf.DUMMYFUNCTION("""COMPUTED_VALUE"""),34.38)</f>
        <v>34.38</v>
      </c>
      <c r="F4476" s="1">
        <f>IFERROR(__xludf.DUMMYFUNCTION("""COMPUTED_VALUE"""),3.3287836E7)</f>
        <v>33287836</v>
      </c>
    </row>
    <row r="4477">
      <c r="A4477" s="2">
        <f>IFERROR(__xludf.DUMMYFUNCTION("""COMPUTED_VALUE"""),45665.66666666667)</f>
        <v>45665.66667</v>
      </c>
      <c r="B4477" s="1">
        <f>IFERROR(__xludf.DUMMYFUNCTION("""COMPUTED_VALUE"""),33.97)</f>
        <v>33.97</v>
      </c>
      <c r="C4477" s="1">
        <f>IFERROR(__xludf.DUMMYFUNCTION("""COMPUTED_VALUE"""),33.97)</f>
        <v>33.97</v>
      </c>
      <c r="D4477" s="1">
        <f>IFERROR(__xludf.DUMMYFUNCTION("""COMPUTED_VALUE"""),31.72)</f>
        <v>31.72</v>
      </c>
      <c r="E4477" s="1">
        <f>IFERROR(__xludf.DUMMYFUNCTION("""COMPUTED_VALUE"""),32.61)</f>
        <v>32.61</v>
      </c>
      <c r="F4477" s="1">
        <f>IFERROR(__xludf.DUMMYFUNCTION("""COMPUTED_VALUE"""),2.5899063E7)</f>
        <v>25899063</v>
      </c>
    </row>
    <row r="4478">
      <c r="A4478" s="2">
        <f>IFERROR(__xludf.DUMMYFUNCTION("""COMPUTED_VALUE"""),45667.66666666667)</f>
        <v>45667.66667</v>
      </c>
      <c r="B4478" s="1">
        <f>IFERROR(__xludf.DUMMYFUNCTION("""COMPUTED_VALUE"""),32.3)</f>
        <v>32.3</v>
      </c>
      <c r="C4478" s="1">
        <f>IFERROR(__xludf.DUMMYFUNCTION("""COMPUTED_VALUE"""),34.08)</f>
        <v>34.08</v>
      </c>
      <c r="D4478" s="1">
        <f>IFERROR(__xludf.DUMMYFUNCTION("""COMPUTED_VALUE"""),31.71)</f>
        <v>31.71</v>
      </c>
      <c r="E4478" s="1">
        <f>IFERROR(__xludf.DUMMYFUNCTION("""COMPUTED_VALUE"""),32.6)</f>
        <v>32.6</v>
      </c>
      <c r="F4478" s="1">
        <f>IFERROR(__xludf.DUMMYFUNCTION("""COMPUTED_VALUE"""),2.975489E7)</f>
        <v>29754890</v>
      </c>
    </row>
    <row r="4479">
      <c r="A4479" s="2">
        <f>IFERROR(__xludf.DUMMYFUNCTION("""COMPUTED_VALUE"""),45670.66666666667)</f>
        <v>45670.66667</v>
      </c>
      <c r="B4479" s="1">
        <f>IFERROR(__xludf.DUMMYFUNCTION("""COMPUTED_VALUE"""),30.84)</f>
        <v>30.84</v>
      </c>
      <c r="C4479" s="1">
        <f>IFERROR(__xludf.DUMMYFUNCTION("""COMPUTED_VALUE"""),31.24)</f>
        <v>31.24</v>
      </c>
      <c r="D4479" s="1">
        <f>IFERROR(__xludf.DUMMYFUNCTION("""COMPUTED_VALUE"""),29.01)</f>
        <v>29.01</v>
      </c>
      <c r="E4479" s="1">
        <f>IFERROR(__xludf.DUMMYFUNCTION("""COMPUTED_VALUE"""),31.08)</f>
        <v>31.08</v>
      </c>
      <c r="F4479" s="1">
        <f>IFERROR(__xludf.DUMMYFUNCTION("""COMPUTED_VALUE"""),3.391313E7)</f>
        <v>33913130</v>
      </c>
    </row>
    <row r="4480">
      <c r="A4480" s="2">
        <f>IFERROR(__xludf.DUMMYFUNCTION("""COMPUTED_VALUE"""),45671.66666666667)</f>
        <v>45671.66667</v>
      </c>
      <c r="B4480" s="1">
        <f>IFERROR(__xludf.DUMMYFUNCTION("""COMPUTED_VALUE"""),31.95)</f>
        <v>31.95</v>
      </c>
      <c r="C4480" s="1">
        <f>IFERROR(__xludf.DUMMYFUNCTION("""COMPUTED_VALUE"""),32.39)</f>
        <v>32.39</v>
      </c>
      <c r="D4480" s="1">
        <f>IFERROR(__xludf.DUMMYFUNCTION("""COMPUTED_VALUE"""),30.4)</f>
        <v>30.4</v>
      </c>
      <c r="E4480" s="1">
        <f>IFERROR(__xludf.DUMMYFUNCTION("""COMPUTED_VALUE"""),30.53)</f>
        <v>30.53</v>
      </c>
      <c r="F4480" s="1">
        <f>IFERROR(__xludf.DUMMYFUNCTION("""COMPUTED_VALUE"""),2.1517927E7)</f>
        <v>21517927</v>
      </c>
    </row>
    <row r="4481">
      <c r="A4481" s="2">
        <f>IFERROR(__xludf.DUMMYFUNCTION("""COMPUTED_VALUE"""),45672.66666666667)</f>
        <v>45672.66667</v>
      </c>
      <c r="B4481" s="1">
        <f>IFERROR(__xludf.DUMMYFUNCTION("""COMPUTED_VALUE"""),31.38)</f>
        <v>31.38</v>
      </c>
      <c r="C4481" s="1">
        <f>IFERROR(__xludf.DUMMYFUNCTION("""COMPUTED_VALUE"""),31.71)</f>
        <v>31.71</v>
      </c>
      <c r="D4481" s="1">
        <f>IFERROR(__xludf.DUMMYFUNCTION("""COMPUTED_VALUE"""),30.48)</f>
        <v>30.48</v>
      </c>
      <c r="E4481" s="1">
        <f>IFERROR(__xludf.DUMMYFUNCTION("""COMPUTED_VALUE"""),30.99)</f>
        <v>30.99</v>
      </c>
      <c r="F4481" s="1">
        <f>IFERROR(__xludf.DUMMYFUNCTION("""COMPUTED_VALUE"""),2.741667E7)</f>
        <v>27416670</v>
      </c>
    </row>
    <row r="4482">
      <c r="A4482" s="2">
        <f>IFERROR(__xludf.DUMMYFUNCTION("""COMPUTED_VALUE"""),45673.66666666667)</f>
        <v>45673.66667</v>
      </c>
      <c r="B4482" s="1">
        <f>IFERROR(__xludf.DUMMYFUNCTION("""COMPUTED_VALUE"""),31.9)</f>
        <v>31.9</v>
      </c>
      <c r="C4482" s="1">
        <f>IFERROR(__xludf.DUMMYFUNCTION("""COMPUTED_VALUE"""),32.82)</f>
        <v>32.82</v>
      </c>
      <c r="D4482" s="1">
        <f>IFERROR(__xludf.DUMMYFUNCTION("""COMPUTED_VALUE"""),30.89)</f>
        <v>30.89</v>
      </c>
      <c r="E4482" s="1">
        <f>IFERROR(__xludf.DUMMYFUNCTION("""COMPUTED_VALUE"""),31.12)</f>
        <v>31.12</v>
      </c>
      <c r="F4482" s="1">
        <f>IFERROR(__xludf.DUMMYFUNCTION("""COMPUTED_VALUE"""),2.6766812E7)</f>
        <v>26766812</v>
      </c>
    </row>
    <row r="4483">
      <c r="A4483" s="2">
        <f>IFERROR(__xludf.DUMMYFUNCTION("""COMPUTED_VALUE"""),45674.66666666667)</f>
        <v>45674.66667</v>
      </c>
      <c r="B4483" s="1">
        <f>IFERROR(__xludf.DUMMYFUNCTION("""COMPUTED_VALUE"""),31.75)</f>
        <v>31.75</v>
      </c>
      <c r="C4483" s="1">
        <f>IFERROR(__xludf.DUMMYFUNCTION("""COMPUTED_VALUE"""),31.83)</f>
        <v>31.83</v>
      </c>
      <c r="D4483" s="1">
        <f>IFERROR(__xludf.DUMMYFUNCTION("""COMPUTED_VALUE"""),30.76)</f>
        <v>30.76</v>
      </c>
      <c r="E4483" s="1">
        <f>IFERROR(__xludf.DUMMYFUNCTION("""COMPUTED_VALUE"""),30.82)</f>
        <v>30.82</v>
      </c>
      <c r="F4483" s="1">
        <f>IFERROR(__xludf.DUMMYFUNCTION("""COMPUTED_VALUE"""),2.4396463E7)</f>
        <v>24396463</v>
      </c>
    </row>
    <row r="4484">
      <c r="A4484" s="2">
        <f>IFERROR(__xludf.DUMMYFUNCTION("""COMPUTED_VALUE"""),45678.66666666667)</f>
        <v>45678.66667</v>
      </c>
      <c r="B4484" s="1">
        <f>IFERROR(__xludf.DUMMYFUNCTION("""COMPUTED_VALUE"""),31.38)</f>
        <v>31.38</v>
      </c>
      <c r="C4484" s="1">
        <f>IFERROR(__xludf.DUMMYFUNCTION("""COMPUTED_VALUE"""),33.49)</f>
        <v>33.49</v>
      </c>
      <c r="D4484" s="1">
        <f>IFERROR(__xludf.DUMMYFUNCTION("""COMPUTED_VALUE"""),31.11)</f>
        <v>31.11</v>
      </c>
      <c r="E4484" s="1">
        <f>IFERROR(__xludf.DUMMYFUNCTION("""COMPUTED_VALUE"""),32.45)</f>
        <v>32.45</v>
      </c>
      <c r="F4484" s="1">
        <f>IFERROR(__xludf.DUMMYFUNCTION("""COMPUTED_VALUE"""),4.0097572E7)</f>
        <v>40097572</v>
      </c>
    </row>
    <row r="4485">
      <c r="A4485" s="2">
        <f>IFERROR(__xludf.DUMMYFUNCTION("""COMPUTED_VALUE"""),45679.66666666667)</f>
        <v>45679.66667</v>
      </c>
      <c r="B4485" s="1">
        <f>IFERROR(__xludf.DUMMYFUNCTION("""COMPUTED_VALUE"""),33.98)</f>
        <v>33.98</v>
      </c>
      <c r="C4485" s="1">
        <f>IFERROR(__xludf.DUMMYFUNCTION("""COMPUTED_VALUE"""),34.98)</f>
        <v>34.98</v>
      </c>
      <c r="D4485" s="1">
        <f>IFERROR(__xludf.DUMMYFUNCTION("""COMPUTED_VALUE"""),32.7)</f>
        <v>32.7</v>
      </c>
      <c r="E4485" s="1">
        <f>IFERROR(__xludf.DUMMYFUNCTION("""COMPUTED_VALUE"""),33.86)</f>
        <v>33.86</v>
      </c>
      <c r="F4485" s="1">
        <f>IFERROR(__xludf.DUMMYFUNCTION("""COMPUTED_VALUE"""),4.6466177E7)</f>
        <v>46466177</v>
      </c>
    </row>
    <row r="4486">
      <c r="A4486" s="2">
        <f>IFERROR(__xludf.DUMMYFUNCTION("""COMPUTED_VALUE"""),45680.66666666667)</f>
        <v>45680.66667</v>
      </c>
      <c r="B4486" s="1">
        <f>IFERROR(__xludf.DUMMYFUNCTION("""COMPUTED_VALUE"""),33.25)</f>
        <v>33.25</v>
      </c>
      <c r="C4486" s="1">
        <f>IFERROR(__xludf.DUMMYFUNCTION("""COMPUTED_VALUE"""),33.85)</f>
        <v>33.85</v>
      </c>
      <c r="D4486" s="1">
        <f>IFERROR(__xludf.DUMMYFUNCTION("""COMPUTED_VALUE"""),32.79)</f>
        <v>32.79</v>
      </c>
      <c r="E4486" s="1">
        <f>IFERROR(__xludf.DUMMYFUNCTION("""COMPUTED_VALUE"""),33.41)</f>
        <v>33.41</v>
      </c>
      <c r="F4486" s="1">
        <f>IFERROR(__xludf.DUMMYFUNCTION("""COMPUTED_VALUE"""),2.1534448E7)</f>
        <v>21534448</v>
      </c>
    </row>
    <row r="4487">
      <c r="A4487" s="2">
        <f>IFERROR(__xludf.DUMMYFUNCTION("""COMPUTED_VALUE"""),45681.66666666667)</f>
        <v>45681.66667</v>
      </c>
      <c r="B4487" s="1">
        <f>IFERROR(__xludf.DUMMYFUNCTION("""COMPUTED_VALUE"""),34.0)</f>
        <v>34</v>
      </c>
      <c r="C4487" s="1">
        <f>IFERROR(__xludf.DUMMYFUNCTION("""COMPUTED_VALUE"""),34.7)</f>
        <v>34.7</v>
      </c>
      <c r="D4487" s="1">
        <f>IFERROR(__xludf.DUMMYFUNCTION("""COMPUTED_VALUE"""),33.06)</f>
        <v>33.06</v>
      </c>
      <c r="E4487" s="1">
        <f>IFERROR(__xludf.DUMMYFUNCTION("""COMPUTED_VALUE"""),33.27)</f>
        <v>33.27</v>
      </c>
      <c r="F4487" s="1">
        <f>IFERROR(__xludf.DUMMYFUNCTION("""COMPUTED_VALUE"""),3.1728439E7)</f>
        <v>31728439</v>
      </c>
    </row>
    <row r="4488">
      <c r="A4488" s="2">
        <f>IFERROR(__xludf.DUMMYFUNCTION("""COMPUTED_VALUE"""),45684.66666666667)</f>
        <v>45684.66667</v>
      </c>
      <c r="B4488" s="1">
        <f>IFERROR(__xludf.DUMMYFUNCTION("""COMPUTED_VALUE"""),30.31)</f>
        <v>30.31</v>
      </c>
      <c r="C4488" s="1">
        <f>IFERROR(__xludf.DUMMYFUNCTION("""COMPUTED_VALUE"""),31.95)</f>
        <v>31.95</v>
      </c>
      <c r="D4488" s="1">
        <f>IFERROR(__xludf.DUMMYFUNCTION("""COMPUTED_VALUE"""),28.42)</f>
        <v>28.42</v>
      </c>
      <c r="E4488" s="1">
        <f>IFERROR(__xludf.DUMMYFUNCTION("""COMPUTED_VALUE"""),29.07)</f>
        <v>29.07</v>
      </c>
      <c r="F4488" s="1">
        <f>IFERROR(__xludf.DUMMYFUNCTION("""COMPUTED_VALUE"""),5.9858799E7)</f>
        <v>59858799</v>
      </c>
    </row>
    <row r="4489">
      <c r="A4489" s="2">
        <f>IFERROR(__xludf.DUMMYFUNCTION("""COMPUTED_VALUE"""),45685.66666666667)</f>
        <v>45685.66667</v>
      </c>
      <c r="B4489" s="1">
        <f>IFERROR(__xludf.DUMMYFUNCTION("""COMPUTED_VALUE"""),29.44)</f>
        <v>29.44</v>
      </c>
      <c r="C4489" s="1">
        <f>IFERROR(__xludf.DUMMYFUNCTION("""COMPUTED_VALUE"""),29.7)</f>
        <v>29.7</v>
      </c>
      <c r="D4489" s="1">
        <f>IFERROR(__xludf.DUMMYFUNCTION("""COMPUTED_VALUE"""),27.22)</f>
        <v>27.22</v>
      </c>
      <c r="E4489" s="1">
        <f>IFERROR(__xludf.DUMMYFUNCTION("""COMPUTED_VALUE"""),28.18)</f>
        <v>28.18</v>
      </c>
      <c r="F4489" s="1">
        <f>IFERROR(__xludf.DUMMYFUNCTION("""COMPUTED_VALUE"""),3.5715341E7)</f>
        <v>35715341</v>
      </c>
    </row>
    <row r="4490">
      <c r="A4490" s="2">
        <f>IFERROR(__xludf.DUMMYFUNCTION("""COMPUTED_VALUE"""),45686.66666666667)</f>
        <v>45686.66667</v>
      </c>
      <c r="B4490" s="1">
        <f>IFERROR(__xludf.DUMMYFUNCTION("""COMPUTED_VALUE"""),28.32)</f>
        <v>28.32</v>
      </c>
      <c r="C4490" s="1">
        <f>IFERROR(__xludf.DUMMYFUNCTION("""COMPUTED_VALUE"""),28.51)</f>
        <v>28.51</v>
      </c>
      <c r="D4490" s="1">
        <f>IFERROR(__xludf.DUMMYFUNCTION("""COMPUTED_VALUE"""),27.61)</f>
        <v>27.61</v>
      </c>
      <c r="E4490" s="1">
        <f>IFERROR(__xludf.DUMMYFUNCTION("""COMPUTED_VALUE"""),27.8)</f>
        <v>27.8</v>
      </c>
      <c r="F4490" s="1">
        <f>IFERROR(__xludf.DUMMYFUNCTION("""COMPUTED_VALUE"""),2.580273E7)</f>
        <v>25802730</v>
      </c>
    </row>
    <row r="4491">
      <c r="A4491" s="2">
        <f>IFERROR(__xludf.DUMMYFUNCTION("""COMPUTED_VALUE"""),45687.66666666667)</f>
        <v>45687.66667</v>
      </c>
      <c r="B4491" s="1">
        <f>IFERROR(__xludf.DUMMYFUNCTION("""COMPUTED_VALUE"""),28.58)</f>
        <v>28.58</v>
      </c>
      <c r="C4491" s="1">
        <f>IFERROR(__xludf.DUMMYFUNCTION("""COMPUTED_VALUE"""),28.81)</f>
        <v>28.81</v>
      </c>
      <c r="D4491" s="1">
        <f>IFERROR(__xludf.DUMMYFUNCTION("""COMPUTED_VALUE"""),27.81)</f>
        <v>27.81</v>
      </c>
      <c r="E4491" s="1">
        <f>IFERROR(__xludf.DUMMYFUNCTION("""COMPUTED_VALUE"""),28.64)</f>
        <v>28.64</v>
      </c>
      <c r="F4491" s="1">
        <f>IFERROR(__xludf.DUMMYFUNCTION("""COMPUTED_VALUE"""),2.2577142E7)</f>
        <v>22577142</v>
      </c>
    </row>
    <row r="4492">
      <c r="A4492" s="2">
        <f>IFERROR(__xludf.DUMMYFUNCTION("""COMPUTED_VALUE"""),45688.66666666667)</f>
        <v>45688.66667</v>
      </c>
      <c r="B4492" s="1">
        <f>IFERROR(__xludf.DUMMYFUNCTION("""COMPUTED_VALUE"""),28.7)</f>
        <v>28.7</v>
      </c>
      <c r="C4492" s="1">
        <f>IFERROR(__xludf.DUMMYFUNCTION("""COMPUTED_VALUE"""),30.76)</f>
        <v>30.76</v>
      </c>
      <c r="D4492" s="1">
        <f>IFERROR(__xludf.DUMMYFUNCTION("""COMPUTED_VALUE"""),28.34)</f>
        <v>28.34</v>
      </c>
      <c r="E4492" s="1">
        <f>IFERROR(__xludf.DUMMYFUNCTION("""COMPUTED_VALUE"""),28.52)</f>
        <v>28.52</v>
      </c>
      <c r="F4492" s="1">
        <f>IFERROR(__xludf.DUMMYFUNCTION("""COMPUTED_VALUE"""),3.8101303E7)</f>
        <v>38101303</v>
      </c>
    </row>
    <row r="4493">
      <c r="A4493" s="2">
        <f>IFERROR(__xludf.DUMMYFUNCTION("""COMPUTED_VALUE"""),45691.66666666667)</f>
        <v>45691.66667</v>
      </c>
      <c r="B4493" s="1">
        <f>IFERROR(__xludf.DUMMYFUNCTION("""COMPUTED_VALUE"""),27.2)</f>
        <v>27.2</v>
      </c>
      <c r="C4493" s="1">
        <f>IFERROR(__xludf.DUMMYFUNCTION("""COMPUTED_VALUE"""),27.61)</f>
        <v>27.61</v>
      </c>
      <c r="D4493" s="1">
        <f>IFERROR(__xludf.DUMMYFUNCTION("""COMPUTED_VALUE"""),25.71)</f>
        <v>25.71</v>
      </c>
      <c r="E4493" s="1">
        <f>IFERROR(__xludf.DUMMYFUNCTION("""COMPUTED_VALUE"""),26.85)</f>
        <v>26.85</v>
      </c>
      <c r="F4493" s="1">
        <f>IFERROR(__xludf.DUMMYFUNCTION("""COMPUTED_VALUE"""),4.4755533E7)</f>
        <v>44755533</v>
      </c>
    </row>
    <row r="4494">
      <c r="A4494" s="2">
        <f>IFERROR(__xludf.DUMMYFUNCTION("""COMPUTED_VALUE"""),45692.66666666667)</f>
        <v>45692.66667</v>
      </c>
      <c r="B4494" s="1">
        <f>IFERROR(__xludf.DUMMYFUNCTION("""COMPUTED_VALUE"""),27.82)</f>
        <v>27.82</v>
      </c>
      <c r="C4494" s="1">
        <f>IFERROR(__xludf.DUMMYFUNCTION("""COMPUTED_VALUE"""),29.45)</f>
        <v>29.45</v>
      </c>
      <c r="D4494" s="1">
        <f>IFERROR(__xludf.DUMMYFUNCTION("""COMPUTED_VALUE"""),27.35)</f>
        <v>27.35</v>
      </c>
      <c r="E4494" s="1">
        <f>IFERROR(__xludf.DUMMYFUNCTION("""COMPUTED_VALUE"""),29.16)</f>
        <v>29.16</v>
      </c>
      <c r="F4494" s="1">
        <f>IFERROR(__xludf.DUMMYFUNCTION("""COMPUTED_VALUE"""),3.5954613E7)</f>
        <v>35954613</v>
      </c>
    </row>
    <row r="4495">
      <c r="A4495" s="2">
        <f>IFERROR(__xludf.DUMMYFUNCTION("""COMPUTED_VALUE"""),45693.66666666667)</f>
        <v>45693.66667</v>
      </c>
      <c r="B4495" s="1">
        <f>IFERROR(__xludf.DUMMYFUNCTION("""COMPUTED_VALUE"""),31.03)</f>
        <v>31.03</v>
      </c>
      <c r="C4495" s="1">
        <f>IFERROR(__xludf.DUMMYFUNCTION("""COMPUTED_VALUE"""),33.13)</f>
        <v>33.13</v>
      </c>
      <c r="D4495" s="1">
        <f>IFERROR(__xludf.DUMMYFUNCTION("""COMPUTED_VALUE"""),29.75)</f>
        <v>29.75</v>
      </c>
      <c r="E4495" s="1">
        <f>IFERROR(__xludf.DUMMYFUNCTION("""COMPUTED_VALUE"""),31.49)</f>
        <v>31.49</v>
      </c>
      <c r="F4495" s="1">
        <f>IFERROR(__xludf.DUMMYFUNCTION("""COMPUTED_VALUE"""),8.315532E7)</f>
        <v>83155320</v>
      </c>
    </row>
    <row r="4496">
      <c r="A4496" s="2">
        <f>IFERROR(__xludf.DUMMYFUNCTION("""COMPUTED_VALUE"""),45694.66666666667)</f>
        <v>45694.66667</v>
      </c>
      <c r="B4496" s="1">
        <f>IFERROR(__xludf.DUMMYFUNCTION("""COMPUTED_VALUE"""),31.97)</f>
        <v>31.97</v>
      </c>
      <c r="C4496" s="1">
        <f>IFERROR(__xludf.DUMMYFUNCTION("""COMPUTED_VALUE"""),34.45)</f>
        <v>34.45</v>
      </c>
      <c r="D4496" s="1">
        <f>IFERROR(__xludf.DUMMYFUNCTION("""COMPUTED_VALUE"""),31.85)</f>
        <v>31.85</v>
      </c>
      <c r="E4496" s="1">
        <f>IFERROR(__xludf.DUMMYFUNCTION("""COMPUTED_VALUE"""),33.84)</f>
        <v>33.84</v>
      </c>
      <c r="F4496" s="1">
        <f>IFERROR(__xludf.DUMMYFUNCTION("""COMPUTED_VALUE"""),6.626237E7)</f>
        <v>66262370</v>
      </c>
    </row>
    <row r="4497">
      <c r="A4497" s="2">
        <f>IFERROR(__xludf.DUMMYFUNCTION("""COMPUTED_VALUE"""),45695.66666666667)</f>
        <v>45695.66667</v>
      </c>
      <c r="B4497" s="1">
        <f>IFERROR(__xludf.DUMMYFUNCTION("""COMPUTED_VALUE"""),34.55)</f>
        <v>34.55</v>
      </c>
      <c r="C4497" s="1">
        <f>IFERROR(__xludf.DUMMYFUNCTION("""COMPUTED_VALUE"""),36.96)</f>
        <v>36.96</v>
      </c>
      <c r="D4497" s="1">
        <f>IFERROR(__xludf.DUMMYFUNCTION("""COMPUTED_VALUE"""),34.33)</f>
        <v>34.33</v>
      </c>
      <c r="E4497" s="1">
        <f>IFERROR(__xludf.DUMMYFUNCTION("""COMPUTED_VALUE"""),36.28)</f>
        <v>36.28</v>
      </c>
      <c r="F4497" s="1">
        <f>IFERROR(__xludf.DUMMYFUNCTION("""COMPUTED_VALUE"""),7.2679921E7)</f>
        <v>72679921</v>
      </c>
    </row>
    <row r="4498">
      <c r="A4498" s="2">
        <f>IFERROR(__xludf.DUMMYFUNCTION("""COMPUTED_VALUE"""),45698.66666666667)</f>
        <v>45698.66667</v>
      </c>
      <c r="B4498" s="1">
        <f>IFERROR(__xludf.DUMMYFUNCTION("""COMPUTED_VALUE"""),38.0)</f>
        <v>38</v>
      </c>
      <c r="C4498" s="1">
        <f>IFERROR(__xludf.DUMMYFUNCTION("""COMPUTED_VALUE"""),42.88)</f>
        <v>42.88</v>
      </c>
      <c r="D4498" s="1">
        <f>IFERROR(__xludf.DUMMYFUNCTION("""COMPUTED_VALUE"""),37.36)</f>
        <v>37.36</v>
      </c>
      <c r="E4498" s="1">
        <f>IFERROR(__xludf.DUMMYFUNCTION("""COMPUTED_VALUE"""),42.65)</f>
        <v>42.65</v>
      </c>
      <c r="F4498" s="1">
        <f>IFERROR(__xludf.DUMMYFUNCTION("""COMPUTED_VALUE"""),1.34627844E8)</f>
        <v>134627844</v>
      </c>
    </row>
    <row r="4499">
      <c r="A4499" s="2">
        <f>IFERROR(__xludf.DUMMYFUNCTION("""COMPUTED_VALUE"""),45699.66666666667)</f>
        <v>45699.66667</v>
      </c>
      <c r="B4499" s="1">
        <f>IFERROR(__xludf.DUMMYFUNCTION("""COMPUTED_VALUE"""),40.59)</f>
        <v>40.59</v>
      </c>
      <c r="C4499" s="1">
        <f>IFERROR(__xludf.DUMMYFUNCTION("""COMPUTED_VALUE"""),42.39)</f>
        <v>42.39</v>
      </c>
      <c r="D4499" s="1">
        <f>IFERROR(__xludf.DUMMYFUNCTION("""COMPUTED_VALUE"""),38.42)</f>
        <v>38.42</v>
      </c>
      <c r="E4499" s="1">
        <f>IFERROR(__xludf.DUMMYFUNCTION("""COMPUTED_VALUE"""),38.61)</f>
        <v>38.61</v>
      </c>
      <c r="F4499" s="1">
        <f>IFERROR(__xludf.DUMMYFUNCTION("""COMPUTED_VALUE"""),1.53179103E8)</f>
        <v>153179103</v>
      </c>
    </row>
    <row r="4500">
      <c r="A4500" s="2">
        <f>IFERROR(__xludf.DUMMYFUNCTION("""COMPUTED_VALUE"""),45700.66666666667)</f>
        <v>45700.66667</v>
      </c>
      <c r="B4500" s="1">
        <f>IFERROR(__xludf.DUMMYFUNCTION("""COMPUTED_VALUE"""),42.3)</f>
        <v>42.3</v>
      </c>
      <c r="C4500" s="1">
        <f>IFERROR(__xludf.DUMMYFUNCTION("""COMPUTED_VALUE"""),43.89)</f>
        <v>43.89</v>
      </c>
      <c r="D4500" s="1">
        <f>IFERROR(__xludf.DUMMYFUNCTION("""COMPUTED_VALUE"""),38.86)</f>
        <v>38.86</v>
      </c>
      <c r="E4500" s="1">
        <f>IFERROR(__xludf.DUMMYFUNCTION("""COMPUTED_VALUE"""),39.68)</f>
        <v>39.68</v>
      </c>
      <c r="F4500" s="1">
        <f>IFERROR(__xludf.DUMMYFUNCTION("""COMPUTED_VALUE"""),1.61454157E8)</f>
        <v>161454157</v>
      </c>
    </row>
    <row r="4501">
      <c r="A4501" s="2">
        <f>IFERROR(__xludf.DUMMYFUNCTION("""COMPUTED_VALUE"""),45701.66666666667)</f>
        <v>45701.66667</v>
      </c>
      <c r="B4501" s="1">
        <f>IFERROR(__xludf.DUMMYFUNCTION("""COMPUTED_VALUE"""),39.01)</f>
        <v>39.01</v>
      </c>
      <c r="C4501" s="1">
        <f>IFERROR(__xludf.DUMMYFUNCTION("""COMPUTED_VALUE"""),43.29)</f>
        <v>43.29</v>
      </c>
      <c r="D4501" s="1">
        <f>IFERROR(__xludf.DUMMYFUNCTION("""COMPUTED_VALUE"""),37.5)</f>
        <v>37.5</v>
      </c>
      <c r="E4501" s="1">
        <f>IFERROR(__xludf.DUMMYFUNCTION("""COMPUTED_VALUE"""),42.28)</f>
        <v>42.28</v>
      </c>
      <c r="F4501" s="1">
        <f>IFERROR(__xludf.DUMMYFUNCTION("""COMPUTED_VALUE"""),1.1036806E8)</f>
        <v>110368060</v>
      </c>
    </row>
    <row r="4502">
      <c r="A4502" s="2">
        <f>IFERROR(__xludf.DUMMYFUNCTION("""COMPUTED_VALUE"""),45702.66666666667)</f>
        <v>45702.66667</v>
      </c>
      <c r="B4502" s="1">
        <f>IFERROR(__xludf.DUMMYFUNCTION("""COMPUTED_VALUE"""),42.94)</f>
        <v>42.94</v>
      </c>
      <c r="C4502" s="1">
        <f>IFERROR(__xludf.DUMMYFUNCTION("""COMPUTED_VALUE"""),48.18)</f>
        <v>48.18</v>
      </c>
      <c r="D4502" s="1">
        <f>IFERROR(__xludf.DUMMYFUNCTION("""COMPUTED_VALUE"""),42.85)</f>
        <v>42.85</v>
      </c>
      <c r="E4502" s="1">
        <f>IFERROR(__xludf.DUMMYFUNCTION("""COMPUTED_VALUE"""),47.91)</f>
        <v>47.91</v>
      </c>
      <c r="F4502" s="1">
        <f>IFERROR(__xludf.DUMMYFUNCTION("""COMPUTED_VALUE"""),1.33562034E8)</f>
        <v>133562034</v>
      </c>
    </row>
    <row r="4503">
      <c r="A4503" s="2">
        <f>IFERROR(__xludf.DUMMYFUNCTION("""COMPUTED_VALUE"""),45706.66666666667)</f>
        <v>45706.66667</v>
      </c>
      <c r="B4503" s="1">
        <f>IFERROR(__xludf.DUMMYFUNCTION("""COMPUTED_VALUE"""),51.0)</f>
        <v>51</v>
      </c>
      <c r="C4503" s="1">
        <f>IFERROR(__xludf.DUMMYFUNCTION("""COMPUTED_VALUE"""),56.23)</f>
        <v>56.23</v>
      </c>
      <c r="D4503" s="1">
        <f>IFERROR(__xludf.DUMMYFUNCTION("""COMPUTED_VALUE"""),50.99)</f>
        <v>50.99</v>
      </c>
      <c r="E4503" s="1">
        <f>IFERROR(__xludf.DUMMYFUNCTION("""COMPUTED_VALUE"""),55.8)</f>
        <v>55.8</v>
      </c>
      <c r="F4503" s="1">
        <f>IFERROR(__xludf.DUMMYFUNCTION("""COMPUTED_VALUE"""),1.63200092E8)</f>
        <v>163200092</v>
      </c>
    </row>
    <row r="4504">
      <c r="A4504" s="2">
        <f>IFERROR(__xludf.DUMMYFUNCTION("""COMPUTED_VALUE"""),45707.66666666667)</f>
        <v>45707.66667</v>
      </c>
      <c r="B4504" s="1">
        <f>IFERROR(__xludf.DUMMYFUNCTION("""COMPUTED_VALUE"""),59.04)</f>
        <v>59.04</v>
      </c>
      <c r="C4504" s="1">
        <f>IFERROR(__xludf.DUMMYFUNCTION("""COMPUTED_VALUE"""),66.44)</f>
        <v>66.44</v>
      </c>
      <c r="D4504" s="1">
        <f>IFERROR(__xludf.DUMMYFUNCTION("""COMPUTED_VALUE"""),55.61)</f>
        <v>55.61</v>
      </c>
      <c r="E4504" s="1">
        <f>IFERROR(__xludf.DUMMYFUNCTION("""COMPUTED_VALUE"""),60.25)</f>
        <v>60.25</v>
      </c>
      <c r="F4504" s="1">
        <f>IFERROR(__xludf.DUMMYFUNCTION("""COMPUTED_VALUE"""),3.37992654E8)</f>
        <v>337992654</v>
      </c>
    </row>
    <row r="4505">
      <c r="A4505" s="2">
        <f>IFERROR(__xludf.DUMMYFUNCTION("""COMPUTED_VALUE"""),45708.66666666667)</f>
        <v>45708.66667</v>
      </c>
      <c r="B4505" s="1">
        <f>IFERROR(__xludf.DUMMYFUNCTION("""COMPUTED_VALUE"""),57.21)</f>
        <v>57.21</v>
      </c>
      <c r="C4505" s="1">
        <f>IFERROR(__xludf.DUMMYFUNCTION("""COMPUTED_VALUE"""),62.47)</f>
        <v>62.47</v>
      </c>
      <c r="D4505" s="1">
        <f>IFERROR(__xludf.DUMMYFUNCTION("""COMPUTED_VALUE"""),54.3)</f>
        <v>54.3</v>
      </c>
      <c r="E4505" s="1">
        <f>IFERROR(__xludf.DUMMYFUNCTION("""COMPUTED_VALUE"""),59.27)</f>
        <v>59.27</v>
      </c>
      <c r="F4505" s="1">
        <f>IFERROR(__xludf.DUMMYFUNCTION("""COMPUTED_VALUE"""),1.81555243E8)</f>
        <v>181555243</v>
      </c>
    </row>
    <row r="4506">
      <c r="A4506" s="2">
        <f>IFERROR(__xludf.DUMMYFUNCTION("""COMPUTED_VALUE"""),45709.66666666667)</f>
        <v>45709.66667</v>
      </c>
      <c r="B4506" s="1">
        <f>IFERROR(__xludf.DUMMYFUNCTION("""COMPUTED_VALUE"""),61.0)</f>
        <v>61</v>
      </c>
      <c r="C4506" s="1">
        <f>IFERROR(__xludf.DUMMYFUNCTION("""COMPUTED_VALUE"""),62.43)</f>
        <v>62.43</v>
      </c>
      <c r="D4506" s="1">
        <f>IFERROR(__xludf.DUMMYFUNCTION("""COMPUTED_VALUE"""),55.07)</f>
        <v>55.07</v>
      </c>
      <c r="E4506" s="1">
        <f>IFERROR(__xludf.DUMMYFUNCTION("""COMPUTED_VALUE"""),56.07)</f>
        <v>56.07</v>
      </c>
      <c r="F4506" s="1">
        <f>IFERROR(__xludf.DUMMYFUNCTION("""COMPUTED_VALUE"""),1.04690394E8)</f>
        <v>104690394</v>
      </c>
    </row>
    <row r="4507">
      <c r="A4507" s="2">
        <f>IFERROR(__xludf.DUMMYFUNCTION("""COMPUTED_VALUE"""),45712.66666666667)</f>
        <v>45712.66667</v>
      </c>
      <c r="B4507" s="1">
        <f>IFERROR(__xludf.DUMMYFUNCTION("""COMPUTED_VALUE"""),53.88)</f>
        <v>53.88</v>
      </c>
      <c r="C4507" s="1">
        <f>IFERROR(__xludf.DUMMYFUNCTION("""COMPUTED_VALUE"""),56.25)</f>
        <v>56.25</v>
      </c>
      <c r="D4507" s="1">
        <f>IFERROR(__xludf.DUMMYFUNCTION("""COMPUTED_VALUE"""),50.26)</f>
        <v>50.26</v>
      </c>
      <c r="E4507" s="1">
        <f>IFERROR(__xludf.DUMMYFUNCTION("""COMPUTED_VALUE"""),51.61)</f>
        <v>51.61</v>
      </c>
      <c r="F4507" s="1">
        <f>IFERROR(__xludf.DUMMYFUNCTION("""COMPUTED_VALUE"""),8.4122583E7)</f>
        <v>84122583</v>
      </c>
    </row>
    <row r="4508">
      <c r="A4508" s="2">
        <f>IFERROR(__xludf.DUMMYFUNCTION("""COMPUTED_VALUE"""),45713.66666666667)</f>
        <v>45713.66667</v>
      </c>
      <c r="B4508" s="1">
        <f>IFERROR(__xludf.DUMMYFUNCTION("""COMPUTED_VALUE"""),50.12)</f>
        <v>50.12</v>
      </c>
      <c r="C4508" s="1">
        <f>IFERROR(__xludf.DUMMYFUNCTION("""COMPUTED_VALUE"""),50.67)</f>
        <v>50.67</v>
      </c>
      <c r="D4508" s="1">
        <f>IFERROR(__xludf.DUMMYFUNCTION("""COMPUTED_VALUE"""),44.0)</f>
        <v>44</v>
      </c>
      <c r="E4508" s="1">
        <f>IFERROR(__xludf.DUMMYFUNCTION("""COMPUTED_VALUE"""),45.54)</f>
        <v>45.54</v>
      </c>
      <c r="F4508" s="1">
        <f>IFERROR(__xludf.DUMMYFUNCTION("""COMPUTED_VALUE"""),1.46548413E8)</f>
        <v>146548413</v>
      </c>
    </row>
    <row r="4509">
      <c r="A4509" s="2">
        <f>IFERROR(__xludf.DUMMYFUNCTION("""COMPUTED_VALUE"""),45714.66666666667)</f>
        <v>45714.66667</v>
      </c>
      <c r="B4509" s="1">
        <f>IFERROR(__xludf.DUMMYFUNCTION("""COMPUTED_VALUE"""),55.02)</f>
        <v>55.02</v>
      </c>
      <c r="C4509" s="1">
        <f>IFERROR(__xludf.DUMMYFUNCTION("""COMPUTED_VALUE"""),56.19)</f>
        <v>56.19</v>
      </c>
      <c r="D4509" s="1">
        <f>IFERROR(__xludf.DUMMYFUNCTION("""COMPUTED_VALUE"""),50.05)</f>
        <v>50.05</v>
      </c>
      <c r="E4509" s="1">
        <f>IFERROR(__xludf.DUMMYFUNCTION("""COMPUTED_VALUE"""),51.11)</f>
        <v>51.11</v>
      </c>
      <c r="F4509" s="1">
        <f>IFERROR(__xludf.DUMMYFUNCTION("""COMPUTED_VALUE"""),1.44521893E8)</f>
        <v>144521893</v>
      </c>
    </row>
    <row r="4510">
      <c r="A4510" s="2">
        <f>IFERROR(__xludf.DUMMYFUNCTION("""COMPUTED_VALUE"""),45715.66666666667)</f>
        <v>45715.66667</v>
      </c>
      <c r="B4510" s="1">
        <f>IFERROR(__xludf.DUMMYFUNCTION("""COMPUTED_VALUE"""),49.07)</f>
        <v>49.07</v>
      </c>
      <c r="C4510" s="1">
        <f>IFERROR(__xludf.DUMMYFUNCTION("""COMPUTED_VALUE"""),50.0)</f>
        <v>50</v>
      </c>
      <c r="D4510" s="1">
        <f>IFERROR(__xludf.DUMMYFUNCTION("""COMPUTED_VALUE"""),42.55)</f>
        <v>42.55</v>
      </c>
      <c r="E4510" s="1">
        <f>IFERROR(__xludf.DUMMYFUNCTION("""COMPUTED_VALUE"""),42.95)</f>
        <v>42.95</v>
      </c>
      <c r="F4510" s="1">
        <f>IFERROR(__xludf.DUMMYFUNCTION("""COMPUTED_VALUE"""),1.21404828E8)</f>
        <v>121404828</v>
      </c>
    </row>
    <row r="4511">
      <c r="A4511" s="2">
        <f>IFERROR(__xludf.DUMMYFUNCTION("""COMPUTED_VALUE"""),45716.66666666667)</f>
        <v>45716.66667</v>
      </c>
      <c r="B4511" s="1">
        <f>IFERROR(__xludf.DUMMYFUNCTION("""COMPUTED_VALUE"""),40.23)</f>
        <v>40.23</v>
      </c>
      <c r="C4511" s="1">
        <f>IFERROR(__xludf.DUMMYFUNCTION("""COMPUTED_VALUE"""),43.49)</f>
        <v>43.49</v>
      </c>
      <c r="D4511" s="1">
        <f>IFERROR(__xludf.DUMMYFUNCTION("""COMPUTED_VALUE"""),38.88)</f>
        <v>38.88</v>
      </c>
      <c r="E4511" s="1">
        <f>IFERROR(__xludf.DUMMYFUNCTION("""COMPUTED_VALUE"""),41.46)</f>
        <v>41.46</v>
      </c>
      <c r="F4511" s="1">
        <f>IFERROR(__xludf.DUMMYFUNCTION("""COMPUTED_VALUE"""),9.6057958E7)</f>
        <v>96057958</v>
      </c>
    </row>
    <row r="4512">
      <c r="A4512" s="2">
        <f>IFERROR(__xludf.DUMMYFUNCTION("""COMPUTED_VALUE"""),45719.66666666667)</f>
        <v>45719.66667</v>
      </c>
      <c r="B4512" s="1">
        <f>IFERROR(__xludf.DUMMYFUNCTION("""COMPUTED_VALUE"""),42.28)</f>
        <v>42.28</v>
      </c>
      <c r="C4512" s="1">
        <f>IFERROR(__xludf.DUMMYFUNCTION("""COMPUTED_VALUE"""),42.38)</f>
        <v>42.38</v>
      </c>
      <c r="D4512" s="1">
        <f>IFERROR(__xludf.DUMMYFUNCTION("""COMPUTED_VALUE"""),35.61)</f>
        <v>35.61</v>
      </c>
      <c r="E4512" s="1">
        <f>IFERROR(__xludf.DUMMYFUNCTION("""COMPUTED_VALUE"""),36.07)</f>
        <v>36.07</v>
      </c>
      <c r="F4512" s="1">
        <f>IFERROR(__xludf.DUMMYFUNCTION("""COMPUTED_VALUE"""),1.045185E8)</f>
        <v>104518500</v>
      </c>
    </row>
    <row r="4513">
      <c r="A4513" s="2">
        <f>IFERROR(__xludf.DUMMYFUNCTION("""COMPUTED_VALUE"""),45720.66666666667)</f>
        <v>45720.66667</v>
      </c>
      <c r="B4513" s="1">
        <f>IFERROR(__xludf.DUMMYFUNCTION("""COMPUTED_VALUE"""),35.0)</f>
        <v>35</v>
      </c>
      <c r="C4513" s="1">
        <f>IFERROR(__xludf.DUMMYFUNCTION("""COMPUTED_VALUE"""),40.61)</f>
        <v>40.61</v>
      </c>
      <c r="D4513" s="1">
        <f>IFERROR(__xludf.DUMMYFUNCTION("""COMPUTED_VALUE"""),34.51)</f>
        <v>34.51</v>
      </c>
      <c r="E4513" s="1">
        <f>IFERROR(__xludf.DUMMYFUNCTION("""COMPUTED_VALUE"""),39.14)</f>
        <v>39.14</v>
      </c>
      <c r="F4513" s="1">
        <f>IFERROR(__xludf.DUMMYFUNCTION("""COMPUTED_VALUE"""),1.09691915E8)</f>
        <v>109691915</v>
      </c>
    </row>
    <row r="4514">
      <c r="A4514" s="2">
        <f>IFERROR(__xludf.DUMMYFUNCTION("""COMPUTED_VALUE"""),45721.66666666667)</f>
        <v>45721.66667</v>
      </c>
      <c r="B4514" s="1">
        <f>IFERROR(__xludf.DUMMYFUNCTION("""COMPUTED_VALUE"""),39.35)</f>
        <v>39.35</v>
      </c>
      <c r="C4514" s="1">
        <f>IFERROR(__xludf.DUMMYFUNCTION("""COMPUTED_VALUE"""),40.9)</f>
        <v>40.9</v>
      </c>
      <c r="D4514" s="1">
        <f>IFERROR(__xludf.DUMMYFUNCTION("""COMPUTED_VALUE"""),38.23)</f>
        <v>38.23</v>
      </c>
      <c r="E4514" s="1">
        <f>IFERROR(__xludf.DUMMYFUNCTION("""COMPUTED_VALUE"""),38.9)</f>
        <v>38.9</v>
      </c>
      <c r="F4514" s="1">
        <f>IFERROR(__xludf.DUMMYFUNCTION("""COMPUTED_VALUE"""),6.9735665E7)</f>
        <v>69735665</v>
      </c>
    </row>
    <row r="4515">
      <c r="A4515" s="2">
        <f>IFERROR(__xludf.DUMMYFUNCTION("""COMPUTED_VALUE"""),45722.66666666667)</f>
        <v>45722.66667</v>
      </c>
      <c r="B4515" s="1">
        <f>IFERROR(__xludf.DUMMYFUNCTION("""COMPUTED_VALUE"""),37.5)</f>
        <v>37.5</v>
      </c>
      <c r="C4515" s="1">
        <f>IFERROR(__xludf.DUMMYFUNCTION("""COMPUTED_VALUE"""),39.66)</f>
        <v>39.66</v>
      </c>
      <c r="D4515" s="1">
        <f>IFERROR(__xludf.DUMMYFUNCTION("""COMPUTED_VALUE"""),35.66)</f>
        <v>35.66</v>
      </c>
      <c r="E4515" s="1">
        <f>IFERROR(__xludf.DUMMYFUNCTION("""COMPUTED_VALUE"""),37.05)</f>
        <v>37.05</v>
      </c>
      <c r="F4515" s="1">
        <f>IFERROR(__xludf.DUMMYFUNCTION("""COMPUTED_VALUE"""),7.1552558E7)</f>
        <v>71552558</v>
      </c>
    </row>
    <row r="4516">
      <c r="A4516" s="2">
        <f>IFERROR(__xludf.DUMMYFUNCTION("""COMPUTED_VALUE"""),45723.66666666667)</f>
        <v>45723.66667</v>
      </c>
      <c r="B4516" s="1">
        <f>IFERROR(__xludf.DUMMYFUNCTION("""COMPUTED_VALUE"""),36.37)</f>
        <v>36.37</v>
      </c>
      <c r="C4516" s="1">
        <f>IFERROR(__xludf.DUMMYFUNCTION("""COMPUTED_VALUE"""),38.49)</f>
        <v>38.49</v>
      </c>
      <c r="D4516" s="1">
        <f>IFERROR(__xludf.DUMMYFUNCTION("""COMPUTED_VALUE"""),35.36)</f>
        <v>35.36</v>
      </c>
      <c r="E4516" s="1">
        <f>IFERROR(__xludf.DUMMYFUNCTION("""COMPUTED_VALUE"""),38.24)</f>
        <v>38.24</v>
      </c>
      <c r="F4516" s="1">
        <f>IFERROR(__xludf.DUMMYFUNCTION("""COMPUTED_VALUE"""),5.9173963E7)</f>
        <v>59173963</v>
      </c>
    </row>
    <row r="4517">
      <c r="A4517" s="2">
        <f>IFERROR(__xludf.DUMMYFUNCTION("""COMPUTED_VALUE"""),45726.66666666667)</f>
        <v>45726.66667</v>
      </c>
      <c r="B4517" s="1">
        <f>IFERROR(__xludf.DUMMYFUNCTION("""COMPUTED_VALUE"""),37.8)</f>
        <v>37.8</v>
      </c>
      <c r="C4517" s="1">
        <f>IFERROR(__xludf.DUMMYFUNCTION("""COMPUTED_VALUE"""),39.45)</f>
        <v>39.45</v>
      </c>
      <c r="D4517" s="1">
        <f>IFERROR(__xludf.DUMMYFUNCTION("""COMPUTED_VALUE"""),35.99)</f>
        <v>35.99</v>
      </c>
      <c r="E4517" s="1">
        <f>IFERROR(__xludf.DUMMYFUNCTION("""COMPUTED_VALUE"""),36.9)</f>
        <v>36.9</v>
      </c>
      <c r="F4517" s="1">
        <f>IFERROR(__xludf.DUMMYFUNCTION("""COMPUTED_VALUE"""),7.3154042E7)</f>
        <v>73154042</v>
      </c>
    </row>
    <row r="4518">
      <c r="A4518" s="2">
        <f>IFERROR(__xludf.DUMMYFUNCTION("""COMPUTED_VALUE"""),45727.66666666667)</f>
        <v>45727.66667</v>
      </c>
      <c r="B4518" s="1">
        <f>IFERROR(__xludf.DUMMYFUNCTION("""COMPUTED_VALUE"""),36.81)</f>
        <v>36.81</v>
      </c>
      <c r="C4518" s="1">
        <f>IFERROR(__xludf.DUMMYFUNCTION("""COMPUTED_VALUE"""),41.47)</f>
        <v>41.47</v>
      </c>
      <c r="D4518" s="1">
        <f>IFERROR(__xludf.DUMMYFUNCTION("""COMPUTED_VALUE"""),36.61)</f>
        <v>36.61</v>
      </c>
      <c r="E4518" s="1">
        <f>IFERROR(__xludf.DUMMYFUNCTION("""COMPUTED_VALUE"""),40.84)</f>
        <v>40.84</v>
      </c>
      <c r="F4518" s="1">
        <f>IFERROR(__xludf.DUMMYFUNCTION("""COMPUTED_VALUE"""),9.5890554E7)</f>
        <v>95890554</v>
      </c>
    </row>
    <row r="4519">
      <c r="A4519" s="2">
        <f>IFERROR(__xludf.DUMMYFUNCTION("""COMPUTED_VALUE"""),45728.66666666667)</f>
        <v>45728.66667</v>
      </c>
      <c r="B4519" s="1">
        <f>IFERROR(__xludf.DUMMYFUNCTION("""COMPUTED_VALUE"""),43.96)</f>
        <v>43.96</v>
      </c>
      <c r="C4519" s="1">
        <f>IFERROR(__xludf.DUMMYFUNCTION("""COMPUTED_VALUE"""),44.99)</f>
        <v>44.99</v>
      </c>
      <c r="D4519" s="1">
        <f>IFERROR(__xludf.DUMMYFUNCTION("""COMPUTED_VALUE"""),41.85)</f>
        <v>41.85</v>
      </c>
      <c r="E4519" s="1">
        <f>IFERROR(__xludf.DUMMYFUNCTION("""COMPUTED_VALUE"""),42.47)</f>
        <v>42.47</v>
      </c>
      <c r="F4519" s="1">
        <f>IFERROR(__xludf.DUMMYFUNCTION("""COMPUTED_VALUE"""),9.2434458E7)</f>
        <v>92434458</v>
      </c>
    </row>
    <row r="4520">
      <c r="A4520" s="2">
        <f>IFERROR(__xludf.DUMMYFUNCTION("""COMPUTED_VALUE"""),45729.66666666667)</f>
        <v>45729.66667</v>
      </c>
      <c r="B4520" s="1">
        <f>IFERROR(__xludf.DUMMYFUNCTION("""COMPUTED_VALUE"""),42.13)</f>
        <v>42.13</v>
      </c>
      <c r="C4520" s="1">
        <f>IFERROR(__xludf.DUMMYFUNCTION("""COMPUTED_VALUE"""),42.97)</f>
        <v>42.97</v>
      </c>
      <c r="D4520" s="1">
        <f>IFERROR(__xludf.DUMMYFUNCTION("""COMPUTED_VALUE"""),38.9)</f>
        <v>38.9</v>
      </c>
      <c r="E4520" s="1">
        <f>IFERROR(__xludf.DUMMYFUNCTION("""COMPUTED_VALUE"""),39.08)</f>
        <v>39.08</v>
      </c>
      <c r="F4520" s="1">
        <f>IFERROR(__xludf.DUMMYFUNCTION("""COMPUTED_VALUE"""),5.6116693E7)</f>
        <v>56116693</v>
      </c>
    </row>
    <row r="4521">
      <c r="A4521" s="2">
        <f>IFERROR(__xludf.DUMMYFUNCTION("""COMPUTED_VALUE"""),45730.66666666667)</f>
        <v>45730.66667</v>
      </c>
      <c r="B4521" s="1">
        <f>IFERROR(__xludf.DUMMYFUNCTION("""COMPUTED_VALUE"""),40.48)</f>
        <v>40.48</v>
      </c>
      <c r="C4521" s="1">
        <f>IFERROR(__xludf.DUMMYFUNCTION("""COMPUTED_VALUE"""),42.26)</f>
        <v>42.26</v>
      </c>
      <c r="D4521" s="1">
        <f>IFERROR(__xludf.DUMMYFUNCTION("""COMPUTED_VALUE"""),40.25)</f>
        <v>40.25</v>
      </c>
      <c r="E4521" s="1">
        <f>IFERROR(__xludf.DUMMYFUNCTION("""COMPUTED_VALUE"""),42.17)</f>
        <v>42.17</v>
      </c>
      <c r="F4521" s="1">
        <f>IFERROR(__xludf.DUMMYFUNCTION("""COMPUTED_VALUE"""),5.7205565E7)</f>
        <v>57205565</v>
      </c>
    </row>
    <row r="4522">
      <c r="A4522" s="2">
        <f>IFERROR(__xludf.DUMMYFUNCTION("""COMPUTED_VALUE"""),45733.66666666667)</f>
        <v>45733.66667</v>
      </c>
      <c r="B4522" s="1">
        <f>IFERROR(__xludf.DUMMYFUNCTION("""COMPUTED_VALUE"""),42.68)</f>
        <v>42.68</v>
      </c>
      <c r="C4522" s="1">
        <f>IFERROR(__xludf.DUMMYFUNCTION("""COMPUTED_VALUE"""),43.17)</f>
        <v>43.17</v>
      </c>
      <c r="D4522" s="1">
        <f>IFERROR(__xludf.DUMMYFUNCTION("""COMPUTED_VALUE"""),40.9)</f>
        <v>40.9</v>
      </c>
      <c r="E4522" s="1">
        <f>IFERROR(__xludf.DUMMYFUNCTION("""COMPUTED_VALUE"""),41.94)</f>
        <v>41.94</v>
      </c>
      <c r="F4522" s="1">
        <f>IFERROR(__xludf.DUMMYFUNCTION("""COMPUTED_VALUE"""),4.0651055E7)</f>
        <v>40651055</v>
      </c>
    </row>
    <row r="4523">
      <c r="A4523" s="2">
        <f>IFERROR(__xludf.DUMMYFUNCTION("""COMPUTED_VALUE"""),45734.66666666667)</f>
        <v>45734.66667</v>
      </c>
      <c r="B4523" s="1">
        <f>IFERROR(__xludf.DUMMYFUNCTION("""COMPUTED_VALUE"""),41.07)</f>
        <v>41.07</v>
      </c>
      <c r="C4523" s="1">
        <f>IFERROR(__xludf.DUMMYFUNCTION("""COMPUTED_VALUE"""),41.23)</f>
        <v>41.23</v>
      </c>
      <c r="D4523" s="1">
        <f>IFERROR(__xludf.DUMMYFUNCTION("""COMPUTED_VALUE"""),37.85)</f>
        <v>37.85</v>
      </c>
      <c r="E4523" s="1">
        <f>IFERROR(__xludf.DUMMYFUNCTION("""COMPUTED_VALUE"""),37.9)</f>
        <v>37.9</v>
      </c>
      <c r="F4523" s="1">
        <f>IFERROR(__xludf.DUMMYFUNCTION("""COMPUTED_VALUE"""),5.3505538E7)</f>
        <v>53505538</v>
      </c>
    </row>
    <row r="4524">
      <c r="A4524" s="2">
        <f>IFERROR(__xludf.DUMMYFUNCTION("""COMPUTED_VALUE"""),45735.66666666667)</f>
        <v>45735.66667</v>
      </c>
      <c r="B4524" s="1">
        <f>IFERROR(__xludf.DUMMYFUNCTION("""COMPUTED_VALUE"""),38.79)</f>
        <v>38.79</v>
      </c>
      <c r="C4524" s="1">
        <f>IFERROR(__xludf.DUMMYFUNCTION("""COMPUTED_VALUE"""),41.31)</f>
        <v>41.31</v>
      </c>
      <c r="D4524" s="1">
        <f>IFERROR(__xludf.DUMMYFUNCTION("""COMPUTED_VALUE"""),38.15)</f>
        <v>38.15</v>
      </c>
      <c r="E4524" s="1">
        <f>IFERROR(__xludf.DUMMYFUNCTION("""COMPUTED_VALUE"""),40.1)</f>
        <v>40.1</v>
      </c>
      <c r="F4524" s="1">
        <f>IFERROR(__xludf.DUMMYFUNCTION("""COMPUTED_VALUE"""),6.0767761E7)</f>
        <v>60767761</v>
      </c>
    </row>
    <row r="4525">
      <c r="A4525" s="2">
        <f>IFERROR(__xludf.DUMMYFUNCTION("""COMPUTED_VALUE"""),45736.66666666667)</f>
        <v>45736.66667</v>
      </c>
      <c r="B4525" s="1">
        <f>IFERROR(__xludf.DUMMYFUNCTION("""COMPUTED_VALUE"""),39.81)</f>
        <v>39.81</v>
      </c>
      <c r="C4525" s="1">
        <f>IFERROR(__xludf.DUMMYFUNCTION("""COMPUTED_VALUE"""),40.7)</f>
        <v>40.7</v>
      </c>
      <c r="D4525" s="1">
        <f>IFERROR(__xludf.DUMMYFUNCTION("""COMPUTED_VALUE"""),38.55)</f>
        <v>38.55</v>
      </c>
      <c r="E4525" s="1">
        <f>IFERROR(__xludf.DUMMYFUNCTION("""COMPUTED_VALUE"""),39.1)</f>
        <v>39.1</v>
      </c>
      <c r="F4525" s="1">
        <f>IFERROR(__xludf.DUMMYFUNCTION("""COMPUTED_VALUE"""),4.3863854E7)</f>
        <v>43863854</v>
      </c>
    </row>
    <row r="4526">
      <c r="A4526" s="2">
        <f>IFERROR(__xludf.DUMMYFUNCTION("""COMPUTED_VALUE"""),45737.66666666667)</f>
        <v>45737.66667</v>
      </c>
      <c r="B4526" s="1">
        <f>IFERROR(__xludf.DUMMYFUNCTION("""COMPUTED_VALUE"""),39.26)</f>
        <v>39.26</v>
      </c>
      <c r="C4526" s="1">
        <f>IFERROR(__xludf.DUMMYFUNCTION("""COMPUTED_VALUE"""),42.63)</f>
        <v>42.63</v>
      </c>
      <c r="D4526" s="1">
        <f>IFERROR(__xludf.DUMMYFUNCTION("""COMPUTED_VALUE"""),38.91)</f>
        <v>38.91</v>
      </c>
      <c r="E4526" s="1">
        <f>IFERROR(__xludf.DUMMYFUNCTION("""COMPUTED_VALUE"""),42.15)</f>
        <v>42.15</v>
      </c>
      <c r="F4526" s="1">
        <f>IFERROR(__xludf.DUMMYFUNCTION("""COMPUTED_VALUE"""),6.4539596E7)</f>
        <v>64539596</v>
      </c>
    </row>
    <row r="4527">
      <c r="A4527" s="2">
        <f>IFERROR(__xludf.DUMMYFUNCTION("""COMPUTED_VALUE"""),45740.66666666667)</f>
        <v>45740.66667</v>
      </c>
      <c r="B4527" s="1">
        <f>IFERROR(__xludf.DUMMYFUNCTION("""COMPUTED_VALUE"""),40.81)</f>
        <v>40.81</v>
      </c>
      <c r="C4527" s="1">
        <f>IFERROR(__xludf.DUMMYFUNCTION("""COMPUTED_VALUE"""),42.7)</f>
        <v>42.7</v>
      </c>
      <c r="D4527" s="1">
        <f>IFERROR(__xludf.DUMMYFUNCTION("""COMPUTED_VALUE"""),39.72)</f>
        <v>39.72</v>
      </c>
      <c r="E4527" s="1">
        <f>IFERROR(__xludf.DUMMYFUNCTION("""COMPUTED_VALUE"""),41.72)</f>
        <v>41.72</v>
      </c>
      <c r="F4527" s="1">
        <f>IFERROR(__xludf.DUMMYFUNCTION("""COMPUTED_VALUE"""),8.5032236E7)</f>
        <v>85032236</v>
      </c>
    </row>
    <row r="4528">
      <c r="A4528" s="2">
        <f>IFERROR(__xludf.DUMMYFUNCTION("""COMPUTED_VALUE"""),45741.66666666667)</f>
        <v>45741.66667</v>
      </c>
      <c r="B4528" s="1">
        <f>IFERROR(__xludf.DUMMYFUNCTION("""COMPUTED_VALUE"""),41.58)</f>
        <v>41.58</v>
      </c>
      <c r="C4528" s="1">
        <f>IFERROR(__xludf.DUMMYFUNCTION("""COMPUTED_VALUE"""),43.39)</f>
        <v>43.39</v>
      </c>
      <c r="D4528" s="1">
        <f>IFERROR(__xludf.DUMMYFUNCTION("""COMPUTED_VALUE"""),40.09)</f>
        <v>40.09</v>
      </c>
      <c r="E4528" s="1">
        <f>IFERROR(__xludf.DUMMYFUNCTION("""COMPUTED_VALUE"""),40.64)</f>
        <v>40.64</v>
      </c>
      <c r="F4528" s="1">
        <f>IFERROR(__xludf.DUMMYFUNCTION("""COMPUTED_VALUE"""),5.7736753E7)</f>
        <v>57736753</v>
      </c>
    </row>
    <row r="4529">
      <c r="A4529" s="2">
        <f>IFERROR(__xludf.DUMMYFUNCTION("""COMPUTED_VALUE"""),45742.66666666667)</f>
        <v>45742.66667</v>
      </c>
      <c r="B4529" s="1">
        <f>IFERROR(__xludf.DUMMYFUNCTION("""COMPUTED_VALUE"""),40.3)</f>
        <v>40.3</v>
      </c>
      <c r="C4529" s="1">
        <f>IFERROR(__xludf.DUMMYFUNCTION("""COMPUTED_VALUE"""),40.84)</f>
        <v>40.84</v>
      </c>
      <c r="D4529" s="1">
        <f>IFERROR(__xludf.DUMMYFUNCTION("""COMPUTED_VALUE"""),36.62)</f>
        <v>36.62</v>
      </c>
      <c r="E4529" s="1">
        <f>IFERROR(__xludf.DUMMYFUNCTION("""COMPUTED_VALUE"""),37.04)</f>
        <v>37.04</v>
      </c>
      <c r="F4529" s="1">
        <f>IFERROR(__xludf.DUMMYFUNCTION("""COMPUTED_VALUE"""),5.9733832E7)</f>
        <v>59733832</v>
      </c>
    </row>
    <row r="4530">
      <c r="A4530" s="2">
        <f>IFERROR(__xludf.DUMMYFUNCTION("""COMPUTED_VALUE"""),45743.66666666667)</f>
        <v>45743.66667</v>
      </c>
      <c r="B4530" s="1">
        <f>IFERROR(__xludf.DUMMYFUNCTION("""COMPUTED_VALUE"""),36.39)</f>
        <v>36.39</v>
      </c>
      <c r="C4530" s="1">
        <f>IFERROR(__xludf.DUMMYFUNCTION("""COMPUTED_VALUE"""),36.78)</f>
        <v>36.78</v>
      </c>
      <c r="D4530" s="1">
        <f>IFERROR(__xludf.DUMMYFUNCTION("""COMPUTED_VALUE"""),34.66)</f>
        <v>34.66</v>
      </c>
      <c r="E4530" s="1">
        <f>IFERROR(__xludf.DUMMYFUNCTION("""COMPUTED_VALUE"""),34.72)</f>
        <v>34.72</v>
      </c>
      <c r="F4530" s="1">
        <f>IFERROR(__xludf.DUMMYFUNCTION("""COMPUTED_VALUE"""),4.8512318E7)</f>
        <v>48512318</v>
      </c>
    </row>
    <row r="4531">
      <c r="A4531" s="2">
        <f>IFERROR(__xludf.DUMMYFUNCTION("""COMPUTED_VALUE"""),45744.66666666667)</f>
        <v>45744.66667</v>
      </c>
      <c r="B4531" s="1">
        <f>IFERROR(__xludf.DUMMYFUNCTION("""COMPUTED_VALUE"""),34.76)</f>
        <v>34.76</v>
      </c>
      <c r="C4531" s="1">
        <f>IFERROR(__xludf.DUMMYFUNCTION("""COMPUTED_VALUE"""),36.09)</f>
        <v>36.09</v>
      </c>
      <c r="D4531" s="1">
        <f>IFERROR(__xludf.DUMMYFUNCTION("""COMPUTED_VALUE"""),33.89)</f>
        <v>33.89</v>
      </c>
      <c r="E4531" s="1">
        <f>IFERROR(__xludf.DUMMYFUNCTION("""COMPUTED_VALUE"""),34.26)</f>
        <v>34.26</v>
      </c>
      <c r="F4531" s="1">
        <f>IFERROR(__xludf.DUMMYFUNCTION("""COMPUTED_VALUE"""),4.5561576E7)</f>
        <v>45561576</v>
      </c>
    </row>
    <row r="4532">
      <c r="A4532" s="2">
        <f>IFERROR(__xludf.DUMMYFUNCTION("""COMPUTED_VALUE"""),45747.66666666667)</f>
        <v>45747.66667</v>
      </c>
      <c r="B4532" s="1">
        <f>IFERROR(__xludf.DUMMYFUNCTION("""COMPUTED_VALUE"""),32.75)</f>
        <v>32.75</v>
      </c>
      <c r="C4532" s="1">
        <f>IFERROR(__xludf.DUMMYFUNCTION("""COMPUTED_VALUE"""),34.57)</f>
        <v>34.57</v>
      </c>
      <c r="D4532" s="1">
        <f>IFERROR(__xludf.DUMMYFUNCTION("""COMPUTED_VALUE"""),32.14)</f>
        <v>32.14</v>
      </c>
      <c r="E4532" s="1">
        <f>IFERROR(__xludf.DUMMYFUNCTION("""COMPUTED_VALUE"""),34.24)</f>
        <v>34.24</v>
      </c>
      <c r="F4532" s="1">
        <f>IFERROR(__xludf.DUMMYFUNCTION("""COMPUTED_VALUE"""),4.3814765E7)</f>
        <v>43814765</v>
      </c>
    </row>
    <row r="4533">
      <c r="A4533" s="2">
        <f>IFERROR(__xludf.DUMMYFUNCTION("""COMPUTED_VALUE"""),45748.66666666667)</f>
        <v>45748.66667</v>
      </c>
      <c r="B4533" s="1">
        <f>IFERROR(__xludf.DUMMYFUNCTION("""COMPUTED_VALUE"""),34.25)</f>
        <v>34.25</v>
      </c>
      <c r="C4533" s="1">
        <f>IFERROR(__xludf.DUMMYFUNCTION("""COMPUTED_VALUE"""),35.9)</f>
        <v>35.9</v>
      </c>
      <c r="D4533" s="1">
        <f>IFERROR(__xludf.DUMMYFUNCTION("""COMPUTED_VALUE"""),33.9)</f>
        <v>33.9</v>
      </c>
      <c r="E4533" s="1">
        <f>IFERROR(__xludf.DUMMYFUNCTION("""COMPUTED_VALUE"""),35.05)</f>
        <v>35.05</v>
      </c>
      <c r="F4533" s="1">
        <f>IFERROR(__xludf.DUMMYFUNCTION("""COMPUTED_VALUE"""),4.1752301E7)</f>
        <v>41752301</v>
      </c>
    </row>
    <row r="4534">
      <c r="A4534" s="2">
        <f>IFERROR(__xludf.DUMMYFUNCTION("""COMPUTED_VALUE"""),45749.66666666667)</f>
        <v>45749.66667</v>
      </c>
      <c r="B4534" s="1">
        <f>IFERROR(__xludf.DUMMYFUNCTION("""COMPUTED_VALUE"""),34.02)</f>
        <v>34.02</v>
      </c>
      <c r="C4534" s="1">
        <f>IFERROR(__xludf.DUMMYFUNCTION("""COMPUTED_VALUE"""),36.05)</f>
        <v>36.05</v>
      </c>
      <c r="D4534" s="1">
        <f>IFERROR(__xludf.DUMMYFUNCTION("""COMPUTED_VALUE"""),33.77)</f>
        <v>33.77</v>
      </c>
      <c r="E4534" s="1">
        <f>IFERROR(__xludf.DUMMYFUNCTION("""COMPUTED_VALUE"""),35.09)</f>
        <v>35.09</v>
      </c>
      <c r="F4534" s="1">
        <f>IFERROR(__xludf.DUMMYFUNCTION("""COMPUTED_VALUE"""),3.9934462E7)</f>
        <v>39934462</v>
      </c>
    </row>
    <row r="4535">
      <c r="A4535" s="2">
        <f>IFERROR(__xludf.DUMMYFUNCTION("""COMPUTED_VALUE"""),45750.66666666667)</f>
        <v>45750.66667</v>
      </c>
      <c r="B4535" s="1">
        <f>IFERROR(__xludf.DUMMYFUNCTION("""COMPUTED_VALUE"""),32.03)</f>
        <v>32.03</v>
      </c>
      <c r="C4535" s="1">
        <f>IFERROR(__xludf.DUMMYFUNCTION("""COMPUTED_VALUE"""),33.16)</f>
        <v>33.16</v>
      </c>
      <c r="D4535" s="1">
        <f>IFERROR(__xludf.DUMMYFUNCTION("""COMPUTED_VALUE"""),31.55)</f>
        <v>31.55</v>
      </c>
      <c r="E4535" s="1">
        <f>IFERROR(__xludf.DUMMYFUNCTION("""COMPUTED_VALUE"""),32.32)</f>
        <v>32.32</v>
      </c>
      <c r="F4535" s="1">
        <f>IFERROR(__xludf.DUMMYFUNCTION("""COMPUTED_VALUE"""),4.5050146E7)</f>
        <v>45050146</v>
      </c>
    </row>
    <row r="4536">
      <c r="A4536" s="2">
        <f>IFERROR(__xludf.DUMMYFUNCTION("""COMPUTED_VALUE"""),45751.66666666667)</f>
        <v>45751.66667</v>
      </c>
      <c r="B4536" s="1">
        <f>IFERROR(__xludf.DUMMYFUNCTION("""COMPUTED_VALUE"""),30.7)</f>
        <v>30.7</v>
      </c>
      <c r="C4536" s="1">
        <f>IFERROR(__xludf.DUMMYFUNCTION("""COMPUTED_VALUE"""),31.19)</f>
        <v>31.19</v>
      </c>
      <c r="D4536" s="1">
        <f>IFERROR(__xludf.DUMMYFUNCTION("""COMPUTED_VALUE"""),27.65)</f>
        <v>27.65</v>
      </c>
      <c r="E4536" s="1">
        <f>IFERROR(__xludf.DUMMYFUNCTION("""COMPUTED_VALUE"""),29.82)</f>
        <v>29.82</v>
      </c>
      <c r="F4536" s="1">
        <f>IFERROR(__xludf.DUMMYFUNCTION("""COMPUTED_VALUE"""),5.4490225E7)</f>
        <v>54490225</v>
      </c>
    </row>
    <row r="4537">
      <c r="A4537" s="2">
        <f>IFERROR(__xludf.DUMMYFUNCTION("""COMPUTED_VALUE"""),45754.66666666667)</f>
        <v>45754.66667</v>
      </c>
      <c r="B4537" s="1">
        <f>IFERROR(__xludf.DUMMYFUNCTION("""COMPUTED_VALUE"""),27.91)</f>
        <v>27.91</v>
      </c>
      <c r="C4537" s="1">
        <f>IFERROR(__xludf.DUMMYFUNCTION("""COMPUTED_VALUE"""),34.15)</f>
        <v>34.15</v>
      </c>
      <c r="D4537" s="1">
        <f>IFERROR(__xludf.DUMMYFUNCTION("""COMPUTED_VALUE"""),27.6)</f>
        <v>27.6</v>
      </c>
      <c r="E4537" s="1">
        <f>IFERROR(__xludf.DUMMYFUNCTION("""COMPUTED_VALUE"""),33.0)</f>
        <v>33</v>
      </c>
      <c r="F4537" s="1">
        <f>IFERROR(__xludf.DUMMYFUNCTION("""COMPUTED_VALUE"""),7.3010227E7)</f>
        <v>73010227</v>
      </c>
    </row>
    <row r="4538">
      <c r="A4538" s="2">
        <f>IFERROR(__xludf.DUMMYFUNCTION("""COMPUTED_VALUE"""),45755.66666666667)</f>
        <v>45755.66667</v>
      </c>
      <c r="B4538" s="1">
        <f>IFERROR(__xludf.DUMMYFUNCTION("""COMPUTED_VALUE"""),35.14)</f>
        <v>35.14</v>
      </c>
      <c r="C4538" s="1">
        <f>IFERROR(__xludf.DUMMYFUNCTION("""COMPUTED_VALUE"""),35.49)</f>
        <v>35.49</v>
      </c>
      <c r="D4538" s="1">
        <f>IFERROR(__xludf.DUMMYFUNCTION("""COMPUTED_VALUE"""),30.92)</f>
        <v>30.92</v>
      </c>
      <c r="E4538" s="1">
        <f>IFERROR(__xludf.DUMMYFUNCTION("""COMPUTED_VALUE"""),31.71)</f>
        <v>31.71</v>
      </c>
      <c r="F4538" s="1">
        <f>IFERROR(__xludf.DUMMYFUNCTION("""COMPUTED_VALUE"""),6.1430949E7)</f>
        <v>61430949</v>
      </c>
    </row>
    <row r="4539">
      <c r="A4539" s="2">
        <f>IFERROR(__xludf.DUMMYFUNCTION("""COMPUTED_VALUE"""),45756.66666666667)</f>
        <v>45756.66667</v>
      </c>
      <c r="B4539" s="1">
        <f>IFERROR(__xludf.DUMMYFUNCTION("""COMPUTED_VALUE"""),32.0)</f>
        <v>32</v>
      </c>
      <c r="C4539" s="1">
        <f>IFERROR(__xludf.DUMMYFUNCTION("""COMPUTED_VALUE"""),37.39)</f>
        <v>37.39</v>
      </c>
      <c r="D4539" s="1">
        <f>IFERROR(__xludf.DUMMYFUNCTION("""COMPUTED_VALUE"""),31.41)</f>
        <v>31.41</v>
      </c>
      <c r="E4539" s="1">
        <f>IFERROR(__xludf.DUMMYFUNCTION("""COMPUTED_VALUE"""),36.71)</f>
        <v>36.71</v>
      </c>
      <c r="F4539" s="1">
        <f>IFERROR(__xludf.DUMMYFUNCTION("""COMPUTED_VALUE"""),6.9891782E7)</f>
        <v>69891782</v>
      </c>
    </row>
    <row r="4540">
      <c r="A4540" s="2">
        <f>IFERROR(__xludf.DUMMYFUNCTION("""COMPUTED_VALUE"""),45757.66666666667)</f>
        <v>45757.66667</v>
      </c>
      <c r="B4540" s="1">
        <f>IFERROR(__xludf.DUMMYFUNCTION("""COMPUTED_VALUE"""),35.09)</f>
        <v>35.09</v>
      </c>
      <c r="C4540" s="1">
        <f>IFERROR(__xludf.DUMMYFUNCTION("""COMPUTED_VALUE"""),35.48)</f>
        <v>35.48</v>
      </c>
      <c r="D4540" s="1">
        <f>IFERROR(__xludf.DUMMYFUNCTION("""COMPUTED_VALUE"""),32.5)</f>
        <v>32.5</v>
      </c>
      <c r="E4540" s="1">
        <f>IFERROR(__xludf.DUMMYFUNCTION("""COMPUTED_VALUE"""),33.68)</f>
        <v>33.68</v>
      </c>
      <c r="F4540" s="1">
        <f>IFERROR(__xludf.DUMMYFUNCTION("""COMPUTED_VALUE"""),3.8130449E7)</f>
        <v>38130449</v>
      </c>
    </row>
    <row r="4541">
      <c r="A4541" s="2">
        <f>IFERROR(__xludf.DUMMYFUNCTION("""COMPUTED_VALUE"""),45758.66666666667)</f>
        <v>45758.66667</v>
      </c>
      <c r="B4541" s="1">
        <f>IFERROR(__xludf.DUMMYFUNCTION("""COMPUTED_VALUE"""),34.08)</f>
        <v>34.08</v>
      </c>
      <c r="C4541" s="1">
        <f>IFERROR(__xludf.DUMMYFUNCTION("""COMPUTED_VALUE"""),34.33)</f>
        <v>34.33</v>
      </c>
      <c r="D4541" s="1">
        <f>IFERROR(__xludf.DUMMYFUNCTION("""COMPUTED_VALUE"""),32.57)</f>
        <v>32.57</v>
      </c>
      <c r="E4541" s="1">
        <f>IFERROR(__xludf.DUMMYFUNCTION("""COMPUTED_VALUE"""),33.15)</f>
        <v>33.15</v>
      </c>
      <c r="F4541" s="1">
        <f>IFERROR(__xludf.DUMMYFUNCTION("""COMPUTED_VALUE"""),2.7608719E7)</f>
        <v>27608719</v>
      </c>
    </row>
    <row r="4542">
      <c r="A4542" s="2">
        <f>IFERROR(__xludf.DUMMYFUNCTION("""COMPUTED_VALUE"""),45761.66666666667)</f>
        <v>45761.66667</v>
      </c>
      <c r="B4542" s="1">
        <f>IFERROR(__xludf.DUMMYFUNCTION("""COMPUTED_VALUE"""),35.03)</f>
        <v>35.03</v>
      </c>
      <c r="C4542" s="1">
        <f>IFERROR(__xludf.DUMMYFUNCTION("""COMPUTED_VALUE"""),35.12)</f>
        <v>35.12</v>
      </c>
      <c r="D4542" s="1">
        <f>IFERROR(__xludf.DUMMYFUNCTION("""COMPUTED_VALUE"""),32.97)</f>
        <v>32.97</v>
      </c>
      <c r="E4542" s="1">
        <f>IFERROR(__xludf.DUMMYFUNCTION("""COMPUTED_VALUE"""),33.12)</f>
        <v>33.12</v>
      </c>
      <c r="F4542" s="1">
        <f>IFERROR(__xludf.DUMMYFUNCTION("""COMPUTED_VALUE"""),3.356563E7)</f>
        <v>33565630</v>
      </c>
    </row>
    <row r="4543">
      <c r="A4543" s="2">
        <f>IFERROR(__xludf.DUMMYFUNCTION("""COMPUTED_VALUE"""),45762.66666666667)</f>
        <v>45762.66667</v>
      </c>
      <c r="B4543" s="1">
        <f>IFERROR(__xludf.DUMMYFUNCTION("""COMPUTED_VALUE"""),33.22)</f>
        <v>33.22</v>
      </c>
      <c r="C4543" s="1">
        <f>IFERROR(__xludf.DUMMYFUNCTION("""COMPUTED_VALUE"""),34.59)</f>
        <v>34.59</v>
      </c>
      <c r="D4543" s="1">
        <f>IFERROR(__xludf.DUMMYFUNCTION("""COMPUTED_VALUE"""),33.07)</f>
        <v>33.07</v>
      </c>
      <c r="E4543" s="1">
        <f>IFERROR(__xludf.DUMMYFUNCTION("""COMPUTED_VALUE"""),33.48)</f>
        <v>33.48</v>
      </c>
      <c r="F4543" s="1">
        <f>IFERROR(__xludf.DUMMYFUNCTION("""COMPUTED_VALUE"""),2.7661282E7)</f>
        <v>27661282</v>
      </c>
    </row>
    <row r="4544">
      <c r="A4544" s="2">
        <f>IFERROR(__xludf.DUMMYFUNCTION("""COMPUTED_VALUE"""),45763.66666666667)</f>
        <v>45763.66667</v>
      </c>
      <c r="B4544" s="1">
        <f>IFERROR(__xludf.DUMMYFUNCTION("""COMPUTED_VALUE"""),31.86)</f>
        <v>31.86</v>
      </c>
      <c r="C4544" s="1">
        <f>IFERROR(__xludf.DUMMYFUNCTION("""COMPUTED_VALUE"""),33.65)</f>
        <v>33.65</v>
      </c>
      <c r="D4544" s="1">
        <f>IFERROR(__xludf.DUMMYFUNCTION("""COMPUTED_VALUE"""),30.92)</f>
        <v>30.92</v>
      </c>
      <c r="E4544" s="1">
        <f>IFERROR(__xludf.DUMMYFUNCTION("""COMPUTED_VALUE"""),31.89)</f>
        <v>31.89</v>
      </c>
      <c r="F4544" s="1">
        <f>IFERROR(__xludf.DUMMYFUNCTION("""COMPUTED_VALUE"""),3.8843481E7)</f>
        <v>38843481</v>
      </c>
    </row>
    <row r="4545">
      <c r="A4545" s="2">
        <f>IFERROR(__xludf.DUMMYFUNCTION("""COMPUTED_VALUE"""),45764.66666666667)</f>
        <v>45764.66667</v>
      </c>
      <c r="B4545" s="1">
        <f>IFERROR(__xludf.DUMMYFUNCTION("""COMPUTED_VALUE"""),32.08)</f>
        <v>32.08</v>
      </c>
      <c r="C4545" s="1">
        <f>IFERROR(__xludf.DUMMYFUNCTION("""COMPUTED_VALUE"""),32.25)</f>
        <v>32.25</v>
      </c>
      <c r="D4545" s="1">
        <f>IFERROR(__xludf.DUMMYFUNCTION("""COMPUTED_VALUE"""),30.44)</f>
        <v>30.44</v>
      </c>
      <c r="E4545" s="1">
        <f>IFERROR(__xludf.DUMMYFUNCTION("""COMPUTED_VALUE"""),31.51)</f>
        <v>31.51</v>
      </c>
      <c r="F4545" s="1">
        <f>IFERROR(__xludf.DUMMYFUNCTION("""COMPUTED_VALUE"""),2.6958502E7)</f>
        <v>26958502</v>
      </c>
    </row>
    <row r="4546">
      <c r="A4546" s="2">
        <f>IFERROR(__xludf.DUMMYFUNCTION("""COMPUTED_VALUE"""),45768.66666666667)</f>
        <v>45768.66667</v>
      </c>
      <c r="B4546" s="1">
        <f>IFERROR(__xludf.DUMMYFUNCTION("""COMPUTED_VALUE"""),30.75)</f>
        <v>30.75</v>
      </c>
      <c r="C4546" s="1">
        <f>IFERROR(__xludf.DUMMYFUNCTION("""COMPUTED_VALUE"""),30.91)</f>
        <v>30.91</v>
      </c>
      <c r="D4546" s="1">
        <f>IFERROR(__xludf.DUMMYFUNCTION("""COMPUTED_VALUE"""),28.9)</f>
        <v>28.9</v>
      </c>
      <c r="E4546" s="1">
        <f>IFERROR(__xludf.DUMMYFUNCTION("""COMPUTED_VALUE"""),29.51)</f>
        <v>29.51</v>
      </c>
      <c r="F4546" s="1">
        <f>IFERROR(__xludf.DUMMYFUNCTION("""COMPUTED_VALUE"""),3.5384428E7)</f>
        <v>35384428</v>
      </c>
    </row>
    <row r="4547">
      <c r="A4547" s="2">
        <f>IFERROR(__xludf.DUMMYFUNCTION("""COMPUTED_VALUE"""),45769.66666666667)</f>
        <v>45769.66667</v>
      </c>
      <c r="B4547" s="1">
        <f>IFERROR(__xludf.DUMMYFUNCTION("""COMPUTED_VALUE"""),30.08)</f>
        <v>30.08</v>
      </c>
      <c r="C4547" s="1">
        <f>IFERROR(__xludf.DUMMYFUNCTION("""COMPUTED_VALUE"""),31.05)</f>
        <v>31.05</v>
      </c>
      <c r="D4547" s="1">
        <f>IFERROR(__xludf.DUMMYFUNCTION("""COMPUTED_VALUE"""),29.57)</f>
        <v>29.57</v>
      </c>
      <c r="E4547" s="1">
        <f>IFERROR(__xludf.DUMMYFUNCTION("""COMPUTED_VALUE"""),30.58)</f>
        <v>30.58</v>
      </c>
      <c r="F4547" s="1">
        <f>IFERROR(__xludf.DUMMYFUNCTION("""COMPUTED_VALUE"""),3.2367197E7)</f>
        <v>32367197</v>
      </c>
    </row>
    <row r="4548">
      <c r="A4548" s="2">
        <f>IFERROR(__xludf.DUMMYFUNCTION("""COMPUTED_VALUE"""),45770.66666666667)</f>
        <v>45770.66667</v>
      </c>
      <c r="B4548" s="1">
        <f>IFERROR(__xludf.DUMMYFUNCTION("""COMPUTED_VALUE"""),33.02)</f>
        <v>33.02</v>
      </c>
      <c r="C4548" s="1">
        <f>IFERROR(__xludf.DUMMYFUNCTION("""COMPUTED_VALUE"""),34.99)</f>
        <v>34.99</v>
      </c>
      <c r="D4548" s="1">
        <f>IFERROR(__xludf.DUMMYFUNCTION("""COMPUTED_VALUE"""),32.63)</f>
        <v>32.63</v>
      </c>
      <c r="E4548" s="1">
        <f>IFERROR(__xludf.DUMMYFUNCTION("""COMPUTED_VALUE"""),32.9)</f>
        <v>32.9</v>
      </c>
      <c r="F4548" s="1">
        <f>IFERROR(__xludf.DUMMYFUNCTION("""COMPUTED_VALUE"""),5.6445107E7)</f>
        <v>56445107</v>
      </c>
    </row>
    <row r="4549">
      <c r="A4549" s="2">
        <f>IFERROR(__xludf.DUMMYFUNCTION("""COMPUTED_VALUE"""),45771.66666666667)</f>
        <v>45771.66667</v>
      </c>
      <c r="B4549" s="1">
        <f>IFERROR(__xludf.DUMMYFUNCTION("""COMPUTED_VALUE"""),33.65)</f>
        <v>33.65</v>
      </c>
      <c r="C4549" s="1">
        <f>IFERROR(__xludf.DUMMYFUNCTION("""COMPUTED_VALUE"""),36.48)</f>
        <v>36.48</v>
      </c>
      <c r="D4549" s="1">
        <f>IFERROR(__xludf.DUMMYFUNCTION("""COMPUTED_VALUE"""),33.51)</f>
        <v>33.51</v>
      </c>
      <c r="E4549" s="1">
        <f>IFERROR(__xludf.DUMMYFUNCTION("""COMPUTED_VALUE"""),35.81)</f>
        <v>35.81</v>
      </c>
      <c r="F4549" s="1">
        <f>IFERROR(__xludf.DUMMYFUNCTION("""COMPUTED_VALUE"""),5.038041E7)</f>
        <v>50380410</v>
      </c>
    </row>
    <row r="4550">
      <c r="A4550" s="2">
        <f>IFERROR(__xludf.DUMMYFUNCTION("""COMPUTED_VALUE"""),45772.66666666667)</f>
        <v>45772.66667</v>
      </c>
      <c r="B4550" s="1">
        <f>IFERROR(__xludf.DUMMYFUNCTION("""COMPUTED_VALUE"""),35.91)</f>
        <v>35.91</v>
      </c>
      <c r="C4550" s="1">
        <f>IFERROR(__xludf.DUMMYFUNCTION("""COMPUTED_VALUE"""),36.74)</f>
        <v>36.74</v>
      </c>
      <c r="D4550" s="1">
        <f>IFERROR(__xludf.DUMMYFUNCTION("""COMPUTED_VALUE"""),35.3)</f>
        <v>35.3</v>
      </c>
      <c r="E4550" s="1">
        <f>IFERROR(__xludf.DUMMYFUNCTION("""COMPUTED_VALUE"""),36.47)</f>
        <v>36.47</v>
      </c>
      <c r="F4550" s="1">
        <f>IFERROR(__xludf.DUMMYFUNCTION("""COMPUTED_VALUE"""),3.8163413E7)</f>
        <v>38163413</v>
      </c>
    </row>
    <row r="4551">
      <c r="A4551" s="2">
        <f>IFERROR(__xludf.DUMMYFUNCTION("""COMPUTED_VALUE"""),45775.66666666667)</f>
        <v>45775.66667</v>
      </c>
      <c r="B4551" s="1">
        <f>IFERROR(__xludf.DUMMYFUNCTION("""COMPUTED_VALUE"""),36.54)</f>
        <v>36.54</v>
      </c>
      <c r="C4551" s="1">
        <f>IFERROR(__xludf.DUMMYFUNCTION("""COMPUTED_VALUE"""),37.82)</f>
        <v>37.82</v>
      </c>
      <c r="D4551" s="1">
        <f>IFERROR(__xludf.DUMMYFUNCTION("""COMPUTED_VALUE"""),36.06)</f>
        <v>36.06</v>
      </c>
      <c r="E4551" s="1">
        <f>IFERROR(__xludf.DUMMYFUNCTION("""COMPUTED_VALUE"""),37.27)</f>
        <v>37.27</v>
      </c>
      <c r="F4551" s="1">
        <f>IFERROR(__xludf.DUMMYFUNCTION("""COMPUTED_VALUE"""),4.2508717E7)</f>
        <v>42508717</v>
      </c>
    </row>
    <row r="4552">
      <c r="A4552" s="2">
        <f>IFERROR(__xludf.DUMMYFUNCTION("""COMPUTED_VALUE"""),45776.66666666667)</f>
        <v>45776.66667</v>
      </c>
      <c r="B4552" s="1">
        <f>IFERROR(__xludf.DUMMYFUNCTION("""COMPUTED_VALUE"""),36.92)</f>
        <v>36.92</v>
      </c>
      <c r="C4552" s="1">
        <f>IFERROR(__xludf.DUMMYFUNCTION("""COMPUTED_VALUE"""),37.29)</f>
        <v>37.29</v>
      </c>
      <c r="D4552" s="1">
        <f>IFERROR(__xludf.DUMMYFUNCTION("""COMPUTED_VALUE"""),35.94)</f>
        <v>35.94</v>
      </c>
      <c r="E4552" s="1">
        <f>IFERROR(__xludf.DUMMYFUNCTION("""COMPUTED_VALUE"""),36.0)</f>
        <v>36</v>
      </c>
      <c r="F4552" s="1">
        <f>IFERROR(__xludf.DUMMYFUNCTION("""COMPUTED_VALUE"""),4.3312256E7)</f>
        <v>43312256</v>
      </c>
    </row>
    <row r="4553">
      <c r="A4553" s="2">
        <f>IFERROR(__xludf.DUMMYFUNCTION("""COMPUTED_VALUE"""),45777.66666666667)</f>
        <v>45777.66667</v>
      </c>
      <c r="B4553" s="1">
        <f>IFERROR(__xludf.DUMMYFUNCTION("""COMPUTED_VALUE"""),29.12)</f>
        <v>29.12</v>
      </c>
      <c r="C4553" s="1">
        <f>IFERROR(__xludf.DUMMYFUNCTION("""COMPUTED_VALUE"""),32.0)</f>
        <v>32</v>
      </c>
      <c r="D4553" s="1">
        <f>IFERROR(__xludf.DUMMYFUNCTION("""COMPUTED_VALUE"""),28.78)</f>
        <v>28.78</v>
      </c>
      <c r="E4553" s="1">
        <f>IFERROR(__xludf.DUMMYFUNCTION("""COMPUTED_VALUE"""),31.86)</f>
        <v>31.86</v>
      </c>
      <c r="F4553" s="1">
        <f>IFERROR(__xludf.DUMMYFUNCTION("""COMPUTED_VALUE"""),9.823051E7)</f>
        <v>98230510</v>
      </c>
    </row>
    <row r="4554">
      <c r="A4554" s="2">
        <f>IFERROR(__xludf.DUMMYFUNCTION("""COMPUTED_VALUE"""),45778.66666666667)</f>
        <v>45778.66667</v>
      </c>
      <c r="B4554" s="1">
        <f>IFERROR(__xludf.DUMMYFUNCTION("""COMPUTED_VALUE"""),32.15)</f>
        <v>32.15</v>
      </c>
      <c r="C4554" s="1">
        <f>IFERROR(__xludf.DUMMYFUNCTION("""COMPUTED_VALUE"""),33.78)</f>
        <v>33.78</v>
      </c>
      <c r="D4554" s="1">
        <f>IFERROR(__xludf.DUMMYFUNCTION("""COMPUTED_VALUE"""),31.15)</f>
        <v>31.15</v>
      </c>
      <c r="E4554" s="1">
        <f>IFERROR(__xludf.DUMMYFUNCTION("""COMPUTED_VALUE"""),32.73)</f>
        <v>32.73</v>
      </c>
      <c r="F4554" s="1">
        <f>IFERROR(__xludf.DUMMYFUNCTION("""COMPUTED_VALUE"""),5.5087522E7)</f>
        <v>55087522</v>
      </c>
    </row>
    <row r="4555">
      <c r="A4555" s="2">
        <f>IFERROR(__xludf.DUMMYFUNCTION("""COMPUTED_VALUE"""),45779.66666666667)</f>
        <v>45779.66667</v>
      </c>
      <c r="B4555" s="1">
        <f>IFERROR(__xludf.DUMMYFUNCTION("""COMPUTED_VALUE"""),32.94)</f>
        <v>32.94</v>
      </c>
      <c r="C4555" s="1">
        <f>IFERROR(__xludf.DUMMYFUNCTION("""COMPUTED_VALUE"""),34.13)</f>
        <v>34.13</v>
      </c>
      <c r="D4555" s="1">
        <f>IFERROR(__xludf.DUMMYFUNCTION("""COMPUTED_VALUE"""),32.69)</f>
        <v>32.69</v>
      </c>
      <c r="E4555" s="1">
        <f>IFERROR(__xludf.DUMMYFUNCTION("""COMPUTED_VALUE"""),33.71)</f>
        <v>33.71</v>
      </c>
      <c r="F4555" s="1">
        <f>IFERROR(__xludf.DUMMYFUNCTION("""COMPUTED_VALUE"""),4.5306805E7)</f>
        <v>45306805</v>
      </c>
    </row>
    <row r="4556">
      <c r="A4556" s="2">
        <f>IFERROR(__xludf.DUMMYFUNCTION("""COMPUTED_VALUE"""),45782.66666666667)</f>
        <v>45782.66667</v>
      </c>
      <c r="B4556" s="1">
        <f>IFERROR(__xludf.DUMMYFUNCTION("""COMPUTED_VALUE"""),33.1)</f>
        <v>33.1</v>
      </c>
      <c r="C4556" s="1">
        <f>IFERROR(__xludf.DUMMYFUNCTION("""COMPUTED_VALUE"""),33.49)</f>
        <v>33.49</v>
      </c>
      <c r="D4556" s="1">
        <f>IFERROR(__xludf.DUMMYFUNCTION("""COMPUTED_VALUE"""),32.12)</f>
        <v>32.12</v>
      </c>
      <c r="E4556" s="1">
        <f>IFERROR(__xludf.DUMMYFUNCTION("""COMPUTED_VALUE"""),32.17)</f>
        <v>32.17</v>
      </c>
      <c r="F4556" s="1">
        <f>IFERROR(__xludf.DUMMYFUNCTION("""COMPUTED_VALUE"""),3.3477394E7)</f>
        <v>33477394</v>
      </c>
    </row>
    <row r="4557">
      <c r="A4557" s="2">
        <f>IFERROR(__xludf.DUMMYFUNCTION("""COMPUTED_VALUE"""),45783.66666666667)</f>
        <v>45783.66667</v>
      </c>
      <c r="B4557" s="1">
        <f>IFERROR(__xludf.DUMMYFUNCTION("""COMPUTED_VALUE"""),31.72)</f>
        <v>31.72</v>
      </c>
      <c r="C4557" s="1">
        <f>IFERROR(__xludf.DUMMYFUNCTION("""COMPUTED_VALUE"""),33.34)</f>
        <v>33.34</v>
      </c>
      <c r="D4557" s="1">
        <f>IFERROR(__xludf.DUMMYFUNCTION("""COMPUTED_VALUE"""),31.52)</f>
        <v>31.52</v>
      </c>
      <c r="E4557" s="1">
        <f>IFERROR(__xludf.DUMMYFUNCTION("""COMPUTED_VALUE"""),32.94)</f>
        <v>32.94</v>
      </c>
      <c r="F4557" s="1">
        <f>IFERROR(__xludf.DUMMYFUNCTION("""COMPUTED_VALUE"""),4.4675879E7)</f>
        <v>44675879</v>
      </c>
    </row>
    <row r="4558">
      <c r="A4558" s="2">
        <f>IFERROR(__xludf.DUMMYFUNCTION("""COMPUTED_VALUE"""),45784.66666666667)</f>
        <v>45784.66667</v>
      </c>
      <c r="B4558" s="1">
        <f>IFERROR(__xludf.DUMMYFUNCTION("""COMPUTED_VALUE"""),31.1)</f>
        <v>31.1</v>
      </c>
      <c r="C4558" s="1">
        <f>IFERROR(__xludf.DUMMYFUNCTION("""COMPUTED_VALUE"""),32.97)</f>
        <v>32.97</v>
      </c>
      <c r="D4558" s="1">
        <f>IFERROR(__xludf.DUMMYFUNCTION("""COMPUTED_VALUE"""),30.54)</f>
        <v>30.54</v>
      </c>
      <c r="E4558" s="1">
        <f>IFERROR(__xludf.DUMMYFUNCTION("""COMPUTED_VALUE"""),32.48)</f>
        <v>32.48</v>
      </c>
      <c r="F4558" s="1">
        <f>IFERROR(__xludf.DUMMYFUNCTION("""COMPUTED_VALUE"""),5.8616872E7)</f>
        <v>58616872</v>
      </c>
    </row>
    <row r="4559">
      <c r="A4559" s="2">
        <f>IFERROR(__xludf.DUMMYFUNCTION("""COMPUTED_VALUE"""),45785.66666666667)</f>
        <v>45785.66667</v>
      </c>
      <c r="B4559" s="1">
        <f>IFERROR(__xludf.DUMMYFUNCTION("""COMPUTED_VALUE"""),32.93)</f>
        <v>32.93</v>
      </c>
      <c r="C4559" s="1">
        <f>IFERROR(__xludf.DUMMYFUNCTION("""COMPUTED_VALUE"""),33.19)</f>
        <v>33.19</v>
      </c>
      <c r="D4559" s="1">
        <f>IFERROR(__xludf.DUMMYFUNCTION("""COMPUTED_VALUE"""),31.95)</f>
        <v>31.95</v>
      </c>
      <c r="E4559" s="1">
        <f>IFERROR(__xludf.DUMMYFUNCTION("""COMPUTED_VALUE"""),32.11)</f>
        <v>32.11</v>
      </c>
      <c r="F4559" s="1">
        <f>IFERROR(__xludf.DUMMYFUNCTION("""COMPUTED_VALUE"""),4.2736601E7)</f>
        <v>42736601</v>
      </c>
    </row>
    <row r="4560">
      <c r="A4560" s="2">
        <f>IFERROR(__xludf.DUMMYFUNCTION("""COMPUTED_VALUE"""),45786.66666666667)</f>
        <v>45786.66667</v>
      </c>
      <c r="B4560" s="1">
        <f>IFERROR(__xludf.DUMMYFUNCTION("""COMPUTED_VALUE"""),32.13)</f>
        <v>32.13</v>
      </c>
      <c r="C4560" s="1">
        <f>IFERROR(__xludf.DUMMYFUNCTION("""COMPUTED_VALUE"""),32.84)</f>
        <v>32.84</v>
      </c>
      <c r="D4560" s="1">
        <f>IFERROR(__xludf.DUMMYFUNCTION("""COMPUTED_VALUE"""),31.2)</f>
        <v>31.2</v>
      </c>
      <c r="E4560" s="1">
        <f>IFERROR(__xludf.DUMMYFUNCTION("""COMPUTED_VALUE"""),31.99)</f>
        <v>31.99</v>
      </c>
      <c r="F4560" s="1">
        <f>IFERROR(__xludf.DUMMYFUNCTION("""COMPUTED_VALUE"""),3.1459202E7)</f>
        <v>31459202</v>
      </c>
    </row>
    <row r="4561">
      <c r="A4561" s="2">
        <f>IFERROR(__xludf.DUMMYFUNCTION("""COMPUTED_VALUE"""),45789.66666666667)</f>
        <v>45789.66667</v>
      </c>
      <c r="B4561" s="1">
        <f>IFERROR(__xludf.DUMMYFUNCTION("""COMPUTED_VALUE"""),33.89)</f>
        <v>33.89</v>
      </c>
      <c r="C4561" s="1">
        <f>IFERROR(__xludf.DUMMYFUNCTION("""COMPUTED_VALUE"""),35.07)</f>
        <v>35.07</v>
      </c>
      <c r="D4561" s="1">
        <f>IFERROR(__xludf.DUMMYFUNCTION("""COMPUTED_VALUE"""),32.95)</f>
        <v>32.95</v>
      </c>
      <c r="E4561" s="1">
        <f>IFERROR(__xludf.DUMMYFUNCTION("""COMPUTED_VALUE"""),33.52)</f>
        <v>33.52</v>
      </c>
      <c r="F4561" s="1">
        <f>IFERROR(__xludf.DUMMYFUNCTION("""COMPUTED_VALUE"""),5.1333927E7)</f>
        <v>51333927</v>
      </c>
    </row>
    <row r="4562">
      <c r="A4562" s="2">
        <f>IFERROR(__xludf.DUMMYFUNCTION("""COMPUTED_VALUE"""),45790.66666666667)</f>
        <v>45790.66667</v>
      </c>
      <c r="B4562" s="1">
        <f>IFERROR(__xludf.DUMMYFUNCTION("""COMPUTED_VALUE"""),34.46)</f>
        <v>34.46</v>
      </c>
      <c r="C4562" s="1">
        <f>IFERROR(__xludf.DUMMYFUNCTION("""COMPUTED_VALUE"""),39.1)</f>
        <v>39.1</v>
      </c>
      <c r="D4562" s="1">
        <f>IFERROR(__xludf.DUMMYFUNCTION("""COMPUTED_VALUE"""),34.18)</f>
        <v>34.18</v>
      </c>
      <c r="E4562" s="1">
        <f>IFERROR(__xludf.DUMMYFUNCTION("""COMPUTED_VALUE"""),38.89)</f>
        <v>38.89</v>
      </c>
      <c r="F4562" s="1">
        <f>IFERROR(__xludf.DUMMYFUNCTION("""COMPUTED_VALUE"""),9.6751993E7)</f>
        <v>96751993</v>
      </c>
    </row>
    <row r="4563">
      <c r="A4563" s="2">
        <f>IFERROR(__xludf.DUMMYFUNCTION("""COMPUTED_VALUE"""),45791.66666666667)</f>
        <v>45791.66667</v>
      </c>
      <c r="B4563" s="1">
        <f>IFERROR(__xludf.DUMMYFUNCTION("""COMPUTED_VALUE"""),45.93)</f>
        <v>45.93</v>
      </c>
      <c r="C4563" s="1">
        <f>IFERROR(__xludf.DUMMYFUNCTION("""COMPUTED_VALUE"""),46.57)</f>
        <v>46.57</v>
      </c>
      <c r="D4563" s="1">
        <f>IFERROR(__xludf.DUMMYFUNCTION("""COMPUTED_VALUE"""),43.08)</f>
        <v>43.08</v>
      </c>
      <c r="E4563" s="1">
        <f>IFERROR(__xludf.DUMMYFUNCTION("""COMPUTED_VALUE"""),45.0)</f>
        <v>45</v>
      </c>
      <c r="F4563" s="1">
        <f>IFERROR(__xludf.DUMMYFUNCTION("""COMPUTED_VALUE"""),1.69224142E8)</f>
        <v>169224142</v>
      </c>
    </row>
    <row r="4564">
      <c r="A4564" s="2">
        <f>IFERROR(__xludf.DUMMYFUNCTION("""COMPUTED_VALUE"""),45792.66666666667)</f>
        <v>45792.66667</v>
      </c>
      <c r="B4564" s="1">
        <f>IFERROR(__xludf.DUMMYFUNCTION("""COMPUTED_VALUE"""),44.05)</f>
        <v>44.05</v>
      </c>
      <c r="C4564" s="1">
        <f>IFERROR(__xludf.DUMMYFUNCTION("""COMPUTED_VALUE"""),45.38)</f>
        <v>45.38</v>
      </c>
      <c r="D4564" s="1">
        <f>IFERROR(__xludf.DUMMYFUNCTION("""COMPUTED_VALUE"""),41.41)</f>
        <v>41.41</v>
      </c>
      <c r="E4564" s="1">
        <f>IFERROR(__xludf.DUMMYFUNCTION("""COMPUTED_VALUE"""),43.96)</f>
        <v>43.96</v>
      </c>
      <c r="F4564" s="1">
        <f>IFERROR(__xludf.DUMMYFUNCTION("""COMPUTED_VALUE"""),8.7035064E7)</f>
        <v>87035064</v>
      </c>
    </row>
    <row r="4565">
      <c r="A4565" s="2">
        <f>IFERROR(__xludf.DUMMYFUNCTION("""COMPUTED_VALUE"""),45793.66666666667)</f>
        <v>45793.66667</v>
      </c>
      <c r="B4565" s="1">
        <f>IFERROR(__xludf.DUMMYFUNCTION("""COMPUTED_VALUE"""),45.5)</f>
        <v>45.5</v>
      </c>
      <c r="C4565" s="1">
        <f>IFERROR(__xludf.DUMMYFUNCTION("""COMPUTED_VALUE"""),47.8)</f>
        <v>47.8</v>
      </c>
      <c r="D4565" s="1">
        <f>IFERROR(__xludf.DUMMYFUNCTION("""COMPUTED_VALUE"""),45.03)</f>
        <v>45.03</v>
      </c>
      <c r="E4565" s="1">
        <f>IFERROR(__xludf.DUMMYFUNCTION("""COMPUTED_VALUE"""),46.15)</f>
        <v>46.15</v>
      </c>
      <c r="F4565" s="1">
        <f>IFERROR(__xludf.DUMMYFUNCTION("""COMPUTED_VALUE"""),9.9288866E7)</f>
        <v>99288866</v>
      </c>
    </row>
    <row r="4566">
      <c r="A4566" s="2">
        <f>IFERROR(__xludf.DUMMYFUNCTION("""COMPUTED_VALUE"""),45796.66666666667)</f>
        <v>45796.66667</v>
      </c>
      <c r="B4566" s="1">
        <f>IFERROR(__xludf.DUMMYFUNCTION("""COMPUTED_VALUE"""),44.23)</f>
        <v>44.23</v>
      </c>
      <c r="C4566" s="1">
        <f>IFERROR(__xludf.DUMMYFUNCTION("""COMPUTED_VALUE"""),46.41)</f>
        <v>46.41</v>
      </c>
      <c r="D4566" s="1">
        <f>IFERROR(__xludf.DUMMYFUNCTION("""COMPUTED_VALUE"""),44.14)</f>
        <v>44.14</v>
      </c>
      <c r="E4566" s="1">
        <f>IFERROR(__xludf.DUMMYFUNCTION("""COMPUTED_VALUE"""),44.79)</f>
        <v>44.79</v>
      </c>
      <c r="F4566" s="1">
        <f>IFERROR(__xludf.DUMMYFUNCTION("""COMPUTED_VALUE"""),4.5618324E7)</f>
        <v>45618324</v>
      </c>
    </row>
    <row r="4567">
      <c r="A4567" s="2">
        <f>IFERROR(__xludf.DUMMYFUNCTION("""COMPUTED_VALUE"""),45797.66666666667)</f>
        <v>45797.66667</v>
      </c>
      <c r="B4567" s="1">
        <f>IFERROR(__xludf.DUMMYFUNCTION("""COMPUTED_VALUE"""),44.79)</f>
        <v>44.79</v>
      </c>
      <c r="C4567" s="1">
        <f>IFERROR(__xludf.DUMMYFUNCTION("""COMPUTED_VALUE"""),44.83)</f>
        <v>44.83</v>
      </c>
      <c r="D4567" s="1">
        <f>IFERROR(__xludf.DUMMYFUNCTION("""COMPUTED_VALUE"""),42.4)</f>
        <v>42.4</v>
      </c>
      <c r="E4567" s="1">
        <f>IFERROR(__xludf.DUMMYFUNCTION("""COMPUTED_VALUE"""),42.77)</f>
        <v>42.77</v>
      </c>
      <c r="F4567" s="1">
        <f>IFERROR(__xludf.DUMMYFUNCTION("""COMPUTED_VALUE"""),4.3284207E7)</f>
        <v>43284207</v>
      </c>
    </row>
    <row r="4568">
      <c r="A4568" s="2">
        <f>IFERROR(__xludf.DUMMYFUNCTION("""COMPUTED_VALUE"""),45798.66666666667)</f>
        <v>45798.66667</v>
      </c>
      <c r="B4568" s="1">
        <f>IFERROR(__xludf.DUMMYFUNCTION("""COMPUTED_VALUE"""),43.53)</f>
        <v>43.53</v>
      </c>
      <c r="C4568" s="1">
        <f>IFERROR(__xludf.DUMMYFUNCTION("""COMPUTED_VALUE"""),44.33)</f>
        <v>44.33</v>
      </c>
      <c r="D4568" s="1">
        <f>IFERROR(__xludf.DUMMYFUNCTION("""COMPUTED_VALUE"""),41.23)</f>
        <v>41.23</v>
      </c>
      <c r="E4568" s="1">
        <f>IFERROR(__xludf.DUMMYFUNCTION("""COMPUTED_VALUE"""),41.65)</f>
        <v>41.65</v>
      </c>
      <c r="F4568" s="1">
        <f>IFERROR(__xludf.DUMMYFUNCTION("""COMPUTED_VALUE"""),5.4953961E7)</f>
        <v>54953961</v>
      </c>
    </row>
    <row r="4569">
      <c r="A4569" s="2">
        <f>IFERROR(__xludf.DUMMYFUNCTION("""COMPUTED_VALUE"""),45799.66666666667)</f>
        <v>45799.66667</v>
      </c>
      <c r="B4569" s="1">
        <f>IFERROR(__xludf.DUMMYFUNCTION("""COMPUTED_VALUE"""),43.53)</f>
        <v>43.53</v>
      </c>
      <c r="C4569" s="1">
        <f>IFERROR(__xludf.DUMMYFUNCTION("""COMPUTED_VALUE"""),44.33)</f>
        <v>44.33</v>
      </c>
      <c r="D4569" s="1">
        <f>IFERROR(__xludf.DUMMYFUNCTION("""COMPUTED_VALUE"""),41.23)</f>
        <v>41.23</v>
      </c>
      <c r="E4569" s="1">
        <f>IFERROR(__xludf.DUMMYFUNCTION("""COMPUTED_VALUE"""),41.65)</f>
        <v>41.65</v>
      </c>
      <c r="F4569" s="1">
        <f>IFERROR(__xludf.DUMMYFUNCTION("""COMPUTED_VALUE"""),1288806.0)</f>
        <v>1288806</v>
      </c>
    </row>
    <row r="4570">
      <c r="A4570" s="2">
        <f>IFERROR(__xludf.DUMMYFUNCTION("""COMPUTED_VALUE"""),45800.66666666667)</f>
        <v>45800.66667</v>
      </c>
      <c r="B4570" s="1">
        <f>IFERROR(__xludf.DUMMYFUNCTION("""COMPUTED_VALUE"""),39.77)</f>
        <v>39.77</v>
      </c>
      <c r="C4570" s="1">
        <f>IFERROR(__xludf.DUMMYFUNCTION("""COMPUTED_VALUE"""),40.48)</f>
        <v>40.48</v>
      </c>
      <c r="D4570" s="1">
        <f>IFERROR(__xludf.DUMMYFUNCTION("""COMPUTED_VALUE"""),39.11)</f>
        <v>39.11</v>
      </c>
      <c r="E4570" s="1">
        <f>IFERROR(__xludf.DUMMYFUNCTION("""COMPUTED_VALUE"""),40.09)</f>
        <v>40.09</v>
      </c>
      <c r="F4570" s="1">
        <f>IFERROR(__xludf.DUMMYFUNCTION("""COMPUTED_VALUE"""),3.7900688E7)</f>
        <v>37900688</v>
      </c>
    </row>
    <row r="4571">
      <c r="A4571" s="2">
        <f>IFERROR(__xludf.DUMMYFUNCTION("""COMPUTED_VALUE"""),45804.66666666667)</f>
        <v>45804.66667</v>
      </c>
      <c r="B4571" s="1">
        <f>IFERROR(__xludf.DUMMYFUNCTION("""COMPUTED_VALUE"""),41.41)</f>
        <v>41.41</v>
      </c>
      <c r="C4571" s="1">
        <f>IFERROR(__xludf.DUMMYFUNCTION("""COMPUTED_VALUE"""),43.09)</f>
        <v>43.09</v>
      </c>
      <c r="D4571" s="1">
        <f>IFERROR(__xludf.DUMMYFUNCTION("""COMPUTED_VALUE"""),40.81)</f>
        <v>40.81</v>
      </c>
      <c r="E4571" s="1">
        <f>IFERROR(__xludf.DUMMYFUNCTION("""COMPUTED_VALUE"""),41.57)</f>
        <v>41.57</v>
      </c>
      <c r="F4571" s="1">
        <f>IFERROR(__xludf.DUMMYFUNCTION("""COMPUTED_VALUE"""),4.0092343E7)</f>
        <v>40092343</v>
      </c>
    </row>
    <row r="4572">
      <c r="A4572" s="2">
        <f>IFERROR(__xludf.DUMMYFUNCTION("""COMPUTED_VALUE"""),45805.66666666667)</f>
        <v>45805.66667</v>
      </c>
      <c r="B4572" s="1">
        <f>IFERROR(__xludf.DUMMYFUNCTION("""COMPUTED_VALUE"""),41.93)</f>
        <v>41.93</v>
      </c>
      <c r="C4572" s="1">
        <f>IFERROR(__xludf.DUMMYFUNCTION("""COMPUTED_VALUE"""),42.94)</f>
        <v>42.94</v>
      </c>
      <c r="D4572" s="1">
        <f>IFERROR(__xludf.DUMMYFUNCTION("""COMPUTED_VALUE"""),40.95)</f>
        <v>40.95</v>
      </c>
      <c r="E4572" s="1">
        <f>IFERROR(__xludf.DUMMYFUNCTION("""COMPUTED_VALUE"""),41.96)</f>
        <v>41.96</v>
      </c>
      <c r="F4572" s="1">
        <f>IFERROR(__xludf.DUMMYFUNCTION("""COMPUTED_VALUE"""),3.9353276E7)</f>
        <v>39353276</v>
      </c>
    </row>
    <row r="4573">
      <c r="A4573" s="2">
        <f>IFERROR(__xludf.DUMMYFUNCTION("""COMPUTED_VALUE"""),45806.66666666667)</f>
        <v>45806.66667</v>
      </c>
      <c r="B4573" s="1">
        <f>IFERROR(__xludf.DUMMYFUNCTION("""COMPUTED_VALUE"""),43.17)</f>
        <v>43.17</v>
      </c>
      <c r="C4573" s="1">
        <f>IFERROR(__xludf.DUMMYFUNCTION("""COMPUTED_VALUE"""),43.97)</f>
        <v>43.97</v>
      </c>
      <c r="D4573" s="1">
        <f>IFERROR(__xludf.DUMMYFUNCTION("""COMPUTED_VALUE"""),41.04)</f>
        <v>41.04</v>
      </c>
      <c r="E4573" s="1">
        <f>IFERROR(__xludf.DUMMYFUNCTION("""COMPUTED_VALUE"""),41.15)</f>
        <v>41.15</v>
      </c>
      <c r="F4573" s="1">
        <f>IFERROR(__xludf.DUMMYFUNCTION("""COMPUTED_VALUE"""),3.6005075E7)</f>
        <v>36005075</v>
      </c>
    </row>
    <row r="4574">
      <c r="A4574" s="2">
        <f>IFERROR(__xludf.DUMMYFUNCTION("""COMPUTED_VALUE"""),45807.66666666667)</f>
        <v>45807.66667</v>
      </c>
      <c r="B4574" s="1">
        <f>IFERROR(__xludf.DUMMYFUNCTION("""COMPUTED_VALUE"""),40.71)</f>
        <v>40.71</v>
      </c>
      <c r="C4574" s="1">
        <f>IFERROR(__xludf.DUMMYFUNCTION("""COMPUTED_VALUE"""),40.93)</f>
        <v>40.93</v>
      </c>
      <c r="D4574" s="1">
        <f>IFERROR(__xludf.DUMMYFUNCTION("""COMPUTED_VALUE"""),39.05)</f>
        <v>39.05</v>
      </c>
      <c r="E4574" s="1">
        <f>IFERROR(__xludf.DUMMYFUNCTION("""COMPUTED_VALUE"""),40.02)</f>
        <v>40.02</v>
      </c>
      <c r="F4574" s="1">
        <f>IFERROR(__xludf.DUMMYFUNCTION("""COMPUTED_VALUE"""),3.4887531E7)</f>
        <v>34887531</v>
      </c>
    </row>
    <row r="4575">
      <c r="A4575" s="2">
        <f>IFERROR(__xludf.DUMMYFUNCTION("""COMPUTED_VALUE"""),45810.66666666667)</f>
        <v>45810.66667</v>
      </c>
      <c r="B4575" s="1">
        <f>IFERROR(__xludf.DUMMYFUNCTION("""COMPUTED_VALUE"""),39.65)</f>
        <v>39.65</v>
      </c>
      <c r="C4575" s="1">
        <f>IFERROR(__xludf.DUMMYFUNCTION("""COMPUTED_VALUE"""),41.24)</f>
        <v>41.24</v>
      </c>
      <c r="D4575" s="1">
        <f>IFERROR(__xludf.DUMMYFUNCTION("""COMPUTED_VALUE"""),39.51)</f>
        <v>39.51</v>
      </c>
      <c r="E4575" s="1">
        <f>IFERROR(__xludf.DUMMYFUNCTION("""COMPUTED_VALUE"""),41.2)</f>
        <v>41.2</v>
      </c>
      <c r="F4575" s="1">
        <f>IFERROR(__xludf.DUMMYFUNCTION("""COMPUTED_VALUE"""),2.594036E7)</f>
        <v>25940360</v>
      </c>
    </row>
    <row r="4576">
      <c r="A4576" s="2">
        <f>IFERROR(__xludf.DUMMYFUNCTION("""COMPUTED_VALUE"""),45811.66666666667)</f>
        <v>45811.66667</v>
      </c>
      <c r="B4576" s="1">
        <f>IFERROR(__xludf.DUMMYFUNCTION("""COMPUTED_VALUE"""),41.33)</f>
        <v>41.33</v>
      </c>
      <c r="C4576" s="1">
        <f>IFERROR(__xludf.DUMMYFUNCTION("""COMPUTED_VALUE"""),43.9)</f>
        <v>43.9</v>
      </c>
      <c r="D4576" s="1">
        <f>IFERROR(__xludf.DUMMYFUNCTION("""COMPUTED_VALUE"""),41.13)</f>
        <v>41.13</v>
      </c>
      <c r="E4576" s="1">
        <f>IFERROR(__xludf.DUMMYFUNCTION("""COMPUTED_VALUE"""),43.19)</f>
        <v>43.19</v>
      </c>
      <c r="F4576" s="1">
        <f>IFERROR(__xludf.DUMMYFUNCTION("""COMPUTED_VALUE"""),4.1728728E7)</f>
        <v>41728728</v>
      </c>
    </row>
    <row r="4577">
      <c r="A4577" s="2">
        <f>IFERROR(__xludf.DUMMYFUNCTION("""COMPUTED_VALUE"""),45812.66666666667)</f>
        <v>45812.66667</v>
      </c>
      <c r="B4577" s="1">
        <f>IFERROR(__xludf.DUMMYFUNCTION("""COMPUTED_VALUE"""),43.93)</f>
        <v>43.93</v>
      </c>
      <c r="C4577" s="1">
        <f>IFERROR(__xludf.DUMMYFUNCTION("""COMPUTED_VALUE"""),44.72)</f>
        <v>44.72</v>
      </c>
      <c r="D4577" s="1">
        <f>IFERROR(__xludf.DUMMYFUNCTION("""COMPUTED_VALUE"""),42.88)</f>
        <v>42.88</v>
      </c>
      <c r="E4577" s="1">
        <f>IFERROR(__xludf.DUMMYFUNCTION("""COMPUTED_VALUE"""),44.13)</f>
        <v>44.13</v>
      </c>
      <c r="F4577" s="1">
        <f>IFERROR(__xludf.DUMMYFUNCTION("""COMPUTED_VALUE"""),3.1201552E7)</f>
        <v>31201552</v>
      </c>
    </row>
    <row r="4578">
      <c r="A4578" s="2">
        <f>IFERROR(__xludf.DUMMYFUNCTION("""COMPUTED_VALUE"""),45813.66666666667)</f>
        <v>45813.66667</v>
      </c>
      <c r="B4578" s="1">
        <f>IFERROR(__xludf.DUMMYFUNCTION("""COMPUTED_VALUE"""),43.59)</f>
        <v>43.59</v>
      </c>
      <c r="C4578" s="1">
        <f>IFERROR(__xludf.DUMMYFUNCTION("""COMPUTED_VALUE"""),44.18)</f>
        <v>44.18</v>
      </c>
      <c r="D4578" s="1">
        <f>IFERROR(__xludf.DUMMYFUNCTION("""COMPUTED_VALUE"""),40.34)</f>
        <v>40.34</v>
      </c>
      <c r="E4578" s="1">
        <f>IFERROR(__xludf.DUMMYFUNCTION("""COMPUTED_VALUE"""),40.77)</f>
        <v>40.77</v>
      </c>
      <c r="F4578" s="1">
        <f>IFERROR(__xludf.DUMMYFUNCTION("""COMPUTED_VALUE"""),4.0701847E7)</f>
        <v>40701847</v>
      </c>
    </row>
    <row r="4579">
      <c r="A4579" s="2">
        <f>IFERROR(__xludf.DUMMYFUNCTION("""COMPUTED_VALUE"""),45814.66666666667)</f>
        <v>45814.66667</v>
      </c>
      <c r="B4579" s="1">
        <f>IFERROR(__xludf.DUMMYFUNCTION("""COMPUTED_VALUE"""),42.04)</f>
        <v>42.04</v>
      </c>
      <c r="C4579" s="1">
        <f>IFERROR(__xludf.DUMMYFUNCTION("""COMPUTED_VALUE"""),42.42)</f>
        <v>42.42</v>
      </c>
      <c r="D4579" s="1">
        <f>IFERROR(__xludf.DUMMYFUNCTION("""COMPUTED_VALUE"""),41.39)</f>
        <v>41.39</v>
      </c>
      <c r="E4579" s="1">
        <f>IFERROR(__xludf.DUMMYFUNCTION("""COMPUTED_VALUE"""),41.55)</f>
        <v>41.55</v>
      </c>
      <c r="F4579" s="1">
        <f>IFERROR(__xludf.DUMMYFUNCTION("""COMPUTED_VALUE"""),2.5509641E7)</f>
        <v>25509641</v>
      </c>
    </row>
    <row r="4580">
      <c r="A4580" s="2">
        <f>IFERROR(__xludf.DUMMYFUNCTION("""COMPUTED_VALUE"""),45817.66666666667)</f>
        <v>45817.66667</v>
      </c>
      <c r="B4580" s="1">
        <f>IFERROR(__xludf.DUMMYFUNCTION("""COMPUTED_VALUE"""),42.24)</f>
        <v>42.24</v>
      </c>
      <c r="C4580" s="1">
        <f>IFERROR(__xludf.DUMMYFUNCTION("""COMPUTED_VALUE"""),43.37)</f>
        <v>43.37</v>
      </c>
      <c r="D4580" s="1">
        <f>IFERROR(__xludf.DUMMYFUNCTION("""COMPUTED_VALUE"""),41.88)</f>
        <v>41.88</v>
      </c>
      <c r="E4580" s="1">
        <f>IFERROR(__xludf.DUMMYFUNCTION("""COMPUTED_VALUE"""),43.12)</f>
        <v>43.12</v>
      </c>
      <c r="F4580" s="1">
        <f>IFERROR(__xludf.DUMMYFUNCTION("""COMPUTED_VALUE"""),2.7406263E7)</f>
        <v>27406263</v>
      </c>
    </row>
    <row r="4581">
      <c r="A4581" s="2">
        <f>IFERROR(__xludf.DUMMYFUNCTION("""COMPUTED_VALUE"""),45818.66666666667)</f>
        <v>45818.66667</v>
      </c>
      <c r="B4581" s="1">
        <f>IFERROR(__xludf.DUMMYFUNCTION("""COMPUTED_VALUE"""),43.19)</f>
        <v>43.19</v>
      </c>
      <c r="C4581" s="1">
        <f>IFERROR(__xludf.DUMMYFUNCTION("""COMPUTED_VALUE"""),43.65)</f>
        <v>43.65</v>
      </c>
      <c r="D4581" s="1">
        <f>IFERROR(__xludf.DUMMYFUNCTION("""COMPUTED_VALUE"""),42.34)</f>
        <v>42.34</v>
      </c>
      <c r="E4581" s="1">
        <f>IFERROR(__xludf.DUMMYFUNCTION("""COMPUTED_VALUE"""),42.91)</f>
        <v>42.91</v>
      </c>
      <c r="F4581" s="1">
        <f>IFERROR(__xludf.DUMMYFUNCTION("""COMPUTED_VALUE"""),2.149494E7)</f>
        <v>21494940</v>
      </c>
    </row>
    <row r="4582">
      <c r="A4582" s="2">
        <f>IFERROR(__xludf.DUMMYFUNCTION("""COMPUTED_VALUE"""),45819.66666666667)</f>
        <v>45819.66667</v>
      </c>
      <c r="B4582" s="1">
        <f>IFERROR(__xludf.DUMMYFUNCTION("""COMPUTED_VALUE"""),43.65)</f>
        <v>43.65</v>
      </c>
      <c r="C4582" s="1">
        <f>IFERROR(__xludf.DUMMYFUNCTION("""COMPUTED_VALUE"""),44.55)</f>
        <v>44.55</v>
      </c>
      <c r="D4582" s="1">
        <f>IFERROR(__xludf.DUMMYFUNCTION("""COMPUTED_VALUE"""),42.78)</f>
        <v>42.78</v>
      </c>
      <c r="E4582" s="1">
        <f>IFERROR(__xludf.DUMMYFUNCTION("""COMPUTED_VALUE"""),43.21)</f>
        <v>43.21</v>
      </c>
      <c r="F4582" s="1">
        <f>IFERROR(__xludf.DUMMYFUNCTION("""COMPUTED_VALUE"""),3.4008854E7)</f>
        <v>34008854</v>
      </c>
    </row>
    <row r="4583">
      <c r="A4583" s="2">
        <f>IFERROR(__xludf.DUMMYFUNCTION("""COMPUTED_VALUE"""),45820.66666666667)</f>
        <v>45820.66667</v>
      </c>
      <c r="B4583" s="1">
        <f>IFERROR(__xludf.DUMMYFUNCTION("""COMPUTED_VALUE"""),42.65)</f>
        <v>42.65</v>
      </c>
      <c r="C4583" s="1">
        <f>IFERROR(__xludf.DUMMYFUNCTION("""COMPUTED_VALUE"""),44.08)</f>
        <v>44.08</v>
      </c>
      <c r="D4583" s="1">
        <f>IFERROR(__xludf.DUMMYFUNCTION("""COMPUTED_VALUE"""),42.32)</f>
        <v>42.32</v>
      </c>
      <c r="E4583" s="1">
        <f>IFERROR(__xludf.DUMMYFUNCTION("""COMPUTED_VALUE"""),43.36)</f>
        <v>43.36</v>
      </c>
      <c r="F4583" s="1">
        <f>IFERROR(__xludf.DUMMYFUNCTION("""COMPUTED_VALUE"""),2.4671668E7)</f>
        <v>24671668</v>
      </c>
    </row>
    <row r="4584">
      <c r="A4584" s="2">
        <f>IFERROR(__xludf.DUMMYFUNCTION("""COMPUTED_VALUE"""),45821.66666666667)</f>
        <v>45821.66667</v>
      </c>
      <c r="B4584" s="1">
        <f>IFERROR(__xludf.DUMMYFUNCTION("""COMPUTED_VALUE"""),42.03)</f>
        <v>42.03</v>
      </c>
      <c r="C4584" s="1">
        <f>IFERROR(__xludf.DUMMYFUNCTION("""COMPUTED_VALUE"""),42.47)</f>
        <v>42.47</v>
      </c>
      <c r="D4584" s="1">
        <f>IFERROR(__xludf.DUMMYFUNCTION("""COMPUTED_VALUE"""),40.74)</f>
        <v>40.74</v>
      </c>
      <c r="E4584" s="1">
        <f>IFERROR(__xludf.DUMMYFUNCTION("""COMPUTED_VALUE"""),41.56)</f>
        <v>41.56</v>
      </c>
      <c r="F4584" s="1">
        <f>IFERROR(__xludf.DUMMYFUNCTION("""COMPUTED_VALUE"""),3.6493547E7)</f>
        <v>36493547</v>
      </c>
    </row>
    <row r="4585">
      <c r="A4585" s="2">
        <f>IFERROR(__xludf.DUMMYFUNCTION("""COMPUTED_VALUE"""),45824.66666666667)</f>
        <v>45824.66667</v>
      </c>
      <c r="B4585" s="1">
        <f>IFERROR(__xludf.DUMMYFUNCTION("""COMPUTED_VALUE"""),42.28)</f>
        <v>42.28</v>
      </c>
      <c r="C4585" s="1">
        <f>IFERROR(__xludf.DUMMYFUNCTION("""COMPUTED_VALUE"""),44.42)</f>
        <v>44.42</v>
      </c>
      <c r="D4585" s="1">
        <f>IFERROR(__xludf.DUMMYFUNCTION("""COMPUTED_VALUE"""),42.07)</f>
        <v>42.07</v>
      </c>
      <c r="E4585" s="1">
        <f>IFERROR(__xludf.DUMMYFUNCTION("""COMPUTED_VALUE"""),43.69)</f>
        <v>43.69</v>
      </c>
      <c r="F4585" s="1">
        <f>IFERROR(__xludf.DUMMYFUNCTION("""COMPUTED_VALUE"""),3.3860891E7)</f>
        <v>33860891</v>
      </c>
    </row>
    <row r="4586">
      <c r="A4586" s="2">
        <f>IFERROR(__xludf.DUMMYFUNCTION("""COMPUTED_VALUE"""),45825.66666666667)</f>
        <v>45825.66667</v>
      </c>
      <c r="B4586" s="1">
        <f>IFERROR(__xludf.DUMMYFUNCTION("""COMPUTED_VALUE"""),43.24)</f>
        <v>43.24</v>
      </c>
      <c r="C4586" s="1">
        <f>IFERROR(__xludf.DUMMYFUNCTION("""COMPUTED_VALUE"""),44.22)</f>
        <v>44.22</v>
      </c>
      <c r="D4586" s="1">
        <f>IFERROR(__xludf.DUMMYFUNCTION("""COMPUTED_VALUE"""),42.91)</f>
        <v>42.91</v>
      </c>
      <c r="E4586" s="1">
        <f>IFERROR(__xludf.DUMMYFUNCTION("""COMPUTED_VALUE"""),43.11)</f>
        <v>43.11</v>
      </c>
      <c r="F4586" s="1">
        <f>IFERROR(__xludf.DUMMYFUNCTION("""COMPUTED_VALUE"""),2.0761023E7)</f>
        <v>20761023</v>
      </c>
    </row>
    <row r="4587">
      <c r="A4587" s="2">
        <f>IFERROR(__xludf.DUMMYFUNCTION("""COMPUTED_VALUE"""),45826.66666666667)</f>
        <v>45826.66667</v>
      </c>
      <c r="B4587" s="1">
        <f>IFERROR(__xludf.DUMMYFUNCTION("""COMPUTED_VALUE"""),43.07)</f>
        <v>43.07</v>
      </c>
      <c r="C4587" s="1">
        <f>IFERROR(__xludf.DUMMYFUNCTION("""COMPUTED_VALUE"""),45.67)</f>
        <v>45.67</v>
      </c>
      <c r="D4587" s="1">
        <f>IFERROR(__xludf.DUMMYFUNCTION("""COMPUTED_VALUE"""),42.79)</f>
        <v>42.79</v>
      </c>
      <c r="E4587" s="1">
        <f>IFERROR(__xludf.DUMMYFUNCTION("""COMPUTED_VALUE"""),44.47)</f>
        <v>44.47</v>
      </c>
      <c r="F4587" s="1">
        <f>IFERROR(__xludf.DUMMYFUNCTION("""COMPUTED_VALUE"""),4.0654629E7)</f>
        <v>40654629</v>
      </c>
    </row>
    <row r="4588">
      <c r="A4588" s="2">
        <f>IFERROR(__xludf.DUMMYFUNCTION("""COMPUTED_VALUE"""),45828.66666666667)</f>
        <v>45828.66667</v>
      </c>
      <c r="B4588" s="1">
        <f>IFERROR(__xludf.DUMMYFUNCTION("""COMPUTED_VALUE"""),45.7)</f>
        <v>45.7</v>
      </c>
      <c r="C4588" s="1">
        <f>IFERROR(__xludf.DUMMYFUNCTION("""COMPUTED_VALUE"""),46.18)</f>
        <v>46.18</v>
      </c>
      <c r="D4588" s="1">
        <f>IFERROR(__xludf.DUMMYFUNCTION("""COMPUTED_VALUE"""),44.14)</f>
        <v>44.14</v>
      </c>
      <c r="E4588" s="1">
        <f>IFERROR(__xludf.DUMMYFUNCTION("""COMPUTED_VALUE"""),45.32)</f>
        <v>45.32</v>
      </c>
      <c r="F4588" s="1">
        <f>IFERROR(__xludf.DUMMYFUNCTION("""COMPUTED_VALUE"""),5.1588528E7)</f>
        <v>51588528</v>
      </c>
    </row>
    <row r="4589">
      <c r="A4589" s="2">
        <f>IFERROR(__xludf.DUMMYFUNCTION("""COMPUTED_VALUE"""),45831.66666666667)</f>
        <v>45831.66667</v>
      </c>
      <c r="B4589" s="1">
        <f>IFERROR(__xludf.DUMMYFUNCTION("""COMPUTED_VALUE"""),43.47)</f>
        <v>43.47</v>
      </c>
      <c r="C4589" s="1">
        <f>IFERROR(__xludf.DUMMYFUNCTION("""COMPUTED_VALUE"""),43.6)</f>
        <v>43.6</v>
      </c>
      <c r="D4589" s="1">
        <f>IFERROR(__xludf.DUMMYFUNCTION("""COMPUTED_VALUE"""),40.78)</f>
        <v>40.78</v>
      </c>
      <c r="E4589" s="1">
        <f>IFERROR(__xludf.DUMMYFUNCTION("""COMPUTED_VALUE"""),40.89)</f>
        <v>40.89</v>
      </c>
      <c r="F4589" s="1">
        <f>IFERROR(__xludf.DUMMYFUNCTION("""COMPUTED_VALUE"""),6.927075E7)</f>
        <v>69270750</v>
      </c>
    </row>
    <row r="4590">
      <c r="A4590" s="2">
        <f>IFERROR(__xludf.DUMMYFUNCTION("""COMPUTED_VALUE"""),45832.66666666667)</f>
        <v>45832.66667</v>
      </c>
      <c r="B4590" s="1">
        <f>IFERROR(__xludf.DUMMYFUNCTION("""COMPUTED_VALUE"""),41.39)</f>
        <v>41.39</v>
      </c>
      <c r="C4590" s="1">
        <f>IFERROR(__xludf.DUMMYFUNCTION("""COMPUTED_VALUE"""),43.15)</f>
        <v>43.15</v>
      </c>
      <c r="D4590" s="1">
        <f>IFERROR(__xludf.DUMMYFUNCTION("""COMPUTED_VALUE"""),41.06)</f>
        <v>41.06</v>
      </c>
      <c r="E4590" s="1">
        <f>IFERROR(__xludf.DUMMYFUNCTION("""COMPUTED_VALUE"""),42.84)</f>
        <v>42.84</v>
      </c>
      <c r="F4590" s="1">
        <f>IFERROR(__xludf.DUMMYFUNCTION("""COMPUTED_VALUE"""),5.8068381E7)</f>
        <v>58068381</v>
      </c>
    </row>
    <row r="4591">
      <c r="A4591" s="2">
        <f>IFERROR(__xludf.DUMMYFUNCTION("""COMPUTED_VALUE"""),45833.66666666667)</f>
        <v>45833.66667</v>
      </c>
      <c r="B4591" s="1">
        <f>IFERROR(__xludf.DUMMYFUNCTION("""COMPUTED_VALUE"""),43.34)</f>
        <v>43.34</v>
      </c>
      <c r="C4591" s="1">
        <f>IFERROR(__xludf.DUMMYFUNCTION("""COMPUTED_VALUE"""),46.93)</f>
        <v>46.93</v>
      </c>
      <c r="D4591" s="1">
        <f>IFERROR(__xludf.DUMMYFUNCTION("""COMPUTED_VALUE"""),43.12)</f>
        <v>43.12</v>
      </c>
      <c r="E4591" s="1">
        <f>IFERROR(__xludf.DUMMYFUNCTION("""COMPUTED_VALUE"""),46.61)</f>
        <v>46.61</v>
      </c>
      <c r="F4591" s="1">
        <f>IFERROR(__xludf.DUMMYFUNCTION("""COMPUTED_VALUE"""),8.6439467E7)</f>
        <v>86439467</v>
      </c>
    </row>
    <row r="4592">
      <c r="A4592" s="2">
        <f>IFERROR(__xludf.DUMMYFUNCTION("""COMPUTED_VALUE"""),45834.66666666667)</f>
        <v>45834.66667</v>
      </c>
      <c r="B4592" s="1">
        <f>IFERROR(__xludf.DUMMYFUNCTION("""COMPUTED_VALUE"""),47.06)</f>
        <v>47.06</v>
      </c>
      <c r="C4592" s="1">
        <f>IFERROR(__xludf.DUMMYFUNCTION("""COMPUTED_VALUE"""),49.52)</f>
        <v>49.52</v>
      </c>
      <c r="D4592" s="1">
        <f>IFERROR(__xludf.DUMMYFUNCTION("""COMPUTED_VALUE"""),46.07)</f>
        <v>46.07</v>
      </c>
      <c r="E4592" s="1">
        <f>IFERROR(__xludf.DUMMYFUNCTION("""COMPUTED_VALUE"""),49.27)</f>
        <v>49.27</v>
      </c>
      <c r="F4592" s="1">
        <f>IFERROR(__xludf.DUMMYFUNCTION("""COMPUTED_VALUE"""),7.239764E7)</f>
        <v>72397640</v>
      </c>
    </row>
    <row r="4593">
      <c r="A4593" s="2">
        <f>IFERROR(__xludf.DUMMYFUNCTION("""COMPUTED_VALUE"""),45835.66666666667)</f>
        <v>45835.66667</v>
      </c>
      <c r="B4593" s="1">
        <f>IFERROR(__xludf.DUMMYFUNCTION("""COMPUTED_VALUE"""),49.48)</f>
        <v>49.48</v>
      </c>
      <c r="C4593" s="1">
        <f>IFERROR(__xludf.DUMMYFUNCTION("""COMPUTED_VALUE"""),49.97)</f>
        <v>49.97</v>
      </c>
      <c r="D4593" s="1">
        <f>IFERROR(__xludf.DUMMYFUNCTION("""COMPUTED_VALUE"""),46.86)</f>
        <v>46.86</v>
      </c>
      <c r="E4593" s="1">
        <f>IFERROR(__xludf.DUMMYFUNCTION("""COMPUTED_VALUE"""),47.58)</f>
        <v>47.58</v>
      </c>
      <c r="F4593" s="1">
        <f>IFERROR(__xludf.DUMMYFUNCTION("""COMPUTED_VALUE"""),5.3757337E7)</f>
        <v>53757337</v>
      </c>
    </row>
    <row r="4594">
      <c r="A4594" s="2">
        <f>IFERROR(__xludf.DUMMYFUNCTION("""COMPUTED_VALUE"""),45838.66666666667)</f>
        <v>45838.66667</v>
      </c>
      <c r="B4594" s="1">
        <f>IFERROR(__xludf.DUMMYFUNCTION("""COMPUTED_VALUE"""),48.7)</f>
        <v>48.7</v>
      </c>
      <c r="C4594" s="1">
        <f>IFERROR(__xludf.DUMMYFUNCTION("""COMPUTED_VALUE"""),50.55)</f>
        <v>50.55</v>
      </c>
      <c r="D4594" s="1">
        <f>IFERROR(__xludf.DUMMYFUNCTION("""COMPUTED_VALUE"""),48.23)</f>
        <v>48.23</v>
      </c>
      <c r="E4594" s="1">
        <f>IFERROR(__xludf.DUMMYFUNCTION("""COMPUTED_VALUE"""),49.01)</f>
        <v>49.01</v>
      </c>
      <c r="F4594" s="1">
        <f>IFERROR(__xludf.DUMMYFUNCTION("""COMPUTED_VALUE"""),4.9238045E7)</f>
        <v>49238045</v>
      </c>
    </row>
    <row r="4595">
      <c r="A4595" s="2">
        <f>IFERROR(__xludf.DUMMYFUNCTION("""COMPUTED_VALUE"""),45839.66666666667)</f>
        <v>45839.66667</v>
      </c>
      <c r="B4595" s="1">
        <f>IFERROR(__xludf.DUMMYFUNCTION("""COMPUTED_VALUE"""),48.24)</f>
        <v>48.24</v>
      </c>
      <c r="C4595" s="1">
        <f>IFERROR(__xludf.DUMMYFUNCTION("""COMPUTED_VALUE"""),48.67)</f>
        <v>48.67</v>
      </c>
      <c r="D4595" s="1">
        <f>IFERROR(__xludf.DUMMYFUNCTION("""COMPUTED_VALUE"""),46.37)</f>
        <v>46.37</v>
      </c>
      <c r="E4595" s="1">
        <f>IFERROR(__xludf.DUMMYFUNCTION("""COMPUTED_VALUE"""),47.2)</f>
        <v>47.2</v>
      </c>
      <c r="F4595" s="1">
        <f>IFERROR(__xludf.DUMMYFUNCTION("""COMPUTED_VALUE"""),4.2243094E7)</f>
        <v>42243094</v>
      </c>
    </row>
    <row r="4596">
      <c r="A4596" s="2">
        <f>IFERROR(__xludf.DUMMYFUNCTION("""COMPUTED_VALUE"""),45840.66666666667)</f>
        <v>45840.66667</v>
      </c>
      <c r="B4596" s="1">
        <f>IFERROR(__xludf.DUMMYFUNCTION("""COMPUTED_VALUE"""),47.19)</f>
        <v>47.19</v>
      </c>
      <c r="C4596" s="1">
        <f>IFERROR(__xludf.DUMMYFUNCTION("""COMPUTED_VALUE"""),48.88)</f>
        <v>48.88</v>
      </c>
      <c r="D4596" s="1">
        <f>IFERROR(__xludf.DUMMYFUNCTION("""COMPUTED_VALUE"""),47.07)</f>
        <v>47.07</v>
      </c>
      <c r="E4596" s="1">
        <f>IFERROR(__xludf.DUMMYFUNCTION("""COMPUTED_VALUE"""),48.74)</f>
        <v>48.74</v>
      </c>
      <c r="F4596" s="1">
        <f>IFERROR(__xludf.DUMMYFUNCTION("""COMPUTED_VALUE"""),2.7703147E7)</f>
        <v>27703147</v>
      </c>
    </row>
    <row r="4597">
      <c r="A4597" s="2">
        <f>IFERROR(__xludf.DUMMYFUNCTION("""COMPUTED_VALUE"""),45841.54513888889)</f>
        <v>45841.54514</v>
      </c>
      <c r="B4597" s="1">
        <f>IFERROR(__xludf.DUMMYFUNCTION("""COMPUTED_VALUE"""),49.23)</f>
        <v>49.23</v>
      </c>
      <c r="C4597" s="1">
        <f>IFERROR(__xludf.DUMMYFUNCTION("""COMPUTED_VALUE"""),49.63)</f>
        <v>49.63</v>
      </c>
      <c r="D4597" s="1">
        <f>IFERROR(__xludf.DUMMYFUNCTION("""COMPUTED_VALUE"""),48.42)</f>
        <v>48.42</v>
      </c>
      <c r="E4597" s="1">
        <f>IFERROR(__xludf.DUMMYFUNCTION("""COMPUTED_VALUE"""),48.56)</f>
        <v>48.56</v>
      </c>
      <c r="F4597" s="1">
        <f>IFERROR(__xludf.DUMMYFUNCTION("""COMPUTED_VALUE"""),1.8665575E7)</f>
        <v>18665575</v>
      </c>
    </row>
    <row r="4598">
      <c r="A4598" s="2">
        <f>IFERROR(__xludf.DUMMYFUNCTION("""COMPUTED_VALUE"""),45845.66666666667)</f>
        <v>45845.66667</v>
      </c>
      <c r="B4598" s="1">
        <f>IFERROR(__xludf.DUMMYFUNCTION("""COMPUTED_VALUE"""),48.23)</f>
        <v>48.23</v>
      </c>
      <c r="C4598" s="1">
        <f>IFERROR(__xludf.DUMMYFUNCTION("""COMPUTED_VALUE"""),48.35)</f>
        <v>48.35</v>
      </c>
      <c r="D4598" s="1">
        <f>IFERROR(__xludf.DUMMYFUNCTION("""COMPUTED_VALUE"""),46.22)</f>
        <v>46.22</v>
      </c>
      <c r="E4598" s="1">
        <f>IFERROR(__xludf.DUMMYFUNCTION("""COMPUTED_VALUE"""),47.11)</f>
        <v>47.11</v>
      </c>
      <c r="F4598" s="1">
        <f>IFERROR(__xludf.DUMMYFUNCTION("""COMPUTED_VALUE"""),3.300669E7)</f>
        <v>33006690</v>
      </c>
    </row>
    <row r="4599">
      <c r="A4599" s="2">
        <f>IFERROR(__xludf.DUMMYFUNCTION("""COMPUTED_VALUE"""),45846.66666666667)</f>
        <v>45846.66667</v>
      </c>
      <c r="B4599" s="1">
        <f>IFERROR(__xludf.DUMMYFUNCTION("""COMPUTED_VALUE"""),47.44)</f>
        <v>47.44</v>
      </c>
      <c r="C4599" s="1">
        <f>IFERROR(__xludf.DUMMYFUNCTION("""COMPUTED_VALUE"""),49.26)</f>
        <v>49.26</v>
      </c>
      <c r="D4599" s="1">
        <f>IFERROR(__xludf.DUMMYFUNCTION("""COMPUTED_VALUE"""),47.36)</f>
        <v>47.36</v>
      </c>
      <c r="E4599" s="1">
        <f>IFERROR(__xludf.DUMMYFUNCTION("""COMPUTED_VALUE"""),49.11)</f>
        <v>49.11</v>
      </c>
      <c r="F4599" s="1">
        <f>IFERROR(__xludf.DUMMYFUNCTION("""COMPUTED_VALUE"""),2.9002561E7)</f>
        <v>29002561</v>
      </c>
    </row>
    <row r="4600">
      <c r="A4600" s="2">
        <f>IFERROR(__xludf.DUMMYFUNCTION("""COMPUTED_VALUE"""),45847.66666666667)</f>
        <v>45847.66667</v>
      </c>
      <c r="B4600" s="1">
        <f>IFERROR(__xludf.DUMMYFUNCTION("""COMPUTED_VALUE"""),48.75)</f>
        <v>48.75</v>
      </c>
      <c r="C4600" s="1">
        <f>IFERROR(__xludf.DUMMYFUNCTION("""COMPUTED_VALUE"""),50.2)</f>
        <v>50.2</v>
      </c>
      <c r="D4600" s="1">
        <f>IFERROR(__xludf.DUMMYFUNCTION("""COMPUTED_VALUE"""),48.37)</f>
        <v>48.37</v>
      </c>
      <c r="E4600" s="1">
        <f>IFERROR(__xludf.DUMMYFUNCTION("""COMPUTED_VALUE"""),50.02)</f>
        <v>50.02</v>
      </c>
      <c r="F4600" s="1">
        <f>IFERROR(__xludf.DUMMYFUNCTION("""COMPUTED_VALUE"""),3.5063577E7)</f>
        <v>35063577</v>
      </c>
    </row>
    <row r="4601">
      <c r="A4601" s="2">
        <f>IFERROR(__xludf.DUMMYFUNCTION("""COMPUTED_VALUE"""),45848.66666666667)</f>
        <v>45848.66667</v>
      </c>
      <c r="B4601" s="1">
        <f>IFERROR(__xludf.DUMMYFUNCTION("""COMPUTED_VALUE"""),50.8)</f>
        <v>50.8</v>
      </c>
      <c r="C4601" s="1">
        <f>IFERROR(__xludf.DUMMYFUNCTION("""COMPUTED_VALUE"""),51.7)</f>
        <v>51.7</v>
      </c>
      <c r="D4601" s="1">
        <f>IFERROR(__xludf.DUMMYFUNCTION("""COMPUTED_VALUE"""),49.68)</f>
        <v>49.68</v>
      </c>
      <c r="E4601" s="1">
        <f>IFERROR(__xludf.DUMMYFUNCTION("""COMPUTED_VALUE"""),50.36)</f>
        <v>50.36</v>
      </c>
      <c r="F4601" s="1">
        <f>IFERROR(__xludf.DUMMYFUNCTION("""COMPUTED_VALUE"""),3.3264404E7)</f>
        <v>33264404</v>
      </c>
    </row>
    <row r="4602">
      <c r="A4602" s="2">
        <f>IFERROR(__xludf.DUMMYFUNCTION("""COMPUTED_VALUE"""),45849.66666666667)</f>
        <v>45849.66667</v>
      </c>
      <c r="B4602" s="1">
        <f>IFERROR(__xludf.DUMMYFUNCTION("""COMPUTED_VALUE"""),49.76)</f>
        <v>49.76</v>
      </c>
      <c r="C4602" s="1">
        <f>IFERROR(__xludf.DUMMYFUNCTION("""COMPUTED_VALUE"""),50.26)</f>
        <v>50.26</v>
      </c>
      <c r="D4602" s="1">
        <f>IFERROR(__xludf.DUMMYFUNCTION("""COMPUTED_VALUE"""),49.08)</f>
        <v>49.08</v>
      </c>
      <c r="E4602" s="1">
        <f>IFERROR(__xludf.DUMMYFUNCTION("""COMPUTED_VALUE"""),49.24)</f>
        <v>49.24</v>
      </c>
      <c r="F4602" s="1">
        <f>IFERROR(__xludf.DUMMYFUNCTION("""COMPUTED_VALUE"""),2.4861382E7)</f>
        <v>24861382</v>
      </c>
    </row>
    <row r="4603">
      <c r="A4603" s="2">
        <f>IFERROR(__xludf.DUMMYFUNCTION("""COMPUTED_VALUE"""),45852.66666666667)</f>
        <v>45852.66667</v>
      </c>
      <c r="B4603" s="1">
        <f>IFERROR(__xludf.DUMMYFUNCTION("""COMPUTED_VALUE"""),49.24)</f>
        <v>49.24</v>
      </c>
      <c r="C4603" s="1">
        <f>IFERROR(__xludf.DUMMYFUNCTION("""COMPUTED_VALUE"""),50.66)</f>
        <v>50.66</v>
      </c>
      <c r="D4603" s="1">
        <f>IFERROR(__xludf.DUMMYFUNCTION("""COMPUTED_VALUE"""),48.78)</f>
        <v>48.78</v>
      </c>
      <c r="E4603" s="1">
        <f>IFERROR(__xludf.DUMMYFUNCTION("""COMPUTED_VALUE"""),49.73)</f>
        <v>49.73</v>
      </c>
      <c r="F4603" s="1">
        <f>IFERROR(__xludf.DUMMYFUNCTION("""COMPUTED_VALUE"""),2.560302E7)</f>
        <v>25603020</v>
      </c>
    </row>
    <row r="4604">
      <c r="A4604" s="2">
        <f>IFERROR(__xludf.DUMMYFUNCTION("""COMPUTED_VALUE"""),45853.66666666667)</f>
        <v>45853.66667</v>
      </c>
      <c r="B4604" s="1">
        <f>IFERROR(__xludf.DUMMYFUNCTION("""COMPUTED_VALUE"""),51.87)</f>
        <v>51.87</v>
      </c>
      <c r="C4604" s="1">
        <f>IFERROR(__xludf.DUMMYFUNCTION("""COMPUTED_VALUE"""),54.2)</f>
        <v>54.2</v>
      </c>
      <c r="D4604" s="1">
        <f>IFERROR(__xludf.DUMMYFUNCTION("""COMPUTED_VALUE"""),51.53)</f>
        <v>51.53</v>
      </c>
      <c r="E4604" s="1">
        <f>IFERROR(__xludf.DUMMYFUNCTION("""COMPUTED_VALUE"""),53.17)</f>
        <v>53.17</v>
      </c>
      <c r="F4604" s="1">
        <f>IFERROR(__xludf.DUMMYFUNCTION("""COMPUTED_VALUE"""),6.2012767E7)</f>
        <v>62012767</v>
      </c>
    </row>
    <row r="4605">
      <c r="A4605" s="2">
        <f>IFERROR(__xludf.DUMMYFUNCTION("""COMPUTED_VALUE"""),45854.66666666667)</f>
        <v>45854.66667</v>
      </c>
      <c r="B4605" s="1">
        <f>IFERROR(__xludf.DUMMYFUNCTION("""COMPUTED_VALUE"""),53.05)</f>
        <v>53.05</v>
      </c>
      <c r="C4605" s="1">
        <f>IFERROR(__xludf.DUMMYFUNCTION("""COMPUTED_VALUE"""),53.29)</f>
        <v>53.29</v>
      </c>
      <c r="D4605" s="1">
        <f>IFERROR(__xludf.DUMMYFUNCTION("""COMPUTED_VALUE"""),51.42)</f>
        <v>51.42</v>
      </c>
      <c r="E4605" s="1">
        <f>IFERROR(__xludf.DUMMYFUNCTION("""COMPUTED_VALUE"""),53.22)</f>
        <v>53.22</v>
      </c>
      <c r="F4605" s="1">
        <f>IFERROR(__xludf.DUMMYFUNCTION("""COMPUTED_VALUE"""),3.0066055E7)</f>
        <v>30066055</v>
      </c>
    </row>
    <row r="4606">
      <c r="A4606" s="2">
        <f>IFERROR(__xludf.DUMMYFUNCTION("""COMPUTED_VALUE"""),45855.66666666667)</f>
        <v>45855.66667</v>
      </c>
      <c r="B4606" s="1">
        <f>IFERROR(__xludf.DUMMYFUNCTION("""COMPUTED_VALUE"""),53.51)</f>
        <v>53.51</v>
      </c>
      <c r="C4606" s="1">
        <f>IFERROR(__xludf.DUMMYFUNCTION("""COMPUTED_VALUE"""),54.15)</f>
        <v>54.15</v>
      </c>
      <c r="D4606" s="1">
        <f>IFERROR(__xludf.DUMMYFUNCTION("""COMPUTED_VALUE"""),52.61)</f>
        <v>52.61</v>
      </c>
      <c r="E4606" s="1">
        <f>IFERROR(__xludf.DUMMYFUNCTION("""COMPUTED_VALUE"""),52.75)</f>
        <v>52.75</v>
      </c>
      <c r="F4606" s="1">
        <f>IFERROR(__xludf.DUMMYFUNCTION("""COMPUTED_VALUE"""),3.1534551E7)</f>
        <v>31534551</v>
      </c>
    </row>
    <row r="4607">
      <c r="A4607" s="2">
        <f>IFERROR(__xludf.DUMMYFUNCTION("""COMPUTED_VALUE"""),45856.66666666667)</f>
        <v>45856.66667</v>
      </c>
      <c r="B4607" s="1">
        <f>IFERROR(__xludf.DUMMYFUNCTION("""COMPUTED_VALUE"""),53.33)</f>
        <v>53.33</v>
      </c>
      <c r="C4607" s="1">
        <f>IFERROR(__xludf.DUMMYFUNCTION("""COMPUTED_VALUE"""),53.87)</f>
        <v>53.87</v>
      </c>
      <c r="D4607" s="1">
        <f>IFERROR(__xludf.DUMMYFUNCTION("""COMPUTED_VALUE"""),51.27)</f>
        <v>51.27</v>
      </c>
      <c r="E4607" s="1">
        <f>IFERROR(__xludf.DUMMYFUNCTION("""COMPUTED_VALUE"""),51.77)</f>
        <v>51.77</v>
      </c>
      <c r="F4607" s="1">
        <f>IFERROR(__xludf.DUMMYFUNCTION("""COMPUTED_VALUE"""),3.1842399E7)</f>
        <v>31842399</v>
      </c>
    </row>
    <row r="4608">
      <c r="A4608" s="2">
        <f>IFERROR(__xludf.DUMMYFUNCTION("""COMPUTED_VALUE"""),45859.66666666667)</f>
        <v>45859.66667</v>
      </c>
      <c r="B4608" s="1">
        <f>IFERROR(__xludf.DUMMYFUNCTION("""COMPUTED_VALUE"""),52.69)</f>
        <v>52.69</v>
      </c>
      <c r="C4608" s="1">
        <f>IFERROR(__xludf.DUMMYFUNCTION("""COMPUTED_VALUE"""),53.98)</f>
        <v>53.98</v>
      </c>
      <c r="D4608" s="1">
        <f>IFERROR(__xludf.DUMMYFUNCTION("""COMPUTED_VALUE"""),51.4)</f>
        <v>51.4</v>
      </c>
      <c r="E4608" s="1">
        <f>IFERROR(__xludf.DUMMYFUNCTION("""COMPUTED_VALUE"""),51.5)</f>
        <v>51.5</v>
      </c>
      <c r="F4608" s="1">
        <f>IFERROR(__xludf.DUMMYFUNCTION("""COMPUTED_VALUE"""),3.8140234E7)</f>
        <v>38140234</v>
      </c>
    </row>
    <row r="4609">
      <c r="A4609" s="2">
        <f>IFERROR(__xludf.DUMMYFUNCTION("""COMPUTED_VALUE"""),45860.66666666667)</f>
        <v>45860.66667</v>
      </c>
      <c r="B4609" s="1">
        <f>IFERROR(__xludf.DUMMYFUNCTION("""COMPUTED_VALUE"""),51.84)</f>
        <v>51.84</v>
      </c>
      <c r="C4609" s="1">
        <f>IFERROR(__xludf.DUMMYFUNCTION("""COMPUTED_VALUE"""),51.86)</f>
        <v>51.86</v>
      </c>
      <c r="D4609" s="1">
        <f>IFERROR(__xludf.DUMMYFUNCTION("""COMPUTED_VALUE"""),48.85)</f>
        <v>48.85</v>
      </c>
      <c r="E4609" s="1">
        <f>IFERROR(__xludf.DUMMYFUNCTION("""COMPUTED_VALUE"""),49.86)</f>
        <v>49.86</v>
      </c>
      <c r="F4609" s="1">
        <f>IFERROR(__xludf.DUMMYFUNCTION("""COMPUTED_VALUE"""),3.1829294E7)</f>
        <v>31829294</v>
      </c>
    </row>
    <row r="4610">
      <c r="A4610" s="2">
        <f>IFERROR(__xludf.DUMMYFUNCTION("""COMPUTED_VALUE"""),45861.66666666667)</f>
        <v>45861.66667</v>
      </c>
      <c r="B4610" s="1">
        <f>IFERROR(__xludf.DUMMYFUNCTION("""COMPUTED_VALUE"""),50.7)</f>
        <v>50.7</v>
      </c>
      <c r="C4610" s="1">
        <f>IFERROR(__xludf.DUMMYFUNCTION("""COMPUTED_VALUE"""),52.16)</f>
        <v>52.16</v>
      </c>
      <c r="D4610" s="1">
        <f>IFERROR(__xludf.DUMMYFUNCTION("""COMPUTED_VALUE"""),50.58)</f>
        <v>50.58</v>
      </c>
      <c r="E4610" s="1">
        <f>IFERROR(__xludf.DUMMYFUNCTION("""COMPUTED_VALUE"""),51.7)</f>
        <v>51.7</v>
      </c>
      <c r="F4610" s="1">
        <f>IFERROR(__xludf.DUMMYFUNCTION("""COMPUTED_VALUE"""),2.5249626E7)</f>
        <v>25249626</v>
      </c>
    </row>
    <row r="4611">
      <c r="A4611" s="2">
        <f>IFERROR(__xludf.DUMMYFUNCTION("""COMPUTED_VALUE"""),45862.66666666667)</f>
        <v>45862.66667</v>
      </c>
      <c r="B4611" s="1">
        <f>IFERROR(__xludf.DUMMYFUNCTION("""COMPUTED_VALUE"""),51.82)</f>
        <v>51.82</v>
      </c>
      <c r="C4611" s="1">
        <f>IFERROR(__xludf.DUMMYFUNCTION("""COMPUTED_VALUE"""),53.35)</f>
        <v>53.35</v>
      </c>
      <c r="D4611" s="1">
        <f>IFERROR(__xludf.DUMMYFUNCTION("""COMPUTED_VALUE"""),51.33)</f>
        <v>51.33</v>
      </c>
      <c r="E4611" s="1">
        <f>IFERROR(__xludf.DUMMYFUNCTION("""COMPUTED_VALUE"""),52.52)</f>
        <v>52.52</v>
      </c>
      <c r="F4611" s="1">
        <f>IFERROR(__xludf.DUMMYFUNCTION("""COMPUTED_VALUE"""),3.7679316E7)</f>
        <v>37679316</v>
      </c>
    </row>
    <row r="4612">
      <c r="A4612" s="2">
        <f>IFERROR(__xludf.DUMMYFUNCTION("""COMPUTED_VALUE"""),45863.66666666667)</f>
        <v>45863.66667</v>
      </c>
      <c r="B4612" s="1">
        <f>IFERROR(__xludf.DUMMYFUNCTION("""COMPUTED_VALUE"""),52.15)</f>
        <v>52.15</v>
      </c>
      <c r="C4612" s="1">
        <f>IFERROR(__xludf.DUMMYFUNCTION("""COMPUTED_VALUE"""),54.52)</f>
        <v>54.52</v>
      </c>
      <c r="D4612" s="1">
        <f>IFERROR(__xludf.DUMMYFUNCTION("""COMPUTED_VALUE"""),51.62)</f>
        <v>51.62</v>
      </c>
      <c r="E4612" s="1">
        <f>IFERROR(__xludf.DUMMYFUNCTION("""COMPUTED_VALUE"""),54.47)</f>
        <v>54.47</v>
      </c>
      <c r="F4612" s="1">
        <f>IFERROR(__xludf.DUMMYFUNCTION("""COMPUTED_VALUE"""),3.4308424E7)</f>
        <v>34308424</v>
      </c>
    </row>
    <row r="4613">
      <c r="A4613" s="2">
        <f>IFERROR(__xludf.DUMMYFUNCTION("""COMPUTED_VALUE"""),45866.66666666667)</f>
        <v>45866.66667</v>
      </c>
      <c r="B4613" s="1">
        <f>IFERROR(__xludf.DUMMYFUNCTION("""COMPUTED_VALUE"""),55.81)</f>
        <v>55.81</v>
      </c>
      <c r="C4613" s="1">
        <f>IFERROR(__xludf.DUMMYFUNCTION("""COMPUTED_VALUE"""),60.08)</f>
        <v>60.08</v>
      </c>
      <c r="D4613" s="1">
        <f>IFERROR(__xludf.DUMMYFUNCTION("""COMPUTED_VALUE"""),55.3)</f>
        <v>55.3</v>
      </c>
      <c r="E4613" s="1">
        <f>IFERROR(__xludf.DUMMYFUNCTION("""COMPUTED_VALUE"""),60.05)</f>
        <v>60.05</v>
      </c>
      <c r="F4613" s="1">
        <f>IFERROR(__xludf.DUMMYFUNCTION("""COMPUTED_VALUE"""),7.2578842E7)</f>
        <v>72578842</v>
      </c>
    </row>
    <row r="4614">
      <c r="A4614" s="2">
        <f>IFERROR(__xludf.DUMMYFUNCTION("""COMPUTED_VALUE"""),45867.66666666667)</f>
        <v>45867.66667</v>
      </c>
      <c r="B4614" s="1">
        <f>IFERROR(__xludf.DUMMYFUNCTION("""COMPUTED_VALUE"""),59.73)</f>
        <v>59.73</v>
      </c>
      <c r="C4614" s="1">
        <f>IFERROR(__xludf.DUMMYFUNCTION("""COMPUTED_VALUE"""),61.48)</f>
        <v>61.48</v>
      </c>
      <c r="D4614" s="1">
        <f>IFERROR(__xludf.DUMMYFUNCTION("""COMPUTED_VALUE"""),58.15)</f>
        <v>58.15</v>
      </c>
      <c r="E4614" s="1">
        <f>IFERROR(__xludf.DUMMYFUNCTION("""COMPUTED_VALUE"""),58.63)</f>
        <v>58.63</v>
      </c>
      <c r="F4614" s="1">
        <f>IFERROR(__xludf.DUMMYFUNCTION("""COMPUTED_VALUE"""),5.7488295E7)</f>
        <v>57488295</v>
      </c>
    </row>
    <row r="4615">
      <c r="A4615" s="2">
        <f>IFERROR(__xludf.DUMMYFUNCTION("""COMPUTED_VALUE"""),45868.66666666667)</f>
        <v>45868.66667</v>
      </c>
      <c r="B4615" s="1">
        <f>IFERROR(__xludf.DUMMYFUNCTION("""COMPUTED_VALUE"""),59.56)</f>
        <v>59.56</v>
      </c>
      <c r="C4615" s="1">
        <f>IFERROR(__xludf.DUMMYFUNCTION("""COMPUTED_VALUE"""),62.28)</f>
        <v>62.28</v>
      </c>
      <c r="D4615" s="1">
        <f>IFERROR(__xludf.DUMMYFUNCTION("""COMPUTED_VALUE"""),59.02)</f>
        <v>59.02</v>
      </c>
      <c r="E4615" s="1">
        <f>IFERROR(__xludf.DUMMYFUNCTION("""COMPUTED_VALUE"""),60.71)</f>
        <v>60.71</v>
      </c>
      <c r="F4615" s="1">
        <f>IFERROR(__xludf.DUMMYFUNCTION("""COMPUTED_VALUE"""),5.3032928E7)</f>
        <v>53032928</v>
      </c>
    </row>
    <row r="4616">
      <c r="A4616" s="2">
        <f>IFERROR(__xludf.DUMMYFUNCTION("""COMPUTED_VALUE"""),45869.66666666667)</f>
        <v>45869.66667</v>
      </c>
      <c r="B4616" s="1">
        <f>IFERROR(__xludf.DUMMYFUNCTION("""COMPUTED_VALUE"""),62.11)</f>
        <v>62.11</v>
      </c>
      <c r="C4616" s="1">
        <f>IFERROR(__xludf.DUMMYFUNCTION("""COMPUTED_VALUE"""),62.36)</f>
        <v>62.36</v>
      </c>
      <c r="D4616" s="1">
        <f>IFERROR(__xludf.DUMMYFUNCTION("""COMPUTED_VALUE"""),58.46)</f>
        <v>58.46</v>
      </c>
      <c r="E4616" s="1">
        <f>IFERROR(__xludf.DUMMYFUNCTION("""COMPUTED_VALUE"""),58.97)</f>
        <v>58.97</v>
      </c>
      <c r="F4616" s="1">
        <f>IFERROR(__xludf.DUMMYFUNCTION("""COMPUTED_VALUE"""),4.6751846E7)</f>
        <v>46751846</v>
      </c>
    </row>
    <row r="4617">
      <c r="A4617" s="2">
        <f>IFERROR(__xludf.DUMMYFUNCTION("""COMPUTED_VALUE"""),45870.66666666667)</f>
        <v>45870.66667</v>
      </c>
      <c r="B4617" s="1">
        <f>IFERROR(__xludf.DUMMYFUNCTION("""COMPUTED_VALUE"""),57.11)</f>
        <v>57.11</v>
      </c>
      <c r="C4617" s="1">
        <f>IFERROR(__xludf.DUMMYFUNCTION("""COMPUTED_VALUE"""),58.05)</f>
        <v>58.05</v>
      </c>
      <c r="D4617" s="1">
        <f>IFERROR(__xludf.DUMMYFUNCTION("""COMPUTED_VALUE"""),55.07)</f>
        <v>55.07</v>
      </c>
      <c r="E4617" s="1">
        <f>IFERROR(__xludf.DUMMYFUNCTION("""COMPUTED_VALUE"""),56.64)</f>
        <v>56.64</v>
      </c>
      <c r="F4617" s="1">
        <f>IFERROR(__xludf.DUMMYFUNCTION("""COMPUTED_VALUE"""),4.0840313E7)</f>
        <v>40840313</v>
      </c>
    </row>
    <row r="4618">
      <c r="A4618" s="2">
        <f>IFERROR(__xludf.DUMMYFUNCTION("""COMPUTED_VALUE"""),45873.66666666667)</f>
        <v>45873.66667</v>
      </c>
      <c r="B4618" s="1">
        <f>IFERROR(__xludf.DUMMYFUNCTION("""COMPUTED_VALUE"""),58.16)</f>
        <v>58.16</v>
      </c>
      <c r="C4618" s="1">
        <f>IFERROR(__xludf.DUMMYFUNCTION("""COMPUTED_VALUE"""),59.19)</f>
        <v>59.19</v>
      </c>
      <c r="D4618" s="1">
        <f>IFERROR(__xludf.DUMMYFUNCTION("""COMPUTED_VALUE"""),57.62)</f>
        <v>57.62</v>
      </c>
      <c r="E4618" s="1">
        <f>IFERROR(__xludf.DUMMYFUNCTION("""COMPUTED_VALUE"""),58.23)</f>
        <v>58.23</v>
      </c>
      <c r="F4618" s="1">
        <f>IFERROR(__xludf.DUMMYFUNCTION("""COMPUTED_VALUE"""),3.2743628E7)</f>
        <v>32743628</v>
      </c>
    </row>
    <row r="4619">
      <c r="A4619" s="2">
        <f>IFERROR(__xludf.DUMMYFUNCTION("""COMPUTED_VALUE"""),45874.66666666667)</f>
        <v>45874.66667</v>
      </c>
      <c r="B4619" s="1">
        <f>IFERROR(__xludf.DUMMYFUNCTION("""COMPUTED_VALUE"""),58.81)</f>
        <v>58.81</v>
      </c>
      <c r="C4619" s="1">
        <f>IFERROR(__xludf.DUMMYFUNCTION("""COMPUTED_VALUE"""),59.4)</f>
        <v>59.4</v>
      </c>
      <c r="D4619" s="1">
        <f>IFERROR(__xludf.DUMMYFUNCTION("""COMPUTED_VALUE"""),56.79)</f>
        <v>56.79</v>
      </c>
      <c r="E4619" s="1">
        <f>IFERROR(__xludf.DUMMYFUNCTION("""COMPUTED_VALUE"""),57.26)</f>
        <v>57.26</v>
      </c>
      <c r="F4619" s="1">
        <f>IFERROR(__xludf.DUMMYFUNCTION("""COMPUTED_VALUE"""),4.9970613E7)</f>
        <v>49970613</v>
      </c>
    </row>
    <row r="4620">
      <c r="A4620" s="2">
        <f>IFERROR(__xludf.DUMMYFUNCTION("""COMPUTED_VALUE"""),45875.66666666667)</f>
        <v>45875.66667</v>
      </c>
      <c r="B4620" s="1">
        <f>IFERROR(__xludf.DUMMYFUNCTION("""COMPUTED_VALUE"""),47.33)</f>
        <v>47.33</v>
      </c>
      <c r="C4620" s="1">
        <f>IFERROR(__xludf.DUMMYFUNCTION("""COMPUTED_VALUE"""),48.13)</f>
        <v>48.13</v>
      </c>
      <c r="D4620" s="1">
        <f>IFERROR(__xludf.DUMMYFUNCTION("""COMPUTED_VALUE"""),44.83)</f>
        <v>44.83</v>
      </c>
      <c r="E4620" s="1">
        <f>IFERROR(__xludf.DUMMYFUNCTION("""COMPUTED_VALUE"""),46.79)</f>
        <v>46.79</v>
      </c>
      <c r="F4620" s="1">
        <f>IFERROR(__xludf.DUMMYFUNCTION("""COMPUTED_VALUE"""),1.1521793E8)</f>
        <v>115217930</v>
      </c>
    </row>
    <row r="4621">
      <c r="A4621" s="2">
        <f>IFERROR(__xludf.DUMMYFUNCTION("""COMPUTED_VALUE"""),45876.66666666667)</f>
        <v>45876.66667</v>
      </c>
      <c r="B4621" s="1">
        <f>IFERROR(__xludf.DUMMYFUNCTION("""COMPUTED_VALUE"""),47.15)</f>
        <v>47.15</v>
      </c>
      <c r="C4621" s="1">
        <f>IFERROR(__xludf.DUMMYFUNCTION("""COMPUTED_VALUE"""),48.82)</f>
        <v>48.82</v>
      </c>
      <c r="D4621" s="1">
        <f>IFERROR(__xludf.DUMMYFUNCTION("""COMPUTED_VALUE"""),46.57)</f>
        <v>46.57</v>
      </c>
      <c r="E4621" s="1">
        <f>IFERROR(__xludf.DUMMYFUNCTION("""COMPUTED_VALUE"""),46.67)</f>
        <v>46.67</v>
      </c>
      <c r="F4621" s="1">
        <f>IFERROR(__xludf.DUMMYFUNCTION("""COMPUTED_VALUE"""),4.3942161E7)</f>
        <v>43942161</v>
      </c>
    </row>
    <row r="4622">
      <c r="A4622" s="2">
        <f>IFERROR(__xludf.DUMMYFUNCTION("""COMPUTED_VALUE"""),45877.66666666667)</f>
        <v>45877.66667</v>
      </c>
      <c r="B4622" s="1">
        <f>IFERROR(__xludf.DUMMYFUNCTION("""COMPUTED_VALUE"""),46.91)</f>
        <v>46.91</v>
      </c>
      <c r="C4622" s="1">
        <f>IFERROR(__xludf.DUMMYFUNCTION("""COMPUTED_VALUE"""),47.37)</f>
        <v>47.37</v>
      </c>
      <c r="D4622" s="1">
        <f>IFERROR(__xludf.DUMMYFUNCTION("""COMPUTED_VALUE"""),44.53)</f>
        <v>44.53</v>
      </c>
      <c r="E4622" s="1">
        <f>IFERROR(__xludf.DUMMYFUNCTION("""COMPUTED_VALUE"""),44.6)</f>
        <v>44.6</v>
      </c>
      <c r="F4622" s="1">
        <f>IFERROR(__xludf.DUMMYFUNCTION("""COMPUTED_VALUE"""),4.3796793E7)</f>
        <v>43796793</v>
      </c>
    </row>
    <row r="4623">
      <c r="A4623" s="2">
        <f>IFERROR(__xludf.DUMMYFUNCTION("""COMPUTED_VALUE"""),45880.66666666667)</f>
        <v>45880.66667</v>
      </c>
      <c r="B4623" s="1">
        <f>IFERROR(__xludf.DUMMYFUNCTION("""COMPUTED_VALUE"""),45.08)</f>
        <v>45.08</v>
      </c>
      <c r="C4623" s="1">
        <f>IFERROR(__xludf.DUMMYFUNCTION("""COMPUTED_VALUE"""),46.48)</f>
        <v>46.48</v>
      </c>
      <c r="D4623" s="1">
        <f>IFERROR(__xludf.DUMMYFUNCTION("""COMPUTED_VALUE"""),44.98)</f>
        <v>44.98</v>
      </c>
      <c r="E4623" s="1">
        <f>IFERROR(__xludf.DUMMYFUNCTION("""COMPUTED_VALUE"""),45.2)</f>
        <v>45.2</v>
      </c>
      <c r="F4623" s="1">
        <f>IFERROR(__xludf.DUMMYFUNCTION("""COMPUTED_VALUE"""),3.1865885E7)</f>
        <v>31865885</v>
      </c>
    </row>
    <row r="4624">
      <c r="A4624" s="2">
        <f>IFERROR(__xludf.DUMMYFUNCTION("""COMPUTED_VALUE"""),45881.66666666667)</f>
        <v>45881.66667</v>
      </c>
      <c r="B4624" s="1">
        <f>IFERROR(__xludf.DUMMYFUNCTION("""COMPUTED_VALUE"""),45.67)</f>
        <v>45.67</v>
      </c>
      <c r="C4624" s="1">
        <f>IFERROR(__xludf.DUMMYFUNCTION("""COMPUTED_VALUE"""),46.6)</f>
        <v>46.6</v>
      </c>
      <c r="D4624" s="1">
        <f>IFERROR(__xludf.DUMMYFUNCTION("""COMPUTED_VALUE"""),44.8)</f>
        <v>44.8</v>
      </c>
      <c r="E4624" s="1">
        <f>IFERROR(__xludf.DUMMYFUNCTION("""COMPUTED_VALUE"""),46.43)</f>
        <v>46.43</v>
      </c>
      <c r="F4624" s="1">
        <f>IFERROR(__xludf.DUMMYFUNCTION("""COMPUTED_VALUE"""),3.0437803E7)</f>
        <v>30437803</v>
      </c>
    </row>
    <row r="4625">
      <c r="A4625" s="2">
        <f>IFERROR(__xludf.DUMMYFUNCTION("""COMPUTED_VALUE"""),45882.66666666667)</f>
        <v>45882.66667</v>
      </c>
      <c r="B4625" s="1">
        <f>IFERROR(__xludf.DUMMYFUNCTION("""COMPUTED_VALUE"""),46.43)</f>
        <v>46.43</v>
      </c>
      <c r="C4625" s="1">
        <f>IFERROR(__xludf.DUMMYFUNCTION("""COMPUTED_VALUE"""),46.64)</f>
        <v>46.64</v>
      </c>
      <c r="D4625" s="1">
        <f>IFERROR(__xludf.DUMMYFUNCTION("""COMPUTED_VALUE"""),45.56)</f>
        <v>45.56</v>
      </c>
      <c r="E4625" s="1">
        <f>IFERROR(__xludf.DUMMYFUNCTION("""COMPUTED_VALUE"""),46.07)</f>
        <v>46.07</v>
      </c>
      <c r="F4625" s="1">
        <f>IFERROR(__xludf.DUMMYFUNCTION("""COMPUTED_VALUE"""),2.6004354E7)</f>
        <v>26004354</v>
      </c>
    </row>
    <row r="4626">
      <c r="A4626" s="2">
        <f>IFERROR(__xludf.DUMMYFUNCTION("""COMPUTED_VALUE"""),45883.66666666667)</f>
        <v>45883.66667</v>
      </c>
      <c r="B4626" s="1">
        <f>IFERROR(__xludf.DUMMYFUNCTION("""COMPUTED_VALUE"""),45.35)</f>
        <v>45.35</v>
      </c>
      <c r="C4626" s="1">
        <f>IFERROR(__xludf.DUMMYFUNCTION("""COMPUTED_VALUE"""),45.67)</f>
        <v>45.67</v>
      </c>
      <c r="D4626" s="1">
        <f>IFERROR(__xludf.DUMMYFUNCTION("""COMPUTED_VALUE"""),44.67)</f>
        <v>44.67</v>
      </c>
      <c r="E4626" s="1">
        <f>IFERROR(__xludf.DUMMYFUNCTION("""COMPUTED_VALUE"""),45.49)</f>
        <v>45.49</v>
      </c>
      <c r="F4626" s="1">
        <f>IFERROR(__xludf.DUMMYFUNCTION("""COMPUTED_VALUE"""),2.2948718E7)</f>
        <v>22948718</v>
      </c>
    </row>
    <row r="4627">
      <c r="A4627" s="2">
        <f>IFERROR(__xludf.DUMMYFUNCTION("""COMPUTED_VALUE"""),45884.66666666667)</f>
        <v>45884.66667</v>
      </c>
      <c r="B4627" s="1">
        <f>IFERROR(__xludf.DUMMYFUNCTION("""COMPUTED_VALUE"""),45.26)</f>
        <v>45.26</v>
      </c>
      <c r="C4627" s="1">
        <f>IFERROR(__xludf.DUMMYFUNCTION("""COMPUTED_VALUE"""),45.57)</f>
        <v>45.57</v>
      </c>
      <c r="D4627" s="1">
        <f>IFERROR(__xludf.DUMMYFUNCTION("""COMPUTED_VALUE"""),44.16)</f>
        <v>44.16</v>
      </c>
      <c r="E4627" s="1">
        <f>IFERROR(__xludf.DUMMYFUNCTION("""COMPUTED_VALUE"""),45.37)</f>
        <v>45.37</v>
      </c>
      <c r="F4627" s="1">
        <f>IFERROR(__xludf.DUMMYFUNCTION("""COMPUTED_VALUE"""),2.7407548E7)</f>
        <v>27407548</v>
      </c>
    </row>
    <row r="4628">
      <c r="A4628" s="2">
        <f>IFERROR(__xludf.DUMMYFUNCTION("""COMPUTED_VALUE"""),45887.66666666667)</f>
        <v>45887.66667</v>
      </c>
      <c r="B4628" s="1">
        <f>IFERROR(__xludf.DUMMYFUNCTION("""COMPUTED_VALUE"""),45.28)</f>
        <v>45.28</v>
      </c>
      <c r="C4628" s="1">
        <f>IFERROR(__xludf.DUMMYFUNCTION("""COMPUTED_VALUE"""),46.64)</f>
        <v>46.64</v>
      </c>
      <c r="D4628" s="1">
        <f>IFERROR(__xludf.DUMMYFUNCTION("""COMPUTED_VALUE"""),45.18)</f>
        <v>45.18</v>
      </c>
      <c r="E4628" s="1">
        <f>IFERROR(__xludf.DUMMYFUNCTION("""COMPUTED_VALUE"""),45.86)</f>
        <v>45.86</v>
      </c>
      <c r="F4628" s="1">
        <f>IFERROR(__xludf.DUMMYFUNCTION("""COMPUTED_VALUE"""),2.2586452E7)</f>
        <v>22586452</v>
      </c>
    </row>
    <row r="4629">
      <c r="A4629" s="2">
        <f>IFERROR(__xludf.DUMMYFUNCTION("""COMPUTED_VALUE"""),45888.66666666667)</f>
        <v>45888.66667</v>
      </c>
      <c r="B4629" s="1">
        <f>IFERROR(__xludf.DUMMYFUNCTION("""COMPUTED_VALUE"""),45.85)</f>
        <v>45.85</v>
      </c>
      <c r="C4629" s="1">
        <f>IFERROR(__xludf.DUMMYFUNCTION("""COMPUTED_VALUE"""),45.85)</f>
        <v>45.85</v>
      </c>
      <c r="D4629" s="1">
        <f>IFERROR(__xludf.DUMMYFUNCTION("""COMPUTED_VALUE"""),43.17)</f>
        <v>43.17</v>
      </c>
      <c r="E4629" s="1">
        <f>IFERROR(__xludf.DUMMYFUNCTION("""COMPUTED_VALUE"""),43.24)</f>
        <v>43.24</v>
      </c>
      <c r="F4629" s="1">
        <f>IFERROR(__xludf.DUMMYFUNCTION("""COMPUTED_VALUE"""),3.0319218E7)</f>
        <v>30319218</v>
      </c>
    </row>
    <row r="4630">
      <c r="A4630" s="2">
        <f>IFERROR(__xludf.DUMMYFUNCTION("""COMPUTED_VALUE"""),45889.66666666667)</f>
        <v>45889.66667</v>
      </c>
      <c r="B4630" s="1">
        <f>IFERROR(__xludf.DUMMYFUNCTION("""COMPUTED_VALUE"""),43.3)</f>
        <v>43.3</v>
      </c>
      <c r="C4630" s="1">
        <f>IFERROR(__xludf.DUMMYFUNCTION("""COMPUTED_VALUE"""),43.47)</f>
        <v>43.47</v>
      </c>
      <c r="D4630" s="1">
        <f>IFERROR(__xludf.DUMMYFUNCTION("""COMPUTED_VALUE"""),41.31)</f>
        <v>41.31</v>
      </c>
      <c r="E4630" s="1">
        <f>IFERROR(__xludf.DUMMYFUNCTION("""COMPUTED_VALUE"""),42.61)</f>
        <v>42.61</v>
      </c>
      <c r="F4630" s="1">
        <f>IFERROR(__xludf.DUMMYFUNCTION("""COMPUTED_VALUE"""),3.1496647E7)</f>
        <v>31496647</v>
      </c>
    </row>
    <row r="4631">
      <c r="A4631" s="2">
        <f>IFERROR(__xludf.DUMMYFUNCTION("""COMPUTED_VALUE"""),45890.66666666667)</f>
        <v>45890.66667</v>
      </c>
      <c r="B4631" s="1">
        <f>IFERROR(__xludf.DUMMYFUNCTION("""COMPUTED_VALUE"""),42.6)</f>
        <v>42.6</v>
      </c>
      <c r="C4631" s="1">
        <f>IFERROR(__xludf.DUMMYFUNCTION("""COMPUTED_VALUE"""),42.96)</f>
        <v>42.96</v>
      </c>
      <c r="D4631" s="1">
        <f>IFERROR(__xludf.DUMMYFUNCTION("""COMPUTED_VALUE"""),41.82)</f>
        <v>41.82</v>
      </c>
      <c r="E4631" s="1">
        <f>IFERROR(__xludf.DUMMYFUNCTION("""COMPUTED_VALUE"""),42.31)</f>
        <v>42.31</v>
      </c>
      <c r="F4631" s="1">
        <f>IFERROR(__xludf.DUMMYFUNCTION("""COMPUTED_VALUE"""),1.6552115E7)</f>
        <v>16552115</v>
      </c>
    </row>
    <row r="4632">
      <c r="A4632" s="2">
        <f>IFERROR(__xludf.DUMMYFUNCTION("""COMPUTED_VALUE"""),45891.66666666667)</f>
        <v>45891.66667</v>
      </c>
      <c r="B4632" s="1">
        <f>IFERROR(__xludf.DUMMYFUNCTION("""COMPUTED_VALUE"""),41.65)</f>
        <v>41.65</v>
      </c>
      <c r="C4632" s="1">
        <f>IFERROR(__xludf.DUMMYFUNCTION("""COMPUTED_VALUE"""),44.1)</f>
        <v>44.1</v>
      </c>
      <c r="D4632" s="1">
        <f>IFERROR(__xludf.DUMMYFUNCTION("""COMPUTED_VALUE"""),41.63)</f>
        <v>41.63</v>
      </c>
      <c r="E4632" s="1">
        <f>IFERROR(__xludf.DUMMYFUNCTION("""COMPUTED_VALUE"""),43.88)</f>
        <v>43.88</v>
      </c>
      <c r="F4632" s="1">
        <f>IFERROR(__xludf.DUMMYFUNCTION("""COMPUTED_VALUE"""),2.408906E7)</f>
        <v>24089060</v>
      </c>
    </row>
    <row r="4633">
      <c r="A4633" s="2">
        <f>IFERROR(__xludf.DUMMYFUNCTION("""COMPUTED_VALUE"""),45894.66666666667)</f>
        <v>45894.66667</v>
      </c>
      <c r="B4633" s="1">
        <f>IFERROR(__xludf.DUMMYFUNCTION("""COMPUTED_VALUE"""),43.6)</f>
        <v>43.6</v>
      </c>
      <c r="C4633" s="1">
        <f>IFERROR(__xludf.DUMMYFUNCTION("""COMPUTED_VALUE"""),44.93)</f>
        <v>44.93</v>
      </c>
      <c r="D4633" s="1">
        <f>IFERROR(__xludf.DUMMYFUNCTION("""COMPUTED_VALUE"""),43.28)</f>
        <v>43.28</v>
      </c>
      <c r="E4633" s="1">
        <f>IFERROR(__xludf.DUMMYFUNCTION("""COMPUTED_VALUE"""),44.07)</f>
        <v>44.07</v>
      </c>
      <c r="F4633" s="1">
        <f>IFERROR(__xludf.DUMMYFUNCTION("""COMPUTED_VALUE"""),1.8782031E7)</f>
        <v>18782031</v>
      </c>
    </row>
    <row r="4634">
      <c r="A4634" s="2">
        <f>IFERROR(__xludf.DUMMYFUNCTION("""COMPUTED_VALUE"""),45895.66666666667)</f>
        <v>45895.66667</v>
      </c>
      <c r="B4634" s="1">
        <f>IFERROR(__xludf.DUMMYFUNCTION("""COMPUTED_VALUE"""),44.06)</f>
        <v>44.06</v>
      </c>
      <c r="C4634" s="1">
        <f>IFERROR(__xludf.DUMMYFUNCTION("""COMPUTED_VALUE"""),44.39)</f>
        <v>44.39</v>
      </c>
      <c r="D4634" s="1">
        <f>IFERROR(__xludf.DUMMYFUNCTION("""COMPUTED_VALUE"""),43.64)</f>
        <v>43.64</v>
      </c>
      <c r="E4634" s="1">
        <f>IFERROR(__xludf.DUMMYFUNCTION("""COMPUTED_VALUE"""),44.36)</f>
        <v>44.36</v>
      </c>
      <c r="F4634" s="1">
        <f>IFERROR(__xludf.DUMMYFUNCTION("""COMPUTED_VALUE"""),1.8168178E7)</f>
        <v>18168178</v>
      </c>
    </row>
    <row r="4635">
      <c r="A4635" s="2">
        <f>IFERROR(__xludf.DUMMYFUNCTION("""COMPUTED_VALUE"""),45896.66666666667)</f>
        <v>45896.66667</v>
      </c>
      <c r="B4635" s="1">
        <f>IFERROR(__xludf.DUMMYFUNCTION("""COMPUTED_VALUE"""),44.37)</f>
        <v>44.37</v>
      </c>
      <c r="C4635" s="1">
        <f>IFERROR(__xludf.DUMMYFUNCTION("""COMPUTED_VALUE"""),45.01)</f>
        <v>45.01</v>
      </c>
      <c r="D4635" s="1">
        <f>IFERROR(__xludf.DUMMYFUNCTION("""COMPUTED_VALUE"""),43.87)</f>
        <v>43.87</v>
      </c>
      <c r="E4635" s="1">
        <f>IFERROR(__xludf.DUMMYFUNCTION("""COMPUTED_VALUE"""),44.76)</f>
        <v>44.76</v>
      </c>
      <c r="F4635" s="1">
        <f>IFERROR(__xludf.DUMMYFUNCTION("""COMPUTED_VALUE"""),1.892509E7)</f>
        <v>18925090</v>
      </c>
    </row>
    <row r="4636">
      <c r="A4636" s="2">
        <f>IFERROR(__xludf.DUMMYFUNCTION("""COMPUTED_VALUE"""),45897.66666666667)</f>
        <v>45897.66667</v>
      </c>
      <c r="B4636" s="1">
        <f>IFERROR(__xludf.DUMMYFUNCTION("""COMPUTED_VALUE"""),44.82)</f>
        <v>44.82</v>
      </c>
      <c r="C4636" s="1">
        <f>IFERROR(__xludf.DUMMYFUNCTION("""COMPUTED_VALUE"""),45.34)</f>
        <v>45.34</v>
      </c>
      <c r="D4636" s="1">
        <f>IFERROR(__xludf.DUMMYFUNCTION("""COMPUTED_VALUE"""),43.91)</f>
        <v>43.91</v>
      </c>
      <c r="E4636" s="1">
        <f>IFERROR(__xludf.DUMMYFUNCTION("""COMPUTED_VALUE"""),43.97)</f>
        <v>43.97</v>
      </c>
      <c r="F4636" s="1">
        <f>IFERROR(__xludf.DUMMYFUNCTION("""COMPUTED_VALUE"""),2.2120089E7)</f>
        <v>22120089</v>
      </c>
    </row>
    <row r="4637">
      <c r="A4637" s="2">
        <f>IFERROR(__xludf.DUMMYFUNCTION("""COMPUTED_VALUE"""),45898.66666666667)</f>
        <v>45898.66667</v>
      </c>
      <c r="B4637" s="1">
        <f>IFERROR(__xludf.DUMMYFUNCTION("""COMPUTED_VALUE"""),42.8)</f>
        <v>42.8</v>
      </c>
      <c r="C4637" s="1">
        <f>IFERROR(__xludf.DUMMYFUNCTION("""COMPUTED_VALUE"""),42.86)</f>
        <v>42.86</v>
      </c>
      <c r="D4637" s="1">
        <f>IFERROR(__xludf.DUMMYFUNCTION("""COMPUTED_VALUE"""),41.44)</f>
        <v>41.44</v>
      </c>
      <c r="E4637" s="1">
        <f>IFERROR(__xludf.DUMMYFUNCTION("""COMPUTED_VALUE"""),41.54)</f>
        <v>41.54</v>
      </c>
      <c r="F4637" s="1">
        <f>IFERROR(__xludf.DUMMYFUNCTION("""COMPUTED_VALUE"""),3.6835946E7)</f>
        <v>36835946</v>
      </c>
    </row>
    <row r="4638">
      <c r="A4638" s="2">
        <f>IFERROR(__xludf.DUMMYFUNCTION("""COMPUTED_VALUE"""),45902.66666666667)</f>
        <v>45902.66667</v>
      </c>
      <c r="B4638" s="1">
        <f>IFERROR(__xludf.DUMMYFUNCTION("""COMPUTED_VALUE"""),40.03)</f>
        <v>40.03</v>
      </c>
      <c r="C4638" s="1">
        <f>IFERROR(__xludf.DUMMYFUNCTION("""COMPUTED_VALUE"""),40.86)</f>
        <v>40.86</v>
      </c>
      <c r="D4638" s="1">
        <f>IFERROR(__xludf.DUMMYFUNCTION("""COMPUTED_VALUE"""),39.56)</f>
        <v>39.56</v>
      </c>
      <c r="E4638" s="1">
        <f>IFERROR(__xludf.DUMMYFUNCTION("""COMPUTED_VALUE"""),40.78)</f>
        <v>40.78</v>
      </c>
      <c r="F4638" s="1">
        <f>IFERROR(__xludf.DUMMYFUNCTION("""COMPUTED_VALUE"""),2.9924319E7)</f>
        <v>29924319</v>
      </c>
    </row>
    <row r="4639">
      <c r="A4639" s="2">
        <f>IFERROR(__xludf.DUMMYFUNCTION("""COMPUTED_VALUE"""),45903.66666666667)</f>
        <v>45903.66667</v>
      </c>
      <c r="B4639" s="1">
        <f>IFERROR(__xludf.DUMMYFUNCTION("""COMPUTED_VALUE"""),40.9)</f>
        <v>40.9</v>
      </c>
      <c r="C4639" s="1">
        <f>IFERROR(__xludf.DUMMYFUNCTION("""COMPUTED_VALUE"""),40.98)</f>
        <v>40.98</v>
      </c>
      <c r="D4639" s="1">
        <f>IFERROR(__xludf.DUMMYFUNCTION("""COMPUTED_VALUE"""),39.77)</f>
        <v>39.77</v>
      </c>
      <c r="E4639" s="1">
        <f>IFERROR(__xludf.DUMMYFUNCTION("""COMPUTED_VALUE"""),40.1)</f>
        <v>40.1</v>
      </c>
      <c r="F4639" s="1">
        <f>IFERROR(__xludf.DUMMYFUNCTION("""COMPUTED_VALUE"""),2.0472793E7)</f>
        <v>20472793</v>
      </c>
    </row>
    <row r="4640">
      <c r="A4640" s="2">
        <f>IFERROR(__xludf.DUMMYFUNCTION("""COMPUTED_VALUE"""),45904.66666666667)</f>
        <v>45904.66667</v>
      </c>
      <c r="B4640" s="1">
        <f>IFERROR(__xludf.DUMMYFUNCTION("""COMPUTED_VALUE"""),40.28)</f>
        <v>40.28</v>
      </c>
      <c r="C4640" s="1">
        <f>IFERROR(__xludf.DUMMYFUNCTION("""COMPUTED_VALUE"""),40.8)</f>
        <v>40.8</v>
      </c>
      <c r="D4640" s="1">
        <f>IFERROR(__xludf.DUMMYFUNCTION("""COMPUTED_VALUE"""),39.75)</f>
        <v>39.75</v>
      </c>
      <c r="E4640" s="1">
        <f>IFERROR(__xludf.DUMMYFUNCTION("""COMPUTED_VALUE"""),40.7)</f>
        <v>40.7</v>
      </c>
      <c r="F4640" s="1">
        <f>IFERROR(__xludf.DUMMYFUNCTION("""COMPUTED_VALUE"""),2.2479421E7)</f>
        <v>22479421</v>
      </c>
    </row>
    <row r="4641">
      <c r="A4641" s="2">
        <f>IFERROR(__xludf.DUMMYFUNCTION("""COMPUTED_VALUE"""),45905.66666666667)</f>
        <v>45905.66667</v>
      </c>
      <c r="B4641" s="1">
        <f>IFERROR(__xludf.DUMMYFUNCTION("""COMPUTED_VALUE"""),40.99)</f>
        <v>40.99</v>
      </c>
      <c r="C4641" s="1">
        <f>IFERROR(__xludf.DUMMYFUNCTION("""COMPUTED_VALUE"""),41.18)</f>
        <v>41.18</v>
      </c>
      <c r="D4641" s="1">
        <f>IFERROR(__xludf.DUMMYFUNCTION("""COMPUTED_VALUE"""),39.74)</f>
        <v>39.74</v>
      </c>
      <c r="E4641" s="1">
        <f>IFERROR(__xludf.DUMMYFUNCTION("""COMPUTED_VALUE"""),40.41)</f>
        <v>40.41</v>
      </c>
      <c r="F4641" s="1">
        <f>IFERROR(__xludf.DUMMYFUNCTION("""COMPUTED_VALUE"""),2.177167E7)</f>
        <v>21771670</v>
      </c>
    </row>
    <row r="4642">
      <c r="A4642" s="2">
        <f>IFERROR(__xludf.DUMMYFUNCTION("""COMPUTED_VALUE"""),45908.66666666667)</f>
        <v>45908.66667</v>
      </c>
      <c r="B4642" s="1">
        <f>IFERROR(__xludf.DUMMYFUNCTION("""COMPUTED_VALUE"""),40.9)</f>
        <v>40.9</v>
      </c>
      <c r="C4642" s="1">
        <f>IFERROR(__xludf.DUMMYFUNCTION("""COMPUTED_VALUE"""),41.12)</f>
        <v>41.12</v>
      </c>
      <c r="D4642" s="1">
        <f>IFERROR(__xludf.DUMMYFUNCTION("""COMPUTED_VALUE"""),39.89)</f>
        <v>39.89</v>
      </c>
      <c r="E4642" s="1">
        <f>IFERROR(__xludf.DUMMYFUNCTION("""COMPUTED_VALUE"""),40.04)</f>
        <v>40.04</v>
      </c>
      <c r="F4642" s="1">
        <f>IFERROR(__xludf.DUMMYFUNCTION("""COMPUTED_VALUE"""),1.9033322E7)</f>
        <v>19033322</v>
      </c>
    </row>
    <row r="4643">
      <c r="A4643" s="2">
        <f>IFERROR(__xludf.DUMMYFUNCTION("""COMPUTED_VALUE"""),45909.66666666667)</f>
        <v>45909.66667</v>
      </c>
      <c r="B4643" s="1">
        <f>IFERROR(__xludf.DUMMYFUNCTION("""COMPUTED_VALUE"""),40.24)</f>
        <v>40.24</v>
      </c>
      <c r="C4643" s="1">
        <f>IFERROR(__xludf.DUMMYFUNCTION("""COMPUTED_VALUE"""),43.0)</f>
        <v>43</v>
      </c>
      <c r="D4643" s="1">
        <f>IFERROR(__xludf.DUMMYFUNCTION("""COMPUTED_VALUE"""),40.17)</f>
        <v>40.17</v>
      </c>
      <c r="E4643" s="1">
        <f>IFERROR(__xludf.DUMMYFUNCTION("""COMPUTED_VALUE"""),42.92)</f>
        <v>42.92</v>
      </c>
      <c r="F4643" s="1">
        <f>IFERROR(__xludf.DUMMYFUNCTION("""COMPUTED_VALUE"""),3.745897E7)</f>
        <v>37458970</v>
      </c>
    </row>
    <row r="4644">
      <c r="A4644" s="2">
        <f>IFERROR(__xludf.DUMMYFUNCTION("""COMPUTED_VALUE"""),45910.66666666667)</f>
        <v>45910.66667</v>
      </c>
      <c r="B4644" s="1">
        <f>IFERROR(__xludf.DUMMYFUNCTION("""COMPUTED_VALUE"""),44.0)</f>
        <v>44</v>
      </c>
      <c r="C4644" s="1">
        <f>IFERROR(__xludf.DUMMYFUNCTION("""COMPUTED_VALUE"""),45.57)</f>
        <v>45.57</v>
      </c>
      <c r="D4644" s="1">
        <f>IFERROR(__xludf.DUMMYFUNCTION("""COMPUTED_VALUE"""),43.33)</f>
        <v>43.33</v>
      </c>
      <c r="E4644" s="1">
        <f>IFERROR(__xludf.DUMMYFUNCTION("""COMPUTED_VALUE"""),43.91)</f>
        <v>43.91</v>
      </c>
      <c r="F4644" s="1">
        <f>IFERROR(__xludf.DUMMYFUNCTION("""COMPUTED_VALUE"""),4.087601E7)</f>
        <v>40876010</v>
      </c>
    </row>
    <row r="4645">
      <c r="A4645" s="2">
        <f>IFERROR(__xludf.DUMMYFUNCTION("""COMPUTED_VALUE"""),45911.66666666667)</f>
        <v>45911.66667</v>
      </c>
      <c r="B4645" s="1">
        <f>IFERROR(__xludf.DUMMYFUNCTION("""COMPUTED_VALUE"""),44.29)</f>
        <v>44.29</v>
      </c>
      <c r="C4645" s="1">
        <f>IFERROR(__xludf.DUMMYFUNCTION("""COMPUTED_VALUE"""),44.51)</f>
        <v>44.51</v>
      </c>
      <c r="D4645" s="1">
        <f>IFERROR(__xludf.DUMMYFUNCTION("""COMPUTED_VALUE"""),43.46)</f>
        <v>43.46</v>
      </c>
      <c r="E4645" s="1">
        <f>IFERROR(__xludf.DUMMYFUNCTION("""COMPUTED_VALUE"""),43.95)</f>
        <v>43.95</v>
      </c>
      <c r="F4645" s="1">
        <f>IFERROR(__xludf.DUMMYFUNCTION("""COMPUTED_VALUE"""),2.4437708E7)</f>
        <v>24437708</v>
      </c>
    </row>
    <row r="4646">
      <c r="A4646" s="2">
        <f>IFERROR(__xludf.DUMMYFUNCTION("""COMPUTED_VALUE"""),45912.66666666667)</f>
        <v>45912.66667</v>
      </c>
      <c r="B4646" s="1">
        <f>IFERROR(__xludf.DUMMYFUNCTION("""COMPUTED_VALUE"""),46.56)</f>
        <v>46.56</v>
      </c>
      <c r="C4646" s="1">
        <f>IFERROR(__xludf.DUMMYFUNCTION("""COMPUTED_VALUE"""),47.0)</f>
        <v>47</v>
      </c>
      <c r="D4646" s="1">
        <f>IFERROR(__xludf.DUMMYFUNCTION("""COMPUTED_VALUE"""),44.63)</f>
        <v>44.63</v>
      </c>
      <c r="E4646" s="1">
        <f>IFERROR(__xludf.DUMMYFUNCTION("""COMPUTED_VALUE"""),45.0)</f>
        <v>45</v>
      </c>
      <c r="F4646" s="1">
        <f>IFERROR(__xludf.DUMMYFUNCTION("""COMPUTED_VALUE"""),3.8138273E7)</f>
        <v>38138273</v>
      </c>
    </row>
    <row r="4647">
      <c r="A4647" s="2">
        <f>IFERROR(__xludf.DUMMYFUNCTION("""COMPUTED_VALUE"""),45915.66666666667)</f>
        <v>45915.66667</v>
      </c>
      <c r="B4647" s="1">
        <f>IFERROR(__xludf.DUMMYFUNCTION("""COMPUTED_VALUE"""),45.23)</f>
        <v>45.23</v>
      </c>
      <c r="C4647" s="1">
        <f>IFERROR(__xludf.DUMMYFUNCTION("""COMPUTED_VALUE"""),45.77)</f>
        <v>45.77</v>
      </c>
      <c r="D4647" s="1">
        <f>IFERROR(__xludf.DUMMYFUNCTION("""COMPUTED_VALUE"""),44.2)</f>
        <v>44.2</v>
      </c>
      <c r="E4647" s="1">
        <f>IFERROR(__xludf.DUMMYFUNCTION("""COMPUTED_VALUE"""),45.38)</f>
        <v>45.38</v>
      </c>
      <c r="F4647" s="1">
        <f>IFERROR(__xludf.DUMMYFUNCTION("""COMPUTED_VALUE"""),2.2441791E7)</f>
        <v>22441791</v>
      </c>
    </row>
    <row r="4648">
      <c r="A4648" s="2">
        <f>IFERROR(__xludf.DUMMYFUNCTION("""COMPUTED_VALUE"""),45916.66666666667)</f>
        <v>45916.66667</v>
      </c>
      <c r="B4648" s="1">
        <f>IFERROR(__xludf.DUMMYFUNCTION("""COMPUTED_VALUE"""),45.55)</f>
        <v>45.55</v>
      </c>
      <c r="C4648" s="1">
        <f>IFERROR(__xludf.DUMMYFUNCTION("""COMPUTED_VALUE"""),45.82)</f>
        <v>45.82</v>
      </c>
      <c r="D4648" s="1">
        <f>IFERROR(__xludf.DUMMYFUNCTION("""COMPUTED_VALUE"""),44.5)</f>
        <v>44.5</v>
      </c>
      <c r="E4648" s="1">
        <f>IFERROR(__xludf.DUMMYFUNCTION("""COMPUTED_VALUE"""),44.91)</f>
        <v>44.91</v>
      </c>
      <c r="F4648" s="1">
        <f>IFERROR(__xludf.DUMMYFUNCTION("""COMPUTED_VALUE"""),1.8139175E7)</f>
        <v>18139175</v>
      </c>
    </row>
    <row r="4649">
      <c r="A4649" s="2">
        <f>IFERROR(__xludf.DUMMYFUNCTION("""COMPUTED_VALUE"""),45917.66666666667)</f>
        <v>45917.66667</v>
      </c>
      <c r="B4649" s="1">
        <f>IFERROR(__xludf.DUMMYFUNCTION("""COMPUTED_VALUE"""),44.6)</f>
        <v>44.6</v>
      </c>
      <c r="C4649" s="1">
        <f>IFERROR(__xludf.DUMMYFUNCTION("""COMPUTED_VALUE"""),45.4)</f>
        <v>45.4</v>
      </c>
      <c r="D4649" s="1">
        <f>IFERROR(__xludf.DUMMYFUNCTION("""COMPUTED_VALUE"""),43.69)</f>
        <v>43.69</v>
      </c>
      <c r="E4649" s="1">
        <f>IFERROR(__xludf.DUMMYFUNCTION("""COMPUTED_VALUE"""),44.9)</f>
        <v>44.9</v>
      </c>
      <c r="F4649" s="1">
        <f>IFERROR(__xludf.DUMMYFUNCTION("""COMPUTED_VALUE"""),2.2589246E7)</f>
        <v>22589246</v>
      </c>
    </row>
    <row r="4650">
      <c r="A4650" s="2">
        <f>IFERROR(__xludf.DUMMYFUNCTION("""COMPUTED_VALUE"""),45918.66666666667)</f>
        <v>45918.66667</v>
      </c>
      <c r="B4650" s="1">
        <f>IFERROR(__xludf.DUMMYFUNCTION("""COMPUTED_VALUE"""),45.42)</f>
        <v>45.42</v>
      </c>
      <c r="C4650" s="1">
        <f>IFERROR(__xludf.DUMMYFUNCTION("""COMPUTED_VALUE"""),46.33)</f>
        <v>46.33</v>
      </c>
      <c r="D4650" s="1">
        <f>IFERROR(__xludf.DUMMYFUNCTION("""COMPUTED_VALUE"""),44.54)</f>
        <v>44.54</v>
      </c>
      <c r="E4650" s="1">
        <f>IFERROR(__xludf.DUMMYFUNCTION("""COMPUTED_VALUE"""),45.94)</f>
        <v>45.94</v>
      </c>
      <c r="F4650" s="1">
        <f>IFERROR(__xludf.DUMMYFUNCTION("""COMPUTED_VALUE"""),2.6315798E7)</f>
        <v>26315798</v>
      </c>
    </row>
    <row r="4651">
      <c r="A4651" s="2">
        <f>IFERROR(__xludf.DUMMYFUNCTION("""COMPUTED_VALUE"""),45919.66666666667)</f>
        <v>45919.66667</v>
      </c>
      <c r="B4651" s="1">
        <f>IFERROR(__xludf.DUMMYFUNCTION("""COMPUTED_VALUE"""),46.0)</f>
        <v>46</v>
      </c>
      <c r="C4651" s="1">
        <f>IFERROR(__xludf.DUMMYFUNCTION("""COMPUTED_VALUE"""),46.52)</f>
        <v>46.52</v>
      </c>
      <c r="D4651" s="1">
        <f>IFERROR(__xludf.DUMMYFUNCTION("""COMPUTED_VALUE"""),45.45)</f>
        <v>45.45</v>
      </c>
      <c r="E4651" s="1">
        <f>IFERROR(__xludf.DUMMYFUNCTION("""COMPUTED_VALUE"""),45.81)</f>
        <v>45.81</v>
      </c>
      <c r="F4651" s="1">
        <f>IFERROR(__xludf.DUMMYFUNCTION("""COMPUTED_VALUE"""),2.8688363E7)</f>
        <v>28688363</v>
      </c>
    </row>
    <row r="4652">
      <c r="A4652" s="2">
        <f>IFERROR(__xludf.DUMMYFUNCTION("""COMPUTED_VALUE"""),45922.66666666667)</f>
        <v>45922.66667</v>
      </c>
      <c r="B4652" s="1">
        <f>IFERROR(__xludf.DUMMYFUNCTION("""COMPUTED_VALUE"""),45.4)</f>
        <v>45.4</v>
      </c>
      <c r="C4652" s="1">
        <f>IFERROR(__xludf.DUMMYFUNCTION("""COMPUTED_VALUE"""),48.53)</f>
        <v>48.53</v>
      </c>
      <c r="D4652" s="1">
        <f>IFERROR(__xludf.DUMMYFUNCTION("""COMPUTED_VALUE"""),45.17)</f>
        <v>45.17</v>
      </c>
      <c r="E4652" s="1">
        <f>IFERROR(__xludf.DUMMYFUNCTION("""COMPUTED_VALUE"""),46.87)</f>
        <v>46.87</v>
      </c>
      <c r="F4652" s="1">
        <f>IFERROR(__xludf.DUMMYFUNCTION("""COMPUTED_VALUE"""),3.9930638E7)</f>
        <v>39930638</v>
      </c>
    </row>
    <row r="4653">
      <c r="A4653" s="2">
        <f>IFERROR(__xludf.DUMMYFUNCTION("""COMPUTED_VALUE"""),45923.66666666667)</f>
        <v>45923.66667</v>
      </c>
      <c r="B4653" s="1">
        <f>IFERROR(__xludf.DUMMYFUNCTION("""COMPUTED_VALUE"""),47.39)</f>
        <v>47.39</v>
      </c>
      <c r="C4653" s="1">
        <f>IFERROR(__xludf.DUMMYFUNCTION("""COMPUTED_VALUE"""),47.7)</f>
        <v>47.7</v>
      </c>
      <c r="D4653" s="1">
        <f>IFERROR(__xludf.DUMMYFUNCTION("""COMPUTED_VALUE"""),45.86)</f>
        <v>45.86</v>
      </c>
      <c r="E4653" s="1">
        <f>IFERROR(__xludf.DUMMYFUNCTION("""COMPUTED_VALUE"""),46.99)</f>
        <v>46.99</v>
      </c>
      <c r="F4653" s="1">
        <f>IFERROR(__xludf.DUMMYFUNCTION("""COMPUTED_VALUE"""),2.7042453E7)</f>
        <v>27042453</v>
      </c>
    </row>
    <row r="4654">
      <c r="A4654" s="2">
        <f>IFERROR(__xludf.DUMMYFUNCTION("""COMPUTED_VALUE"""),45924.66666666667)</f>
        <v>45924.66667</v>
      </c>
      <c r="B4654" s="1">
        <f>IFERROR(__xludf.DUMMYFUNCTION("""COMPUTED_VALUE"""),47.39)</f>
        <v>47.39</v>
      </c>
      <c r="C4654" s="1">
        <f>IFERROR(__xludf.DUMMYFUNCTION("""COMPUTED_VALUE"""),47.7)</f>
        <v>47.7</v>
      </c>
      <c r="D4654" s="1">
        <f>IFERROR(__xludf.DUMMYFUNCTION("""COMPUTED_VALUE"""),45.86)</f>
        <v>45.86</v>
      </c>
      <c r="E4654" s="1">
        <f>IFERROR(__xludf.DUMMYFUNCTION("""COMPUTED_VALUE"""),46.99)</f>
        <v>46.99</v>
      </c>
      <c r="F4654" s="1">
        <f>IFERROR(__xludf.DUMMYFUNCTION("""COMPUTED_VALUE"""),301798.0)</f>
        <v>301798</v>
      </c>
    </row>
    <row r="4655">
      <c r="A4655" s="2">
        <f>IFERROR(__xludf.DUMMYFUNCTION("""COMPUTED_VALUE"""),45925.66666666667)</f>
        <v>45925.66667</v>
      </c>
      <c r="B4655" s="1">
        <f>IFERROR(__xludf.DUMMYFUNCTION("""COMPUTED_VALUE"""),45.06)</f>
        <v>45.06</v>
      </c>
      <c r="C4655" s="1">
        <f>IFERROR(__xludf.DUMMYFUNCTION("""COMPUTED_VALUE"""),47.16)</f>
        <v>47.16</v>
      </c>
      <c r="D4655" s="1">
        <f>IFERROR(__xludf.DUMMYFUNCTION("""COMPUTED_VALUE"""),44.2)</f>
        <v>44.2</v>
      </c>
      <c r="E4655" s="1">
        <f>IFERROR(__xludf.DUMMYFUNCTION("""COMPUTED_VALUE"""),46.24)</f>
        <v>46.24</v>
      </c>
      <c r="F4655" s="1">
        <f>IFERROR(__xludf.DUMMYFUNCTION("""COMPUTED_VALUE"""),2.4372206E7)</f>
        <v>24372206</v>
      </c>
    </row>
    <row r="4656">
      <c r="A4656" s="2">
        <f>IFERROR(__xludf.DUMMYFUNCTION("""COMPUTED_VALUE"""),45926.66666666667)</f>
        <v>45926.66667</v>
      </c>
      <c r="B4656" s="1">
        <f>IFERROR(__xludf.DUMMYFUNCTION("""COMPUTED_VALUE"""),45.64)</f>
        <v>45.64</v>
      </c>
      <c r="C4656" s="1">
        <f>IFERROR(__xludf.DUMMYFUNCTION("""COMPUTED_VALUE"""),45.97)</f>
        <v>45.97</v>
      </c>
      <c r="D4656" s="1">
        <f>IFERROR(__xludf.DUMMYFUNCTION("""COMPUTED_VALUE"""),44.4)</f>
        <v>44.4</v>
      </c>
      <c r="E4656" s="1">
        <f>IFERROR(__xludf.DUMMYFUNCTION("""COMPUTED_VALUE"""),45.82)</f>
        <v>45.82</v>
      </c>
      <c r="F4656" s="1">
        <f>IFERROR(__xludf.DUMMYFUNCTION("""COMPUTED_VALUE"""),2.2879401E7)</f>
        <v>22879401</v>
      </c>
    </row>
    <row r="4657">
      <c r="A4657" s="2">
        <f>IFERROR(__xludf.DUMMYFUNCTION("""COMPUTED_VALUE"""),45929.66666666667)</f>
        <v>45929.66667</v>
      </c>
      <c r="B4657" s="1">
        <f>IFERROR(__xludf.DUMMYFUNCTION("""COMPUTED_VALUE"""),46.28)</f>
        <v>46.28</v>
      </c>
      <c r="C4657" s="1">
        <f>IFERROR(__xludf.DUMMYFUNCTION("""COMPUTED_VALUE"""),47.38)</f>
        <v>47.38</v>
      </c>
      <c r="D4657" s="1">
        <f>IFERROR(__xludf.DUMMYFUNCTION("""COMPUTED_VALUE"""),45.94)</f>
        <v>45.94</v>
      </c>
      <c r="E4657" s="1">
        <f>IFERROR(__xludf.DUMMYFUNCTION("""COMPUTED_VALUE"""),46.36)</f>
        <v>46.36</v>
      </c>
      <c r="F4657" s="1">
        <f>IFERROR(__xludf.DUMMYFUNCTION("""COMPUTED_VALUE"""),2.5012582E7)</f>
        <v>25012582</v>
      </c>
    </row>
    <row r="4658">
      <c r="A4658" s="2">
        <f>IFERROR(__xludf.DUMMYFUNCTION("""COMPUTED_VALUE"""),45930.66666666667)</f>
        <v>45930.66667</v>
      </c>
      <c r="B4658" s="1">
        <f>IFERROR(__xludf.DUMMYFUNCTION("""COMPUTED_VALUE"""),46.22)</f>
        <v>46.22</v>
      </c>
      <c r="C4658" s="1">
        <f>IFERROR(__xludf.DUMMYFUNCTION("""COMPUTED_VALUE"""),48.2)</f>
        <v>48.2</v>
      </c>
      <c r="D4658" s="1">
        <f>IFERROR(__xludf.DUMMYFUNCTION("""COMPUTED_VALUE"""),46.2)</f>
        <v>46.2</v>
      </c>
      <c r="E4658" s="1">
        <f>IFERROR(__xludf.DUMMYFUNCTION("""COMPUTED_VALUE"""),47.94)</f>
        <v>47.94</v>
      </c>
      <c r="F4658" s="1">
        <f>IFERROR(__xludf.DUMMYFUNCTION("""COMPUTED_VALUE"""),3.2168456E7)</f>
        <v>32168456</v>
      </c>
    </row>
    <row r="4659">
      <c r="A4659" s="2">
        <f>IFERROR(__xludf.DUMMYFUNCTION("""COMPUTED_VALUE"""),45931.66666666667)</f>
        <v>45931.66667</v>
      </c>
      <c r="B4659" s="1">
        <f>IFERROR(__xludf.DUMMYFUNCTION("""COMPUTED_VALUE"""),47.57)</f>
        <v>47.57</v>
      </c>
      <c r="C4659" s="1">
        <f>IFERROR(__xludf.DUMMYFUNCTION("""COMPUTED_VALUE"""),52.48)</f>
        <v>52.48</v>
      </c>
      <c r="D4659" s="1">
        <f>IFERROR(__xludf.DUMMYFUNCTION("""COMPUTED_VALUE"""),47.36)</f>
        <v>47.36</v>
      </c>
      <c r="E4659" s="1">
        <f>IFERROR(__xludf.DUMMYFUNCTION("""COMPUTED_VALUE"""),52.39)</f>
        <v>52.39</v>
      </c>
      <c r="F4659" s="1">
        <f>IFERROR(__xludf.DUMMYFUNCTION("""COMPUTED_VALUE"""),4.8357216E7)</f>
        <v>48357216</v>
      </c>
    </row>
    <row r="4660">
      <c r="A4660" s="2">
        <f>IFERROR(__xludf.DUMMYFUNCTION("""COMPUTED_VALUE"""),45932.66666666667)</f>
        <v>45932.66667</v>
      </c>
      <c r="B4660" s="1">
        <f>IFERROR(__xludf.DUMMYFUNCTION("""COMPUTED_VALUE"""),52.45)</f>
        <v>52.45</v>
      </c>
      <c r="C4660" s="1">
        <f>IFERROR(__xludf.DUMMYFUNCTION("""COMPUTED_VALUE"""),52.93)</f>
        <v>52.93</v>
      </c>
      <c r="D4660" s="1">
        <f>IFERROR(__xludf.DUMMYFUNCTION("""COMPUTED_VALUE"""),51.06)</f>
        <v>51.06</v>
      </c>
      <c r="E4660" s="1">
        <f>IFERROR(__xludf.DUMMYFUNCTION("""COMPUTED_VALUE"""),52.5)</f>
        <v>52.5</v>
      </c>
      <c r="F4660" s="1">
        <f>IFERROR(__xludf.DUMMYFUNCTION("""COMPUTED_VALUE"""),3.2744408E7)</f>
        <v>32744408</v>
      </c>
    </row>
    <row r="4661">
      <c r="A4661" s="2">
        <f>IFERROR(__xludf.DUMMYFUNCTION("""COMPUTED_VALUE"""),45933.66666666667)</f>
        <v>45933.66667</v>
      </c>
      <c r="B4661" s="1">
        <f>IFERROR(__xludf.DUMMYFUNCTION("""COMPUTED_VALUE"""),52.74)</f>
        <v>52.74</v>
      </c>
      <c r="C4661" s="1">
        <f>IFERROR(__xludf.DUMMYFUNCTION("""COMPUTED_VALUE"""),53.51)</f>
        <v>53.51</v>
      </c>
      <c r="D4661" s="1">
        <f>IFERROR(__xludf.DUMMYFUNCTION("""COMPUTED_VALUE"""),50.8)</f>
        <v>50.8</v>
      </c>
      <c r="E4661" s="1">
        <f>IFERROR(__xludf.DUMMYFUNCTION("""COMPUTED_VALUE"""),51.96)</f>
        <v>51.96</v>
      </c>
      <c r="F4661" s="1">
        <f>IFERROR(__xludf.DUMMYFUNCTION("""COMPUTED_VALUE"""),3.2220401E7)</f>
        <v>32220401</v>
      </c>
    </row>
    <row r="4662">
      <c r="A4662" s="2">
        <f>IFERROR(__xludf.DUMMYFUNCTION("""COMPUTED_VALUE"""),45936.66666666667)</f>
        <v>45936.66667</v>
      </c>
      <c r="B4662" s="1">
        <f>IFERROR(__xludf.DUMMYFUNCTION("""COMPUTED_VALUE"""),54.08)</f>
        <v>54.08</v>
      </c>
      <c r="C4662" s="1">
        <f>IFERROR(__xludf.DUMMYFUNCTION("""COMPUTED_VALUE"""),56.11)</f>
        <v>56.11</v>
      </c>
      <c r="D4662" s="1">
        <f>IFERROR(__xludf.DUMMYFUNCTION("""COMPUTED_VALUE"""),53.96)</f>
        <v>53.96</v>
      </c>
      <c r="E4662" s="1">
        <f>IFERROR(__xludf.DUMMYFUNCTION("""COMPUTED_VALUE"""),54.62)</f>
        <v>54.62</v>
      </c>
      <c r="F4662" s="1">
        <f>IFERROR(__xludf.DUMMYFUNCTION("""COMPUTED_VALUE"""),4.0241633E7)</f>
        <v>40241633</v>
      </c>
    </row>
    <row r="4663">
      <c r="A4663" s="2">
        <f>IFERROR(__xludf.DUMMYFUNCTION("""COMPUTED_VALUE"""),45937.66666666667)</f>
        <v>45937.66667</v>
      </c>
      <c r="B4663" s="1">
        <f>IFERROR(__xludf.DUMMYFUNCTION("""COMPUTED_VALUE"""),56.26)</f>
        <v>56.26</v>
      </c>
      <c r="C4663" s="1">
        <f>IFERROR(__xludf.DUMMYFUNCTION("""COMPUTED_VALUE"""),57.48)</f>
        <v>57.48</v>
      </c>
      <c r="D4663" s="1">
        <f>IFERROR(__xludf.DUMMYFUNCTION("""COMPUTED_VALUE"""),53.6)</f>
        <v>53.6</v>
      </c>
      <c r="E4663" s="1">
        <f>IFERROR(__xludf.DUMMYFUNCTION("""COMPUTED_VALUE"""),55.07)</f>
        <v>55.07</v>
      </c>
      <c r="F4663" s="1">
        <f>IFERROR(__xludf.DUMMYFUNCTION("""COMPUTED_VALUE"""),3.7885889E7)</f>
        <v>37885889</v>
      </c>
    </row>
    <row r="4664">
      <c r="A4664" s="2">
        <f>IFERROR(__xludf.DUMMYFUNCTION("""COMPUTED_VALUE"""),45938.66666666667)</f>
        <v>45938.66667</v>
      </c>
      <c r="B4664" s="1">
        <f>IFERROR(__xludf.DUMMYFUNCTION("""COMPUTED_VALUE"""),55.27)</f>
        <v>55.27</v>
      </c>
      <c r="C4664" s="1">
        <f>IFERROR(__xludf.DUMMYFUNCTION("""COMPUTED_VALUE"""),58.69)</f>
        <v>58.69</v>
      </c>
      <c r="D4664" s="1">
        <f>IFERROR(__xludf.DUMMYFUNCTION("""COMPUTED_VALUE"""),54.58)</f>
        <v>54.58</v>
      </c>
      <c r="E4664" s="1">
        <f>IFERROR(__xludf.DUMMYFUNCTION("""COMPUTED_VALUE"""),58.68)</f>
        <v>58.68</v>
      </c>
      <c r="F4664" s="1">
        <f>IFERROR(__xludf.DUMMYFUNCTION("""COMPUTED_VALUE"""),4.5151411E7)</f>
        <v>45151411</v>
      </c>
    </row>
    <row r="4665">
      <c r="A4665" s="2">
        <f>IFERROR(__xludf.DUMMYFUNCTION("""COMPUTED_VALUE"""),45939.66666666667)</f>
        <v>45939.66667</v>
      </c>
      <c r="B4665" s="1">
        <f>IFERROR(__xludf.DUMMYFUNCTION("""COMPUTED_VALUE"""),57.63)</f>
        <v>57.63</v>
      </c>
      <c r="C4665" s="1">
        <f>IFERROR(__xludf.DUMMYFUNCTION("""COMPUTED_VALUE"""),58.78)</f>
        <v>58.78</v>
      </c>
      <c r="D4665" s="1">
        <f>IFERROR(__xludf.DUMMYFUNCTION("""COMPUTED_VALUE"""),57.26)</f>
        <v>57.26</v>
      </c>
      <c r="E4665" s="1">
        <f>IFERROR(__xludf.DUMMYFUNCTION("""COMPUTED_VALUE"""),57.98)</f>
        <v>57.98</v>
      </c>
      <c r="F4665" s="1">
        <f>IFERROR(__xludf.DUMMYFUNCTION("""COMPUTED_VALUE"""),2.9801486E7)</f>
        <v>29801486</v>
      </c>
    </row>
    <row r="4666">
      <c r="A4666" s="2">
        <f>IFERROR(__xludf.DUMMYFUNCTION("""COMPUTED_VALUE"""),45940.66666666667)</f>
        <v>45940.66667</v>
      </c>
      <c r="B4666" s="1">
        <f>IFERROR(__xludf.DUMMYFUNCTION("""COMPUTED_VALUE"""),58.24)</f>
        <v>58.24</v>
      </c>
      <c r="C4666" s="1">
        <f>IFERROR(__xludf.DUMMYFUNCTION("""COMPUTED_VALUE"""),58.51)</f>
        <v>58.51</v>
      </c>
      <c r="D4666" s="1">
        <f>IFERROR(__xludf.DUMMYFUNCTION("""COMPUTED_VALUE"""),52.56)</f>
        <v>52.56</v>
      </c>
      <c r="E4666" s="1">
        <f>IFERROR(__xludf.DUMMYFUNCTION("""COMPUTED_VALUE"""),52.86)</f>
        <v>52.86</v>
      </c>
      <c r="F4666" s="1">
        <f>IFERROR(__xludf.DUMMYFUNCTION("""COMPUTED_VALUE"""),4.5087764E7)</f>
        <v>45087764</v>
      </c>
    </row>
    <row r="4667">
      <c r="A4667" s="2">
        <f>IFERROR(__xludf.DUMMYFUNCTION("""COMPUTED_VALUE"""),45943.66666666667)</f>
        <v>45943.66667</v>
      </c>
      <c r="B4667" s="1">
        <f>IFERROR(__xludf.DUMMYFUNCTION("""COMPUTED_VALUE"""),54.81)</f>
        <v>54.81</v>
      </c>
      <c r="C4667" s="1">
        <f>IFERROR(__xludf.DUMMYFUNCTION("""COMPUTED_VALUE"""),55.65)</f>
        <v>55.65</v>
      </c>
      <c r="D4667" s="1">
        <f>IFERROR(__xludf.DUMMYFUNCTION("""COMPUTED_VALUE"""),54.02)</f>
        <v>54.02</v>
      </c>
      <c r="E4667" s="1">
        <f>IFERROR(__xludf.DUMMYFUNCTION("""COMPUTED_VALUE"""),54.75)</f>
        <v>54.75</v>
      </c>
      <c r="F4667" s="1">
        <f>IFERROR(__xludf.DUMMYFUNCTION("""COMPUTED_VALUE"""),2.4588862E7)</f>
        <v>24588862</v>
      </c>
    </row>
    <row r="4668">
      <c r="A4668" s="2">
        <f>IFERROR(__xludf.DUMMYFUNCTION("""COMPUTED_VALUE"""),45944.66666666667)</f>
        <v>45944.66667</v>
      </c>
      <c r="B4668" s="1">
        <f>IFERROR(__xludf.DUMMYFUNCTION("""COMPUTED_VALUE"""),54.13)</f>
        <v>54.13</v>
      </c>
      <c r="C4668" s="1">
        <f>IFERROR(__xludf.DUMMYFUNCTION("""COMPUTED_VALUE"""),55.21)</f>
        <v>55.21</v>
      </c>
      <c r="D4668" s="1">
        <f>IFERROR(__xludf.DUMMYFUNCTION("""COMPUTED_VALUE"""),52.98)</f>
        <v>52.98</v>
      </c>
      <c r="E4668" s="1">
        <f>IFERROR(__xludf.DUMMYFUNCTION("""COMPUTED_VALUE"""),53.11)</f>
        <v>53.11</v>
      </c>
      <c r="F4668" s="1">
        <f>IFERROR(__xludf.DUMMYFUNCTION("""COMPUTED_VALUE"""),1.9789133E7)</f>
        <v>19789133</v>
      </c>
    </row>
    <row r="4669">
      <c r="A4669" s="2">
        <f>IFERROR(__xludf.DUMMYFUNCTION("""COMPUTED_VALUE"""),45945.66666666667)</f>
        <v>45945.66667</v>
      </c>
      <c r="B4669" s="1">
        <f>IFERROR(__xludf.DUMMYFUNCTION("""COMPUTED_VALUE"""),54.5)</f>
        <v>54.5</v>
      </c>
      <c r="C4669" s="1">
        <f>IFERROR(__xludf.DUMMYFUNCTION("""COMPUTED_VALUE"""),55.07)</f>
        <v>55.07</v>
      </c>
      <c r="D4669" s="1">
        <f>IFERROR(__xludf.DUMMYFUNCTION("""COMPUTED_VALUE"""),52.86)</f>
        <v>52.86</v>
      </c>
      <c r="E4669" s="1">
        <f>IFERROR(__xludf.DUMMYFUNCTION("""COMPUTED_VALUE"""),53.94)</f>
        <v>53.94</v>
      </c>
      <c r="F4669" s="1">
        <f>IFERROR(__xludf.DUMMYFUNCTION("""COMPUTED_VALUE"""),1.6646034E7)</f>
        <v>16646034</v>
      </c>
    </row>
    <row r="4670">
      <c r="A4670" s="2">
        <f>IFERROR(__xludf.DUMMYFUNCTION("""COMPUTED_VALUE"""),45946.66666666667)</f>
        <v>45946.66667</v>
      </c>
      <c r="B4670" s="1">
        <f>IFERROR(__xludf.DUMMYFUNCTION("""COMPUTED_VALUE"""),54.0)</f>
        <v>54</v>
      </c>
      <c r="C4670" s="1">
        <f>IFERROR(__xludf.DUMMYFUNCTION("""COMPUTED_VALUE"""),56.23)</f>
        <v>56.23</v>
      </c>
      <c r="D4670" s="1">
        <f>IFERROR(__xludf.DUMMYFUNCTION("""COMPUTED_VALUE"""),53.27)</f>
        <v>53.27</v>
      </c>
      <c r="E4670" s="1">
        <f>IFERROR(__xludf.DUMMYFUNCTION("""COMPUTED_VALUE"""),53.84)</f>
        <v>53.84</v>
      </c>
      <c r="F4670" s="1">
        <f>IFERROR(__xludf.DUMMYFUNCTION("""COMPUTED_VALUE"""),2.4656551E7)</f>
        <v>24656551</v>
      </c>
    </row>
    <row r="4671">
      <c r="A4671" s="2">
        <f>IFERROR(__xludf.DUMMYFUNCTION("""COMPUTED_VALUE"""),45947.66666666667)</f>
        <v>45947.66667</v>
      </c>
      <c r="B4671" s="1">
        <f>IFERROR(__xludf.DUMMYFUNCTION("""COMPUTED_VALUE"""),53.07)</f>
        <v>53.07</v>
      </c>
      <c r="C4671" s="1">
        <f>IFERROR(__xludf.DUMMYFUNCTION("""COMPUTED_VALUE"""),53.63)</f>
        <v>53.63</v>
      </c>
      <c r="D4671" s="1">
        <f>IFERROR(__xludf.DUMMYFUNCTION("""COMPUTED_VALUE"""),51.62)</f>
        <v>51.62</v>
      </c>
      <c r="E4671" s="1">
        <f>IFERROR(__xludf.DUMMYFUNCTION("""COMPUTED_VALUE"""),52.18)</f>
        <v>52.18</v>
      </c>
      <c r="F4671" s="1">
        <f>IFERROR(__xludf.DUMMYFUNCTION("""COMPUTED_VALUE"""),2.0681849E7)</f>
        <v>20681849</v>
      </c>
    </row>
    <row r="4672">
      <c r="A4672" s="2">
        <f>IFERROR(__xludf.DUMMYFUNCTION("""COMPUTED_VALUE"""),45950.66666666667)</f>
        <v>45950.66667</v>
      </c>
      <c r="B4672" s="1">
        <f>IFERROR(__xludf.DUMMYFUNCTION("""COMPUTED_VALUE"""),55.04)</f>
        <v>55.04</v>
      </c>
      <c r="C4672" s="1">
        <f>IFERROR(__xludf.DUMMYFUNCTION("""COMPUTED_VALUE"""),56.6)</f>
        <v>56.6</v>
      </c>
      <c r="D4672" s="1">
        <f>IFERROR(__xludf.DUMMYFUNCTION("""COMPUTED_VALUE"""),54.6)</f>
        <v>54.6</v>
      </c>
      <c r="E4672" s="1">
        <f>IFERROR(__xludf.DUMMYFUNCTION("""COMPUTED_VALUE"""),55.04)</f>
        <v>55.04</v>
      </c>
      <c r="F4672" s="1">
        <f>IFERROR(__xludf.DUMMYFUNCTION("""COMPUTED_VALUE"""),4.555331E7)</f>
        <v>45553310</v>
      </c>
    </row>
    <row r="4673">
      <c r="A4673" s="2">
        <f>IFERROR(__xludf.DUMMYFUNCTION("""COMPUTED_VALUE"""),45951.66666666667)</f>
        <v>45951.66667</v>
      </c>
      <c r="B4673" s="1">
        <f>IFERROR(__xludf.DUMMYFUNCTION("""COMPUTED_VALUE"""),55.16)</f>
        <v>55.16</v>
      </c>
      <c r="C4673" s="1">
        <f>IFERROR(__xludf.DUMMYFUNCTION("""COMPUTED_VALUE"""),55.35)</f>
        <v>55.35</v>
      </c>
      <c r="D4673" s="1">
        <f>IFERROR(__xludf.DUMMYFUNCTION("""COMPUTED_VALUE"""),53.91)</f>
        <v>53.91</v>
      </c>
      <c r="E4673" s="1">
        <f>IFERROR(__xludf.DUMMYFUNCTION("""COMPUTED_VALUE"""),54.82)</f>
        <v>54.82</v>
      </c>
      <c r="F4673" s="1">
        <f>IFERROR(__xludf.DUMMYFUNCTION("""COMPUTED_VALUE"""),2.9016458E7)</f>
        <v>29016458</v>
      </c>
    </row>
    <row r="4674">
      <c r="A4674" s="2">
        <f>IFERROR(__xludf.DUMMYFUNCTION("""COMPUTED_VALUE"""),45952.66666666667)</f>
        <v>45952.66667</v>
      </c>
      <c r="B4674" s="1">
        <f>IFERROR(__xludf.DUMMYFUNCTION("""COMPUTED_VALUE"""),54.49)</f>
        <v>54.49</v>
      </c>
      <c r="C4674" s="1">
        <f>IFERROR(__xludf.DUMMYFUNCTION("""COMPUTED_VALUE"""),54.53)</f>
        <v>54.53</v>
      </c>
      <c r="D4674" s="1">
        <f>IFERROR(__xludf.DUMMYFUNCTION("""COMPUTED_VALUE"""),50.03)</f>
        <v>50.03</v>
      </c>
      <c r="E4674" s="1">
        <f>IFERROR(__xludf.DUMMYFUNCTION("""COMPUTED_VALUE"""),52.5)</f>
        <v>52.5</v>
      </c>
      <c r="F4674" s="1">
        <f>IFERROR(__xludf.DUMMYFUNCTION("""COMPUTED_VALUE"""),3.4326246E7)</f>
        <v>34326246</v>
      </c>
    </row>
    <row r="4675">
      <c r="A4675" s="2">
        <f>IFERROR(__xludf.DUMMYFUNCTION("""COMPUTED_VALUE"""),45953.66666666667)</f>
        <v>45953.66667</v>
      </c>
      <c r="B4675" s="1">
        <f>IFERROR(__xludf.DUMMYFUNCTION("""COMPUTED_VALUE"""),51.73)</f>
        <v>51.73</v>
      </c>
      <c r="C4675" s="1">
        <f>IFERROR(__xludf.DUMMYFUNCTION("""COMPUTED_VALUE"""),51.84)</f>
        <v>51.84</v>
      </c>
      <c r="D4675" s="1">
        <f>IFERROR(__xludf.DUMMYFUNCTION("""COMPUTED_VALUE"""),47.38)</f>
        <v>47.38</v>
      </c>
      <c r="E4675" s="1">
        <f>IFERROR(__xludf.DUMMYFUNCTION("""COMPUTED_VALUE"""),47.92)</f>
        <v>47.92</v>
      </c>
      <c r="F4675" s="1">
        <f>IFERROR(__xludf.DUMMYFUNCTION("""COMPUTED_VALUE"""),5.7175672E7)</f>
        <v>57175672</v>
      </c>
    </row>
    <row r="4676">
      <c r="A4676" s="2">
        <f>IFERROR(__xludf.DUMMYFUNCTION("""COMPUTED_VALUE"""),45954.66666666667)</f>
        <v>45954.66667</v>
      </c>
      <c r="B4676" s="1">
        <f>IFERROR(__xludf.DUMMYFUNCTION("""COMPUTED_VALUE"""),48.88)</f>
        <v>48.88</v>
      </c>
      <c r="C4676" s="1">
        <f>IFERROR(__xludf.DUMMYFUNCTION("""COMPUTED_VALUE"""),49.64)</f>
        <v>49.64</v>
      </c>
      <c r="D4676" s="1">
        <f>IFERROR(__xludf.DUMMYFUNCTION("""COMPUTED_VALUE"""),48.21)</f>
        <v>48.21</v>
      </c>
      <c r="E4676" s="1">
        <f>IFERROR(__xludf.DUMMYFUNCTION("""COMPUTED_VALUE"""),48.29)</f>
        <v>48.29</v>
      </c>
      <c r="F4676" s="1">
        <f>IFERROR(__xludf.DUMMYFUNCTION("""COMPUTED_VALUE"""),2.5206612E7)</f>
        <v>25206612</v>
      </c>
    </row>
    <row r="4677">
      <c r="A4677" s="2">
        <f>IFERROR(__xludf.DUMMYFUNCTION("""COMPUTED_VALUE"""),45957.66666666667)</f>
        <v>45957.66667</v>
      </c>
      <c r="B4677" s="1">
        <f>IFERROR(__xludf.DUMMYFUNCTION("""COMPUTED_VALUE"""),49.72)</f>
        <v>49.72</v>
      </c>
      <c r="C4677" s="1">
        <f>IFERROR(__xludf.DUMMYFUNCTION("""COMPUTED_VALUE"""),51.63)</f>
        <v>51.63</v>
      </c>
      <c r="D4677" s="1">
        <f>IFERROR(__xludf.DUMMYFUNCTION("""COMPUTED_VALUE"""),49.72)</f>
        <v>49.72</v>
      </c>
      <c r="E4677" s="1">
        <f>IFERROR(__xludf.DUMMYFUNCTION("""COMPUTED_VALUE"""),51.57)</f>
        <v>51.57</v>
      </c>
      <c r="F4677" s="1">
        <f>IFERROR(__xludf.DUMMYFUNCTION("""COMPUTED_VALUE"""),2.743447E7)</f>
        <v>27434470</v>
      </c>
    </row>
    <row r="4678">
      <c r="A4678" s="2">
        <f>IFERROR(__xludf.DUMMYFUNCTION("""COMPUTED_VALUE"""),45958.66666666667)</f>
        <v>45958.66667</v>
      </c>
      <c r="B4678" s="1">
        <f>IFERROR(__xludf.DUMMYFUNCTION("""COMPUTED_VALUE"""),51.67)</f>
        <v>51.67</v>
      </c>
      <c r="C4678" s="1">
        <f>IFERROR(__xludf.DUMMYFUNCTION("""COMPUTED_VALUE"""),54.03)</f>
        <v>54.03</v>
      </c>
      <c r="D4678" s="1">
        <f>IFERROR(__xludf.DUMMYFUNCTION("""COMPUTED_VALUE"""),51.37)</f>
        <v>51.37</v>
      </c>
      <c r="E4678" s="1">
        <f>IFERROR(__xludf.DUMMYFUNCTION("""COMPUTED_VALUE"""),52.36)</f>
        <v>52.36</v>
      </c>
      <c r="F4678" s="1">
        <f>IFERROR(__xludf.DUMMYFUNCTION("""COMPUTED_VALUE"""),2.806441E7)</f>
        <v>28064410</v>
      </c>
    </row>
    <row r="4679">
      <c r="A4679" s="2">
        <f>IFERROR(__xludf.DUMMYFUNCTION("""COMPUTED_VALUE"""),45959.66666666667)</f>
        <v>45959.66667</v>
      </c>
      <c r="B4679" s="1">
        <f>IFERROR(__xludf.DUMMYFUNCTION("""COMPUTED_VALUE"""),53.8)</f>
        <v>53.8</v>
      </c>
      <c r="C4679" s="1">
        <f>IFERROR(__xludf.DUMMYFUNCTION("""COMPUTED_VALUE"""),54.08)</f>
        <v>54.08</v>
      </c>
      <c r="D4679" s="1">
        <f>IFERROR(__xludf.DUMMYFUNCTION("""COMPUTED_VALUE"""),51.56)</f>
        <v>51.56</v>
      </c>
      <c r="E4679" s="1">
        <f>IFERROR(__xludf.DUMMYFUNCTION("""COMPUTED_VALUE"""),52.69)</f>
        <v>52.69</v>
      </c>
      <c r="F4679" s="1">
        <f>IFERROR(__xludf.DUMMYFUNCTION("""COMPUTED_VALUE"""),2.5028515E7)</f>
        <v>25028515</v>
      </c>
    </row>
    <row r="4680">
      <c r="A4680" s="2">
        <f>IFERROR(__xludf.DUMMYFUNCTION("""COMPUTED_VALUE"""),45960.66666666667)</f>
        <v>45960.66667</v>
      </c>
      <c r="B4680" s="1">
        <f>IFERROR(__xludf.DUMMYFUNCTION("""COMPUTED_VALUE"""),51.9)</f>
        <v>51.9</v>
      </c>
      <c r="C4680" s="1">
        <f>IFERROR(__xludf.DUMMYFUNCTION("""COMPUTED_VALUE"""),52.32)</f>
        <v>52.32</v>
      </c>
      <c r="D4680" s="1">
        <f>IFERROR(__xludf.DUMMYFUNCTION("""COMPUTED_VALUE"""),50.33)</f>
        <v>50.33</v>
      </c>
      <c r="E4680" s="1">
        <f>IFERROR(__xludf.DUMMYFUNCTION("""COMPUTED_VALUE"""),50.37)</f>
        <v>50.37</v>
      </c>
      <c r="F4680" s="1">
        <f>IFERROR(__xludf.DUMMYFUNCTION("""COMPUTED_VALUE"""),1.7736566E7)</f>
        <v>17736566</v>
      </c>
    </row>
    <row r="4681">
      <c r="A4681" s="2">
        <f>IFERROR(__xludf.DUMMYFUNCTION("""COMPUTED_VALUE"""),45961.66666666667)</f>
        <v>45961.66667</v>
      </c>
      <c r="B4681" s="1">
        <f>IFERROR(__xludf.DUMMYFUNCTION("""COMPUTED_VALUE"""),51.39)</f>
        <v>51.39</v>
      </c>
      <c r="C4681" s="1">
        <f>IFERROR(__xludf.DUMMYFUNCTION("""COMPUTED_VALUE"""),52.99)</f>
        <v>52.99</v>
      </c>
      <c r="D4681" s="1">
        <f>IFERROR(__xludf.DUMMYFUNCTION("""COMPUTED_VALUE"""),50.8)</f>
        <v>50.8</v>
      </c>
      <c r="E4681" s="1">
        <f>IFERROR(__xludf.DUMMYFUNCTION("""COMPUTED_VALUE"""),51.96)</f>
        <v>51.96</v>
      </c>
      <c r="F4681" s="1">
        <f>IFERROR(__xludf.DUMMYFUNCTION("""COMPUTED_VALUE"""),1.9822788E7)</f>
        <v>19822788</v>
      </c>
    </row>
    <row r="4682">
      <c r="A4682" s="2">
        <f>IFERROR(__xludf.DUMMYFUNCTION("""COMPUTED_VALUE"""),45964.66666666667)</f>
        <v>45964.66667</v>
      </c>
      <c r="B4682" s="1">
        <f>IFERROR(__xludf.DUMMYFUNCTION("""COMPUTED_VALUE"""),52.87)</f>
        <v>52.87</v>
      </c>
      <c r="C4682" s="1">
        <f>IFERROR(__xludf.DUMMYFUNCTION("""COMPUTED_VALUE"""),53.01)</f>
        <v>53.01</v>
      </c>
      <c r="D4682" s="1">
        <f>IFERROR(__xludf.DUMMYFUNCTION("""COMPUTED_VALUE"""),50.55)</f>
        <v>50.55</v>
      </c>
      <c r="E4682" s="1">
        <f>IFERROR(__xludf.DUMMYFUNCTION("""COMPUTED_VALUE"""),50.75)</f>
        <v>50.75</v>
      </c>
      <c r="F4682" s="1">
        <f>IFERROR(__xludf.DUMMYFUNCTION("""COMPUTED_VALUE"""),2.3811285E7)</f>
        <v>23811285</v>
      </c>
    </row>
    <row r="4683">
      <c r="A4683" s="2">
        <f>IFERROR(__xludf.DUMMYFUNCTION("""COMPUTED_VALUE"""),45965.66666666667)</f>
        <v>45965.66667</v>
      </c>
      <c r="B4683" s="1">
        <f>IFERROR(__xludf.DUMMYFUNCTION("""COMPUTED_VALUE"""),48.63)</f>
        <v>48.63</v>
      </c>
      <c r="C4683" s="1">
        <f>IFERROR(__xludf.DUMMYFUNCTION("""COMPUTED_VALUE"""),49.43)</f>
        <v>49.43</v>
      </c>
      <c r="D4683" s="1">
        <f>IFERROR(__xludf.DUMMYFUNCTION("""COMPUTED_VALUE"""),46.86)</f>
        <v>46.86</v>
      </c>
      <c r="E4683" s="1">
        <f>IFERROR(__xludf.DUMMYFUNCTION("""COMPUTED_VALUE"""),47.4)</f>
        <v>47.4</v>
      </c>
      <c r="F4683" s="1">
        <f>IFERROR(__xludf.DUMMYFUNCTION("""COMPUTED_VALUE"""),3.7973477E7)</f>
        <v>37973477</v>
      </c>
    </row>
    <row r="4684">
      <c r="A4684" s="2">
        <f>IFERROR(__xludf.DUMMYFUNCTION("""COMPUTED_VALUE"""),45966.66666666667)</f>
        <v>45966.66667</v>
      </c>
      <c r="B4684" s="1">
        <f>IFERROR(__xludf.DUMMYFUNCTION("""COMPUTED_VALUE"""),44.98)</f>
        <v>44.98</v>
      </c>
      <c r="C4684" s="1">
        <f>IFERROR(__xludf.DUMMYFUNCTION("""COMPUTED_VALUE"""),46.34)</f>
        <v>46.34</v>
      </c>
      <c r="D4684" s="1">
        <f>IFERROR(__xludf.DUMMYFUNCTION("""COMPUTED_VALUE"""),42.02)</f>
        <v>42.02</v>
      </c>
      <c r="E4684" s="1">
        <f>IFERROR(__xludf.DUMMYFUNCTION("""COMPUTED_VALUE"""),42.03)</f>
        <v>42.03</v>
      </c>
      <c r="F4684" s="1">
        <f>IFERROR(__xludf.DUMMYFUNCTION("""COMPUTED_VALUE"""),6.1413576E7)</f>
        <v>61413576</v>
      </c>
    </row>
    <row r="4685">
      <c r="A4685" s="2">
        <f>IFERROR(__xludf.DUMMYFUNCTION("""COMPUTED_VALUE"""),45967.66666666667)</f>
        <v>45967.66667</v>
      </c>
      <c r="B4685" s="1">
        <f>IFERROR(__xludf.DUMMYFUNCTION("""COMPUTED_VALUE"""),42.5)</f>
        <v>42.5</v>
      </c>
      <c r="C4685" s="1">
        <f>IFERROR(__xludf.DUMMYFUNCTION("""COMPUTED_VALUE"""),42.82)</f>
        <v>42.82</v>
      </c>
      <c r="D4685" s="1">
        <f>IFERROR(__xludf.DUMMYFUNCTION("""COMPUTED_VALUE"""),40.3)</f>
        <v>40.3</v>
      </c>
      <c r="E4685" s="1">
        <f>IFERROR(__xludf.DUMMYFUNCTION("""COMPUTED_VALUE"""),40.34)</f>
        <v>40.34</v>
      </c>
      <c r="F4685" s="1">
        <f>IFERROR(__xludf.DUMMYFUNCTION("""COMPUTED_VALUE"""),3.2092126E7)</f>
        <v>32092126</v>
      </c>
    </row>
    <row r="4686">
      <c r="A4686" s="2">
        <f>IFERROR(__xludf.DUMMYFUNCTION("""COMPUTED_VALUE"""),45968.66666666667)</f>
        <v>45968.66667</v>
      </c>
      <c r="B4686" s="1">
        <f>IFERROR(__xludf.DUMMYFUNCTION("""COMPUTED_VALUE"""),39.85)</f>
        <v>39.85</v>
      </c>
      <c r="C4686" s="1">
        <f>IFERROR(__xludf.DUMMYFUNCTION("""COMPUTED_VALUE"""),40.09)</f>
        <v>40.09</v>
      </c>
      <c r="D4686" s="1">
        <f>IFERROR(__xludf.DUMMYFUNCTION("""COMPUTED_VALUE"""),38.14)</f>
        <v>38.14</v>
      </c>
      <c r="E4686" s="1">
        <f>IFERROR(__xludf.DUMMYFUNCTION("""COMPUTED_VALUE"""),39.76)</f>
        <v>39.76</v>
      </c>
      <c r="F4686" s="1">
        <f>IFERROR(__xludf.DUMMYFUNCTION("""COMPUTED_VALUE"""),3.2960238E7)</f>
        <v>32960238</v>
      </c>
    </row>
    <row r="4687">
      <c r="A4687" s="2">
        <f>IFERROR(__xludf.DUMMYFUNCTION("""COMPUTED_VALUE"""),45971.66666666667)</f>
        <v>45971.66667</v>
      </c>
      <c r="B4687" s="1">
        <f>IFERROR(__xludf.DUMMYFUNCTION("""COMPUTED_VALUE"""),41.46)</f>
        <v>41.46</v>
      </c>
      <c r="C4687" s="1">
        <f>IFERROR(__xludf.DUMMYFUNCTION("""COMPUTED_VALUE"""),41.63)</f>
        <v>41.63</v>
      </c>
      <c r="D4687" s="1">
        <f>IFERROR(__xludf.DUMMYFUNCTION("""COMPUTED_VALUE"""),39.9)</f>
        <v>39.9</v>
      </c>
      <c r="E4687" s="1">
        <f>IFERROR(__xludf.DUMMYFUNCTION("""COMPUTED_VALUE"""),40.19)</f>
        <v>40.19</v>
      </c>
      <c r="F4687" s="1">
        <f>IFERROR(__xludf.DUMMYFUNCTION("""COMPUTED_VALUE"""),2.6396732E7)</f>
        <v>26396732</v>
      </c>
    </row>
    <row r="4688">
      <c r="A4688" s="2">
        <f>IFERROR(__xludf.DUMMYFUNCTION("""COMPUTED_VALUE"""),45972.66666666667)</f>
        <v>45972.66667</v>
      </c>
      <c r="B4688" s="1">
        <f>IFERROR(__xludf.DUMMYFUNCTION("""COMPUTED_VALUE"""),39.99)</f>
        <v>39.99</v>
      </c>
      <c r="C4688" s="1">
        <f>IFERROR(__xludf.DUMMYFUNCTION("""COMPUTED_VALUE"""),39.99)</f>
        <v>39.99</v>
      </c>
      <c r="D4688" s="1">
        <f>IFERROR(__xludf.DUMMYFUNCTION("""COMPUTED_VALUE"""),38.58)</f>
        <v>38.58</v>
      </c>
      <c r="E4688" s="1">
        <f>IFERROR(__xludf.DUMMYFUNCTION("""COMPUTED_VALUE"""),38.82)</f>
        <v>38.82</v>
      </c>
      <c r="F4688" s="1">
        <f>IFERROR(__xludf.DUMMYFUNCTION("""COMPUTED_VALUE"""),2.1707766E7)</f>
        <v>21707766</v>
      </c>
    </row>
    <row r="4689">
      <c r="A4689" s="2">
        <f>IFERROR(__xludf.DUMMYFUNCTION("""COMPUTED_VALUE"""),45973.66666666667)</f>
        <v>45973.66667</v>
      </c>
      <c r="B4689" s="1">
        <f>IFERROR(__xludf.DUMMYFUNCTION("""COMPUTED_VALUE"""),39.19)</f>
        <v>39.19</v>
      </c>
      <c r="C4689" s="1">
        <f>IFERROR(__xludf.DUMMYFUNCTION("""COMPUTED_VALUE"""),39.45)</f>
        <v>39.45</v>
      </c>
      <c r="D4689" s="1">
        <f>IFERROR(__xludf.DUMMYFUNCTION("""COMPUTED_VALUE"""),37.57)</f>
        <v>37.57</v>
      </c>
      <c r="E4689" s="1">
        <f>IFERROR(__xludf.DUMMYFUNCTION("""COMPUTED_VALUE"""),37.91)</f>
        <v>37.91</v>
      </c>
      <c r="F4689" s="1">
        <f>IFERROR(__xludf.DUMMYFUNCTION("""COMPUTED_VALUE"""),2.4749669E7)</f>
        <v>24749669</v>
      </c>
    </row>
    <row r="4690">
      <c r="A4690" s="2">
        <f>IFERROR(__xludf.DUMMYFUNCTION("""COMPUTED_VALUE"""),45974.66666666667)</f>
        <v>45974.66667</v>
      </c>
      <c r="B4690" s="1">
        <f>IFERROR(__xludf.DUMMYFUNCTION("""COMPUTED_VALUE"""),37.76)</f>
        <v>37.76</v>
      </c>
      <c r="C4690" s="1">
        <f>IFERROR(__xludf.DUMMYFUNCTION("""COMPUTED_VALUE"""),37.8)</f>
        <v>37.8</v>
      </c>
      <c r="D4690" s="1">
        <f>IFERROR(__xludf.DUMMYFUNCTION("""COMPUTED_VALUE"""),34.78)</f>
        <v>34.78</v>
      </c>
      <c r="E4690" s="1">
        <f>IFERROR(__xludf.DUMMYFUNCTION("""COMPUTED_VALUE"""),35.09)</f>
        <v>35.09</v>
      </c>
      <c r="F4690" s="1">
        <f>IFERROR(__xludf.DUMMYFUNCTION("""COMPUTED_VALUE"""),3.747153E7)</f>
        <v>37471530</v>
      </c>
    </row>
    <row r="4691">
      <c r="A4691" s="2">
        <f>IFERROR(__xludf.DUMMYFUNCTION("""COMPUTED_VALUE"""),45975.66666666667)</f>
        <v>45975.66667</v>
      </c>
      <c r="B4691" s="1">
        <f>IFERROR(__xludf.DUMMYFUNCTION("""COMPUTED_VALUE"""),34.24)</f>
        <v>34.24</v>
      </c>
      <c r="C4691" s="1">
        <f>IFERROR(__xludf.DUMMYFUNCTION("""COMPUTED_VALUE"""),37.35)</f>
        <v>37.35</v>
      </c>
      <c r="D4691" s="1">
        <f>IFERROR(__xludf.DUMMYFUNCTION("""COMPUTED_VALUE"""),33.69)</f>
        <v>33.69</v>
      </c>
      <c r="E4691" s="1">
        <f>IFERROR(__xludf.DUMMYFUNCTION("""COMPUTED_VALUE"""),36.42)</f>
        <v>36.42</v>
      </c>
      <c r="F4691" s="1">
        <f>IFERROR(__xludf.DUMMYFUNCTION("""COMPUTED_VALUE"""),3.7325154E7)</f>
        <v>37325154</v>
      </c>
    </row>
    <row r="4692">
      <c r="A4692" s="2">
        <f>IFERROR(__xludf.DUMMYFUNCTION("""COMPUTED_VALUE"""),45978.66666666667)</f>
        <v>45978.66667</v>
      </c>
      <c r="B4692" s="1">
        <f>IFERROR(__xludf.DUMMYFUNCTION("""COMPUTED_VALUE"""),35.58)</f>
        <v>35.58</v>
      </c>
      <c r="C4692" s="1">
        <f>IFERROR(__xludf.DUMMYFUNCTION("""COMPUTED_VALUE"""),35.82)</f>
        <v>35.82</v>
      </c>
      <c r="D4692" s="1">
        <f>IFERROR(__xludf.DUMMYFUNCTION("""COMPUTED_VALUE"""),33.64)</f>
        <v>33.64</v>
      </c>
      <c r="E4692" s="1">
        <f>IFERROR(__xludf.DUMMYFUNCTION("""COMPUTED_VALUE"""),34.1)</f>
        <v>34.1</v>
      </c>
      <c r="F4692" s="1">
        <f>IFERROR(__xludf.DUMMYFUNCTION("""COMPUTED_VALUE"""),3.2689527E7)</f>
        <v>32689527</v>
      </c>
    </row>
    <row r="4693">
      <c r="A4693" s="2">
        <f>IFERROR(__xludf.DUMMYFUNCTION("""COMPUTED_VALUE"""),45979.66666666667)</f>
        <v>45979.66667</v>
      </c>
      <c r="B4693" s="1">
        <f>IFERROR(__xludf.DUMMYFUNCTION("""COMPUTED_VALUE"""),34.31)</f>
        <v>34.31</v>
      </c>
      <c r="C4693" s="1">
        <f>IFERROR(__xludf.DUMMYFUNCTION("""COMPUTED_VALUE"""),35.78)</f>
        <v>35.78</v>
      </c>
      <c r="D4693" s="1">
        <f>IFERROR(__xludf.DUMMYFUNCTION("""COMPUTED_VALUE"""),33.55)</f>
        <v>33.55</v>
      </c>
      <c r="E4693" s="1">
        <f>IFERROR(__xludf.DUMMYFUNCTION("""COMPUTED_VALUE"""),34.9)</f>
        <v>34.9</v>
      </c>
      <c r="F4693" s="1">
        <f>IFERROR(__xludf.DUMMYFUNCTION("""COMPUTED_VALUE"""),2.8024905E7)</f>
        <v>28024905</v>
      </c>
    </row>
    <row r="4694">
      <c r="A4694" s="2">
        <f>IFERROR(__xludf.DUMMYFUNCTION("""COMPUTED_VALUE"""),45980.66666666667)</f>
        <v>45980.66667</v>
      </c>
      <c r="B4694" s="1">
        <f>IFERROR(__xludf.DUMMYFUNCTION("""COMPUTED_VALUE"""),34.55)</f>
        <v>34.55</v>
      </c>
      <c r="C4694" s="1">
        <f>IFERROR(__xludf.DUMMYFUNCTION("""COMPUTED_VALUE"""),34.97)</f>
        <v>34.97</v>
      </c>
      <c r="D4694" s="1">
        <f>IFERROR(__xludf.DUMMYFUNCTION("""COMPUTED_VALUE"""),33.2)</f>
        <v>33.2</v>
      </c>
      <c r="E4694" s="1">
        <f>IFERROR(__xludf.DUMMYFUNCTION("""COMPUTED_VALUE"""),33.73)</f>
        <v>33.73</v>
      </c>
      <c r="F4694" s="1">
        <f>IFERROR(__xludf.DUMMYFUNCTION("""COMPUTED_VALUE"""),2.8892793E7)</f>
        <v>28892793</v>
      </c>
    </row>
    <row r="4695">
      <c r="A4695" s="2">
        <f>IFERROR(__xludf.DUMMYFUNCTION("""COMPUTED_VALUE"""),45981.66666666667)</f>
        <v>45981.66667</v>
      </c>
      <c r="B4695" s="1">
        <f>IFERROR(__xludf.DUMMYFUNCTION("""COMPUTED_VALUE"""),35.53)</f>
        <v>35.53</v>
      </c>
      <c r="C4695" s="1">
        <f>IFERROR(__xludf.DUMMYFUNCTION("""COMPUTED_VALUE"""),35.54)</f>
        <v>35.54</v>
      </c>
      <c r="D4695" s="1">
        <f>IFERROR(__xludf.DUMMYFUNCTION("""COMPUTED_VALUE"""),31.45)</f>
        <v>31.45</v>
      </c>
      <c r="E4695" s="1">
        <f>IFERROR(__xludf.DUMMYFUNCTION("""COMPUTED_VALUE"""),31.56)</f>
        <v>31.56</v>
      </c>
      <c r="F4695" s="1">
        <f>IFERROR(__xludf.DUMMYFUNCTION("""COMPUTED_VALUE"""),3.7801477E7)</f>
        <v>37801477</v>
      </c>
    </row>
    <row r="4696">
      <c r="A4696" s="2">
        <f>IFERROR(__xludf.DUMMYFUNCTION("""COMPUTED_VALUE"""),45982.66666666667)</f>
        <v>45982.66667</v>
      </c>
      <c r="B4696" s="1">
        <f>IFERROR(__xludf.DUMMYFUNCTION("""COMPUTED_VALUE"""),32.14)</f>
        <v>32.14</v>
      </c>
      <c r="C4696" s="1">
        <f>IFERROR(__xludf.DUMMYFUNCTION("""COMPUTED_VALUE"""),32.57)</f>
        <v>32.57</v>
      </c>
      <c r="D4696" s="1">
        <f>IFERROR(__xludf.DUMMYFUNCTION("""COMPUTED_VALUE"""),31.03)</f>
        <v>31.03</v>
      </c>
      <c r="E4696" s="1">
        <f>IFERROR(__xludf.DUMMYFUNCTION("""COMPUTED_VALUE"""),32.19)</f>
        <v>32.19</v>
      </c>
      <c r="F4696" s="1">
        <f>IFERROR(__xludf.DUMMYFUNCTION("""COMPUTED_VALUE"""),2.8321163E7)</f>
        <v>28321163</v>
      </c>
    </row>
    <row r="4697">
      <c r="A4697" s="2">
        <f>IFERROR(__xludf.DUMMYFUNCTION("""COMPUTED_VALUE"""),45985.66666666667)</f>
        <v>45985.66667</v>
      </c>
      <c r="B4697" s="1">
        <f>IFERROR(__xludf.DUMMYFUNCTION("""COMPUTED_VALUE"""),32.39)</f>
        <v>32.39</v>
      </c>
      <c r="C4697" s="1">
        <f>IFERROR(__xludf.DUMMYFUNCTION("""COMPUTED_VALUE"""),33.54)</f>
        <v>33.54</v>
      </c>
      <c r="D4697" s="1">
        <f>IFERROR(__xludf.DUMMYFUNCTION("""COMPUTED_VALUE"""),31.98)</f>
        <v>31.98</v>
      </c>
      <c r="E4697" s="1">
        <f>IFERROR(__xludf.DUMMYFUNCTION("""COMPUTED_VALUE"""),33.32)</f>
        <v>33.32</v>
      </c>
      <c r="F4697" s="1">
        <f>IFERROR(__xludf.DUMMYFUNCTION("""COMPUTED_VALUE"""),2.7885144E7)</f>
        <v>27885144</v>
      </c>
    </row>
    <row r="4698">
      <c r="A4698" s="2">
        <f>IFERROR(__xludf.DUMMYFUNCTION("""COMPUTED_VALUE"""),45986.66666666667)</f>
        <v>45986.66667</v>
      </c>
      <c r="B4698" s="1">
        <f>IFERROR(__xludf.DUMMYFUNCTION("""COMPUTED_VALUE"""),32.16)</f>
        <v>32.16</v>
      </c>
      <c r="C4698" s="1">
        <f>IFERROR(__xludf.DUMMYFUNCTION("""COMPUTED_VALUE"""),32.63)</f>
        <v>32.63</v>
      </c>
      <c r="D4698" s="1">
        <f>IFERROR(__xludf.DUMMYFUNCTION("""COMPUTED_VALUE"""),31.17)</f>
        <v>31.17</v>
      </c>
      <c r="E4698" s="1">
        <f>IFERROR(__xludf.DUMMYFUNCTION("""COMPUTED_VALUE"""),32.48)</f>
        <v>32.48</v>
      </c>
      <c r="F4698" s="1">
        <f>IFERROR(__xludf.DUMMYFUNCTION("""COMPUTED_VALUE"""),2.2199789E7)</f>
        <v>22199789</v>
      </c>
    </row>
    <row r="4699">
      <c r="A4699" s="2">
        <f>IFERROR(__xludf.DUMMYFUNCTION("""COMPUTED_VALUE"""),45987.66666666667)</f>
        <v>45987.66667</v>
      </c>
      <c r="B4699" s="1">
        <f>IFERROR(__xludf.DUMMYFUNCTION("""COMPUTED_VALUE"""),33.19)</f>
        <v>33.19</v>
      </c>
      <c r="C4699" s="1">
        <f>IFERROR(__xludf.DUMMYFUNCTION("""COMPUTED_VALUE"""),33.42)</f>
        <v>33.42</v>
      </c>
      <c r="D4699" s="1">
        <f>IFERROR(__xludf.DUMMYFUNCTION("""COMPUTED_VALUE"""),32.45)</f>
        <v>32.45</v>
      </c>
      <c r="E4699" s="1">
        <f>IFERROR(__xludf.DUMMYFUNCTION("""COMPUTED_VALUE"""),32.83)</f>
        <v>32.83</v>
      </c>
      <c r="F4699" s="1">
        <f>IFERROR(__xludf.DUMMYFUNCTION("""COMPUTED_VALUE"""),2.1642423E7)</f>
        <v>21642423</v>
      </c>
    </row>
    <row r="4700">
      <c r="A4700" s="2">
        <f>IFERROR(__xludf.DUMMYFUNCTION("""COMPUTED_VALUE"""),45989.54513888889)</f>
        <v>45989.54514</v>
      </c>
      <c r="B4700" s="1">
        <f>IFERROR(__xludf.DUMMYFUNCTION("""COMPUTED_VALUE"""),33.33)</f>
        <v>33.33</v>
      </c>
      <c r="C4700" s="1">
        <f>IFERROR(__xludf.DUMMYFUNCTION("""COMPUTED_VALUE"""),33.86)</f>
        <v>33.86</v>
      </c>
      <c r="D4700" s="1">
        <f>IFERROR(__xludf.DUMMYFUNCTION("""COMPUTED_VALUE"""),32.88)</f>
        <v>32.88</v>
      </c>
      <c r="E4700" s="1">
        <f>IFERROR(__xludf.DUMMYFUNCTION("""COMPUTED_VALUE"""),33.85)</f>
        <v>33.85</v>
      </c>
      <c r="F4700" s="1">
        <f>IFERROR(__xludf.DUMMYFUNCTION("""COMPUTED_VALUE"""),1.0755849E7)</f>
        <v>10755849</v>
      </c>
    </row>
    <row r="4701">
      <c r="A4701" s="2">
        <f>IFERROR(__xludf.DUMMYFUNCTION("""COMPUTED_VALUE"""),45992.66666666667)</f>
        <v>45992.66667</v>
      </c>
      <c r="B4701" s="1">
        <f>IFERROR(__xludf.DUMMYFUNCTION("""COMPUTED_VALUE"""),33.37)</f>
        <v>33.37</v>
      </c>
      <c r="C4701" s="1">
        <f>IFERROR(__xludf.DUMMYFUNCTION("""COMPUTED_VALUE"""),33.95)</f>
        <v>33.95</v>
      </c>
      <c r="D4701" s="1">
        <f>IFERROR(__xludf.DUMMYFUNCTION("""COMPUTED_VALUE"""),32.57)</f>
        <v>32.57</v>
      </c>
      <c r="E4701" s="1">
        <f>IFERROR(__xludf.DUMMYFUNCTION("""COMPUTED_VALUE"""),33.41)</f>
        <v>33.41</v>
      </c>
      <c r="F4701" s="1">
        <f>IFERROR(__xludf.DUMMYFUNCTION("""COMPUTED_VALUE"""),2.0952352E7)</f>
        <v>20952352</v>
      </c>
    </row>
    <row r="4702">
      <c r="A4702" s="2">
        <f>IFERROR(__xludf.DUMMYFUNCTION("""COMPUTED_VALUE"""),45993.66666666667)</f>
        <v>45993.66667</v>
      </c>
      <c r="B4702" s="1">
        <f>IFERROR(__xludf.DUMMYFUNCTION("""COMPUTED_VALUE"""),33.59)</f>
        <v>33.59</v>
      </c>
      <c r="C4702" s="1">
        <f>IFERROR(__xludf.DUMMYFUNCTION("""COMPUTED_VALUE"""),34.33)</f>
        <v>34.33</v>
      </c>
      <c r="D4702" s="1">
        <f>IFERROR(__xludf.DUMMYFUNCTION("""COMPUTED_VALUE"""),32.89)</f>
        <v>32.89</v>
      </c>
      <c r="E4702" s="1">
        <f>IFERROR(__xludf.DUMMYFUNCTION("""COMPUTED_VALUE"""),32.92)</f>
        <v>32.92</v>
      </c>
      <c r="F4702" s="1">
        <f>IFERROR(__xludf.DUMMYFUNCTION("""COMPUTED_VALUE"""),1.9433999E7)</f>
        <v>19433999</v>
      </c>
    </row>
    <row r="4703">
      <c r="A4703" s="2">
        <f>IFERROR(__xludf.DUMMYFUNCTION("""COMPUTED_VALUE"""),45994.66666666667)</f>
        <v>45994.66667</v>
      </c>
      <c r="B4703" s="1">
        <f>IFERROR(__xludf.DUMMYFUNCTION("""COMPUTED_VALUE"""),33.0)</f>
        <v>33</v>
      </c>
      <c r="C4703" s="1">
        <f>IFERROR(__xludf.DUMMYFUNCTION("""COMPUTED_VALUE"""),33.71)</f>
        <v>33.71</v>
      </c>
      <c r="D4703" s="1">
        <f>IFERROR(__xludf.DUMMYFUNCTION("""COMPUTED_VALUE"""),32.67)</f>
        <v>32.67</v>
      </c>
      <c r="E4703" s="1">
        <f>IFERROR(__xludf.DUMMYFUNCTION("""COMPUTED_VALUE"""),33.68)</f>
        <v>33.68</v>
      </c>
      <c r="F4703" s="1">
        <f>IFERROR(__xludf.DUMMYFUNCTION("""COMPUTED_VALUE"""),1.6253151E7)</f>
        <v>16253151</v>
      </c>
    </row>
    <row r="4704">
      <c r="A4704" s="2">
        <f>IFERROR(__xludf.DUMMYFUNCTION("""COMPUTED_VALUE"""),45995.66666666667)</f>
        <v>45995.66667</v>
      </c>
      <c r="B4704" s="1">
        <f>IFERROR(__xludf.DUMMYFUNCTION("""COMPUTED_VALUE"""),33.5)</f>
        <v>33.5</v>
      </c>
      <c r="C4704" s="1">
        <f>IFERROR(__xludf.DUMMYFUNCTION("""COMPUTED_VALUE"""),34.41)</f>
        <v>34.41</v>
      </c>
      <c r="D4704" s="1">
        <f>IFERROR(__xludf.DUMMYFUNCTION("""COMPUTED_VALUE"""),33.08)</f>
        <v>33.08</v>
      </c>
      <c r="E4704" s="1">
        <f>IFERROR(__xludf.DUMMYFUNCTION("""COMPUTED_VALUE"""),34.23)</f>
        <v>34.23</v>
      </c>
      <c r="F4704" s="1">
        <f>IFERROR(__xludf.DUMMYFUNCTION("""COMPUTED_VALUE"""),1.7205733E7)</f>
        <v>17205733</v>
      </c>
    </row>
    <row r="4705">
      <c r="A4705" s="2">
        <f>IFERROR(__xludf.DUMMYFUNCTION("""COMPUTED_VALUE"""),45996.66666666667)</f>
        <v>45996.66667</v>
      </c>
      <c r="B4705" s="1">
        <f>IFERROR(__xludf.DUMMYFUNCTION("""COMPUTED_VALUE"""),33.85)</f>
        <v>33.85</v>
      </c>
      <c r="C4705" s="1">
        <f>IFERROR(__xludf.DUMMYFUNCTION("""COMPUTED_VALUE"""),34.79)</f>
        <v>34.79</v>
      </c>
      <c r="D4705" s="1">
        <f>IFERROR(__xludf.DUMMYFUNCTION("""COMPUTED_VALUE"""),33.45)</f>
        <v>33.45</v>
      </c>
      <c r="E4705" s="1">
        <f>IFERROR(__xludf.DUMMYFUNCTION("""COMPUTED_VALUE"""),34.69)</f>
        <v>34.69</v>
      </c>
      <c r="F4705" s="1">
        <f>IFERROR(__xludf.DUMMYFUNCTION("""COMPUTED_VALUE"""),1.9415332E7)</f>
        <v>19415332</v>
      </c>
    </row>
    <row r="4706">
      <c r="A4706" s="2">
        <f>IFERROR(__xludf.DUMMYFUNCTION("""COMPUTED_VALUE"""),45999.66666666667)</f>
        <v>45999.66667</v>
      </c>
      <c r="B4706" s="1">
        <f>IFERROR(__xludf.DUMMYFUNCTION("""COMPUTED_VALUE"""),35.15)</f>
        <v>35.15</v>
      </c>
      <c r="C4706" s="1">
        <f>IFERROR(__xludf.DUMMYFUNCTION("""COMPUTED_VALUE"""),35.88)</f>
        <v>35.88</v>
      </c>
      <c r="D4706" s="1">
        <f>IFERROR(__xludf.DUMMYFUNCTION("""COMPUTED_VALUE"""),34.72)</f>
        <v>34.72</v>
      </c>
      <c r="E4706" s="1">
        <f>IFERROR(__xludf.DUMMYFUNCTION("""COMPUTED_VALUE"""),35.37)</f>
        <v>35.37</v>
      </c>
      <c r="F4706" s="1">
        <f>IFERROR(__xludf.DUMMYFUNCTION("""COMPUTED_VALUE"""),2.1290282E7)</f>
        <v>21290282</v>
      </c>
    </row>
    <row r="4707">
      <c r="A4707" s="2">
        <f>IFERROR(__xludf.DUMMYFUNCTION("""COMPUTED_VALUE"""),46000.66666666667)</f>
        <v>46000.66667</v>
      </c>
      <c r="B4707" s="1">
        <f>IFERROR(__xludf.DUMMYFUNCTION("""COMPUTED_VALUE"""),35.47)</f>
        <v>35.47</v>
      </c>
      <c r="C4707" s="1">
        <f>IFERROR(__xludf.DUMMYFUNCTION("""COMPUTED_VALUE"""),35.5)</f>
        <v>35.5</v>
      </c>
      <c r="D4707" s="1">
        <f>IFERROR(__xludf.DUMMYFUNCTION("""COMPUTED_VALUE"""),34.58)</f>
        <v>34.58</v>
      </c>
      <c r="E4707" s="1">
        <f>IFERROR(__xludf.DUMMYFUNCTION("""COMPUTED_VALUE"""),35.02)</f>
        <v>35.02</v>
      </c>
      <c r="F4707" s="1">
        <f>IFERROR(__xludf.DUMMYFUNCTION("""COMPUTED_VALUE"""),1.7512951E7)</f>
        <v>17512951</v>
      </c>
    </row>
    <row r="4708">
      <c r="A4708" s="2">
        <f>IFERROR(__xludf.DUMMYFUNCTION("""COMPUTED_VALUE"""),46001.66666666667)</f>
        <v>46001.66667</v>
      </c>
      <c r="B4708" s="1">
        <f>IFERROR(__xludf.DUMMYFUNCTION("""COMPUTED_VALUE"""),34.97)</f>
        <v>34.97</v>
      </c>
      <c r="C4708" s="1">
        <f>IFERROR(__xludf.DUMMYFUNCTION("""COMPUTED_VALUE"""),35.13)</f>
        <v>35.13</v>
      </c>
      <c r="D4708" s="1">
        <f>IFERROR(__xludf.DUMMYFUNCTION("""COMPUTED_VALUE"""),34.18)</f>
        <v>34.18</v>
      </c>
      <c r="E4708" s="1">
        <f>IFERROR(__xludf.DUMMYFUNCTION("""COMPUTED_VALUE"""),34.9)</f>
        <v>34.9</v>
      </c>
      <c r="F4708" s="1">
        <f>IFERROR(__xludf.DUMMYFUNCTION("""COMPUTED_VALUE"""),1.7615746E7)</f>
        <v>17615746</v>
      </c>
    </row>
    <row r="4709">
      <c r="A4709" s="2">
        <f>IFERROR(__xludf.DUMMYFUNCTION("""COMPUTED_VALUE"""),46002.66666666667)</f>
        <v>46002.66667</v>
      </c>
      <c r="B4709" s="1">
        <f>IFERROR(__xludf.DUMMYFUNCTION("""COMPUTED_VALUE"""),34.15)</f>
        <v>34.15</v>
      </c>
      <c r="C4709" s="1">
        <f>IFERROR(__xludf.DUMMYFUNCTION("""COMPUTED_VALUE"""),34.16)</f>
        <v>34.16</v>
      </c>
      <c r="D4709" s="1">
        <f>IFERROR(__xludf.DUMMYFUNCTION("""COMPUTED_VALUE"""),32.91)</f>
        <v>32.91</v>
      </c>
      <c r="E4709" s="1">
        <f>IFERROR(__xludf.DUMMYFUNCTION("""COMPUTED_VALUE"""),34.02)</f>
        <v>34.02</v>
      </c>
      <c r="F4709" s="1">
        <f>IFERROR(__xludf.DUMMYFUNCTION("""COMPUTED_VALUE"""),2.3178866E7)</f>
        <v>23178866</v>
      </c>
    </row>
    <row r="4710">
      <c r="A4710" s="2">
        <f>IFERROR(__xludf.DUMMYFUNCTION("""COMPUTED_VALUE"""),46003.66666666667)</f>
        <v>46003.66667</v>
      </c>
      <c r="B4710" s="1">
        <f>IFERROR(__xludf.DUMMYFUNCTION("""COMPUTED_VALUE"""),33.74)</f>
        <v>33.74</v>
      </c>
      <c r="C4710" s="1">
        <f>IFERROR(__xludf.DUMMYFUNCTION("""COMPUTED_VALUE"""),34.6)</f>
        <v>34.6</v>
      </c>
      <c r="D4710" s="1">
        <f>IFERROR(__xludf.DUMMYFUNCTION("""COMPUTED_VALUE"""),32.23)</f>
        <v>32.23</v>
      </c>
      <c r="E4710" s="1">
        <f>IFERROR(__xludf.DUMMYFUNCTION("""COMPUTED_VALUE"""),32.33)</f>
        <v>32.33</v>
      </c>
      <c r="F4710" s="1">
        <f>IFERROR(__xludf.DUMMYFUNCTION("""COMPUTED_VALUE"""),2.2435069E7)</f>
        <v>22435069</v>
      </c>
    </row>
    <row r="4711">
      <c r="A4711" s="2">
        <f>IFERROR(__xludf.DUMMYFUNCTION("""COMPUTED_VALUE"""),46006.66666666667)</f>
        <v>46006.66667</v>
      </c>
      <c r="B4711" s="1">
        <f>IFERROR(__xludf.DUMMYFUNCTION("""COMPUTED_VALUE"""),32.8)</f>
        <v>32.8</v>
      </c>
      <c r="C4711" s="1">
        <f>IFERROR(__xludf.DUMMYFUNCTION("""COMPUTED_VALUE"""),32.86)</f>
        <v>32.86</v>
      </c>
      <c r="D4711" s="1">
        <f>IFERROR(__xludf.DUMMYFUNCTION("""COMPUTED_VALUE"""),31.24)</f>
        <v>31.24</v>
      </c>
      <c r="E4711" s="1">
        <f>IFERROR(__xludf.DUMMYFUNCTION("""COMPUTED_VALUE"""),31.37)</f>
        <v>31.37</v>
      </c>
      <c r="F4711" s="1">
        <f>IFERROR(__xludf.DUMMYFUNCTION("""COMPUTED_VALUE"""),1.8470601E7)</f>
        <v>18470601</v>
      </c>
    </row>
    <row r="4712">
      <c r="A4712" s="2">
        <f>IFERROR(__xludf.DUMMYFUNCTION("""COMPUTED_VALUE"""),46007.66666666667)</f>
        <v>46007.66667</v>
      </c>
      <c r="B4712" s="1">
        <f>IFERROR(__xludf.DUMMYFUNCTION("""COMPUTED_VALUE"""),31.3)</f>
        <v>31.3</v>
      </c>
      <c r="C4712" s="1">
        <f>IFERROR(__xludf.DUMMYFUNCTION("""COMPUTED_VALUE"""),31.91)</f>
        <v>31.91</v>
      </c>
      <c r="D4712" s="1">
        <f>IFERROR(__xludf.DUMMYFUNCTION("""COMPUTED_VALUE"""),30.95)</f>
        <v>30.95</v>
      </c>
      <c r="E4712" s="1">
        <f>IFERROR(__xludf.DUMMYFUNCTION("""COMPUTED_VALUE"""),31.66)</f>
        <v>31.66</v>
      </c>
      <c r="F4712" s="1">
        <f>IFERROR(__xludf.DUMMYFUNCTION("""COMPUTED_VALUE"""),2.0835778E7)</f>
        <v>20835778</v>
      </c>
    </row>
    <row r="4713">
      <c r="A4713" s="2">
        <f>IFERROR(__xludf.DUMMYFUNCTION("""COMPUTED_VALUE"""),46008.66666666667)</f>
        <v>46008.66667</v>
      </c>
      <c r="B4713" s="1">
        <f>IFERROR(__xludf.DUMMYFUNCTION("""COMPUTED_VALUE"""),31.49)</f>
        <v>31.49</v>
      </c>
      <c r="C4713" s="1">
        <f>IFERROR(__xludf.DUMMYFUNCTION("""COMPUTED_VALUE"""),31.91)</f>
        <v>31.91</v>
      </c>
      <c r="D4713" s="1">
        <f>IFERROR(__xludf.DUMMYFUNCTION("""COMPUTED_VALUE"""),29.84)</f>
        <v>29.84</v>
      </c>
      <c r="E4713" s="1">
        <f>IFERROR(__xludf.DUMMYFUNCTION("""COMPUTED_VALUE"""),29.84)</f>
        <v>29.84</v>
      </c>
      <c r="F4713" s="1">
        <f>IFERROR(__xludf.DUMMYFUNCTION("""COMPUTED_VALUE"""),2.4797175E7)</f>
        <v>24797175</v>
      </c>
    </row>
    <row r="4714">
      <c r="A4714" s="2">
        <f>IFERROR(__xludf.DUMMYFUNCTION("""COMPUTED_VALUE"""),46009.66666666667)</f>
        <v>46009.66667</v>
      </c>
      <c r="B4714" s="1">
        <f>IFERROR(__xludf.DUMMYFUNCTION("""COMPUTED_VALUE"""),30.71)</f>
        <v>30.71</v>
      </c>
      <c r="C4714" s="1">
        <f>IFERROR(__xludf.DUMMYFUNCTION("""COMPUTED_VALUE"""),30.91)</f>
        <v>30.91</v>
      </c>
      <c r="D4714" s="1">
        <f>IFERROR(__xludf.DUMMYFUNCTION("""COMPUTED_VALUE"""),29.1)</f>
        <v>29.1</v>
      </c>
      <c r="E4714" s="1">
        <f>IFERROR(__xludf.DUMMYFUNCTION("""COMPUTED_VALUE"""),29.37)</f>
        <v>29.37</v>
      </c>
      <c r="F4714" s="1">
        <f>IFERROR(__xludf.DUMMYFUNCTION("""COMPUTED_VALUE"""),2.5658727E7)</f>
        <v>25658727</v>
      </c>
    </row>
    <row r="4715">
      <c r="A4715" s="2">
        <f>IFERROR(__xludf.DUMMYFUNCTION("""COMPUTED_VALUE"""),46010.66666666667)</f>
        <v>46010.66667</v>
      </c>
      <c r="B4715" s="1">
        <f>IFERROR(__xludf.DUMMYFUNCTION("""COMPUTED_VALUE"""),29.59)</f>
        <v>29.59</v>
      </c>
      <c r="C4715" s="1">
        <f>IFERROR(__xludf.DUMMYFUNCTION("""COMPUTED_VALUE"""),31.24)</f>
        <v>31.24</v>
      </c>
      <c r="D4715" s="1">
        <f>IFERROR(__xludf.DUMMYFUNCTION("""COMPUTED_VALUE"""),29.59)</f>
        <v>29.59</v>
      </c>
      <c r="E4715" s="1">
        <f>IFERROR(__xludf.DUMMYFUNCTION("""COMPUTED_VALUE"""),31.11)</f>
        <v>31.11</v>
      </c>
      <c r="F4715" s="1">
        <f>IFERROR(__xludf.DUMMYFUNCTION("""COMPUTED_VALUE"""),3.9854147E7)</f>
        <v>39854147</v>
      </c>
    </row>
    <row r="4716">
      <c r="A4716" s="2">
        <f>IFERROR(__xludf.DUMMYFUNCTION("""COMPUTED_VALUE"""),46013.66666666667)</f>
        <v>46013.66667</v>
      </c>
      <c r="B4716" s="1">
        <f>IFERROR(__xludf.DUMMYFUNCTION("""COMPUTED_VALUE"""),31.17)</f>
        <v>31.17</v>
      </c>
      <c r="C4716" s="1">
        <f>IFERROR(__xludf.DUMMYFUNCTION("""COMPUTED_VALUE"""),31.69)</f>
        <v>31.69</v>
      </c>
      <c r="D4716" s="1">
        <f>IFERROR(__xludf.DUMMYFUNCTION("""COMPUTED_VALUE"""),30.87)</f>
        <v>30.87</v>
      </c>
      <c r="E4716" s="1">
        <f>IFERROR(__xludf.DUMMYFUNCTION("""COMPUTED_VALUE"""),31.07)</f>
        <v>31.07</v>
      </c>
      <c r="F4716" s="1">
        <f>IFERROR(__xludf.DUMMYFUNCTION("""COMPUTED_VALUE"""),2.1470422E7)</f>
        <v>21470422</v>
      </c>
    </row>
    <row r="4717">
      <c r="A4717" s="2">
        <f>IFERROR(__xludf.DUMMYFUNCTION("""COMPUTED_VALUE"""),46014.66666666667)</f>
        <v>46014.66667</v>
      </c>
      <c r="B4717" s="1">
        <f>IFERROR(__xludf.DUMMYFUNCTION("""COMPUTED_VALUE"""),30.94)</f>
        <v>30.94</v>
      </c>
      <c r="C4717" s="1">
        <f>IFERROR(__xludf.DUMMYFUNCTION("""COMPUTED_VALUE"""),31.11)</f>
        <v>31.11</v>
      </c>
      <c r="D4717" s="1">
        <f>IFERROR(__xludf.DUMMYFUNCTION("""COMPUTED_VALUE"""),30.27)</f>
        <v>30.27</v>
      </c>
      <c r="E4717" s="1">
        <f>IFERROR(__xludf.DUMMYFUNCTION("""COMPUTED_VALUE"""),30.76)</f>
        <v>30.76</v>
      </c>
      <c r="F4717" s="1">
        <f>IFERROR(__xludf.DUMMYFUNCTION("""COMPUTED_VALUE"""),1.8146693E7)</f>
        <v>18146693</v>
      </c>
    </row>
    <row r="4718">
      <c r="A4718" s="2">
        <f>IFERROR(__xludf.DUMMYFUNCTION("""COMPUTED_VALUE"""),46015.54513888889)</f>
        <v>46015.54514</v>
      </c>
      <c r="B4718" s="1">
        <f>IFERROR(__xludf.DUMMYFUNCTION("""COMPUTED_VALUE"""),30.65)</f>
        <v>30.65</v>
      </c>
      <c r="C4718" s="1">
        <f>IFERROR(__xludf.DUMMYFUNCTION("""COMPUTED_VALUE"""),30.8)</f>
        <v>30.8</v>
      </c>
      <c r="D4718" s="1">
        <f>IFERROR(__xludf.DUMMYFUNCTION("""COMPUTED_VALUE"""),30.34)</f>
        <v>30.34</v>
      </c>
      <c r="E4718" s="1">
        <f>IFERROR(__xludf.DUMMYFUNCTION("""COMPUTED_VALUE"""),30.55)</f>
        <v>30.55</v>
      </c>
      <c r="F4718" s="1">
        <f>IFERROR(__xludf.DUMMYFUNCTION("""COMPUTED_VALUE"""),6805570.0)</f>
        <v>6805570</v>
      </c>
    </row>
    <row r="4719">
      <c r="A4719" s="2">
        <f>IFERROR(__xludf.DUMMYFUNCTION("""COMPUTED_VALUE"""),46017.66666666667)</f>
        <v>46017.66667</v>
      </c>
      <c r="B4719" s="1">
        <f>IFERROR(__xludf.DUMMYFUNCTION("""COMPUTED_VALUE"""),30.64)</f>
        <v>30.64</v>
      </c>
      <c r="C4719" s="1">
        <f>IFERROR(__xludf.DUMMYFUNCTION("""COMPUTED_VALUE"""),30.85)</f>
        <v>30.85</v>
      </c>
      <c r="D4719" s="1">
        <f>IFERROR(__xludf.DUMMYFUNCTION("""COMPUTED_VALUE"""),30.14)</f>
        <v>30.14</v>
      </c>
      <c r="E4719" s="1">
        <f>IFERROR(__xludf.DUMMYFUNCTION("""COMPUTED_VALUE"""),30.64)</f>
        <v>30.64</v>
      </c>
      <c r="F4719" s="1">
        <f>IFERROR(__xludf.DUMMYFUNCTION("""COMPUTED_VALUE"""),1.4262721E7)</f>
        <v>14262721</v>
      </c>
    </row>
    <row r="4720">
      <c r="A4720" s="2">
        <f>IFERROR(__xludf.DUMMYFUNCTION("""COMPUTED_VALUE"""),46020.66666666667)</f>
        <v>46020.66667</v>
      </c>
      <c r="B4720" s="1">
        <f>IFERROR(__xludf.DUMMYFUNCTION("""COMPUTED_VALUE"""),30.07)</f>
        <v>30.07</v>
      </c>
      <c r="C4720" s="1">
        <f>IFERROR(__xludf.DUMMYFUNCTION("""COMPUTED_VALUE"""),31.14)</f>
        <v>31.14</v>
      </c>
      <c r="D4720" s="1">
        <f>IFERROR(__xludf.DUMMYFUNCTION("""COMPUTED_VALUE"""),29.94)</f>
        <v>29.94</v>
      </c>
      <c r="E4720" s="1">
        <f>IFERROR(__xludf.DUMMYFUNCTION("""COMPUTED_VALUE"""),30.08)</f>
        <v>30.08</v>
      </c>
      <c r="F4720" s="1">
        <f>IFERROR(__xludf.DUMMYFUNCTION("""COMPUTED_VALUE"""),1.9595369E7)</f>
        <v>19595369</v>
      </c>
    </row>
    <row r="4721">
      <c r="A4721" s="2">
        <f>IFERROR(__xludf.DUMMYFUNCTION("""COMPUTED_VALUE"""),46021.66666666667)</f>
        <v>46021.66667</v>
      </c>
      <c r="B4721" s="1">
        <f>IFERROR(__xludf.DUMMYFUNCTION("""COMPUTED_VALUE"""),30.36)</f>
        <v>30.36</v>
      </c>
      <c r="C4721" s="1">
        <f>IFERROR(__xludf.DUMMYFUNCTION("""COMPUTED_VALUE"""),30.36)</f>
        <v>30.36</v>
      </c>
      <c r="D4721" s="1">
        <f>IFERROR(__xludf.DUMMYFUNCTION("""COMPUTED_VALUE"""),29.64)</f>
        <v>29.64</v>
      </c>
      <c r="E4721" s="1">
        <f>IFERROR(__xludf.DUMMYFUNCTION("""COMPUTED_VALUE"""),29.65)</f>
        <v>29.65</v>
      </c>
      <c r="F4721" s="1">
        <f>IFERROR(__xludf.DUMMYFUNCTION("""COMPUTED_VALUE"""),2.1568249E7)</f>
        <v>21568249</v>
      </c>
    </row>
    <row r="4722">
      <c r="A4722" s="2">
        <f>IFERROR(__xludf.DUMMYFUNCTION("""COMPUTED_VALUE"""),46022.66666666667)</f>
        <v>46022.66667</v>
      </c>
      <c r="B4722" s="1">
        <f>IFERROR(__xludf.DUMMYFUNCTION("""COMPUTED_VALUE"""),29.71)</f>
        <v>29.71</v>
      </c>
      <c r="C4722" s="1">
        <f>IFERROR(__xludf.DUMMYFUNCTION("""COMPUTED_VALUE"""),29.87)</f>
        <v>29.87</v>
      </c>
      <c r="D4722" s="1">
        <f>IFERROR(__xludf.DUMMYFUNCTION("""COMPUTED_VALUE"""),29.02)</f>
        <v>29.02</v>
      </c>
      <c r="E4722" s="1">
        <f>IFERROR(__xludf.DUMMYFUNCTION("""COMPUTED_VALUE"""),29.27)</f>
        <v>29.27</v>
      </c>
      <c r="F4722" s="1">
        <f>IFERROR(__xludf.DUMMYFUNCTION("""COMPUTED_VALUE"""),2.484499E7)</f>
        <v>24844990</v>
      </c>
    </row>
  </sheetData>
  <drawing r:id="rId1"/>
</worksheet>
</file>